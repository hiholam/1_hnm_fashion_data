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hol\Documents\JobHunt2026\portfolio\"/>
    </mc:Choice>
  </mc:AlternateContent>
  <xr:revisionPtr revIDLastSave="0" documentId="13_ncr:1_{90612F48-324A-4243-9547-B42C74E521DE}" xr6:coauthVersionLast="47" xr6:coauthVersionMax="47" xr10:uidLastSave="{00000000-0000-0000-0000-000000000000}"/>
  <bookViews>
    <workbookView xWindow="43080" yWindow="-120" windowWidth="38640" windowHeight="21120" xr2:uid="{0A3D869F-2816-44CE-B1CC-D4D025912AC3}"/>
  </bookViews>
  <sheets>
    <sheet name="data" sheetId="1" r:id="rId1"/>
    <sheet name="trans_dist_cust" sheetId="4" r:id="rId2"/>
    <sheet name="subscription" sheetId="20" r:id="rId3"/>
    <sheet name="ranking" sheetId="25" r:id="rId4"/>
    <sheet name="heatmap" sheetId="29" r:id="rId5"/>
    <sheet name="3bestsellers" sheetId="10" r:id="rId6"/>
    <sheet name="3bestrevenue" sheetId="13" r:id="rId7"/>
    <sheet name="Q4" sheetId="18" r:id="rId8"/>
  </sheets>
  <definedNames>
    <definedName name="_xlnm._FilterDatabase" localSheetId="4" hidden="1">heatmap!$H$119:$AE$119</definedName>
    <definedName name="_xlnm._FilterDatabase" localSheetId="7" hidden="1">'Q4'!$A$1:$H$5318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" i="20" l="1"/>
  <c r="AK8" i="20"/>
  <c r="AK7" i="20"/>
  <c r="AK6" i="20"/>
  <c r="AK5" i="20"/>
  <c r="AK4" i="20"/>
  <c r="AK3" i="20"/>
  <c r="AK2" i="20"/>
  <c r="Z3" i="20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12" i="29"/>
  <c r="V11" i="29"/>
  <c r="V10" i="29"/>
  <c r="V9" i="29"/>
  <c r="V8" i="29"/>
  <c r="V7" i="29"/>
  <c r="V6" i="29"/>
  <c r="V5" i="29"/>
  <c r="V4" i="29"/>
  <c r="V2" i="29"/>
  <c r="V3" i="29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D42" i="25"/>
  <c r="C14" i="4"/>
  <c r="W3" i="20"/>
  <c r="W4" i="20"/>
  <c r="AB3" i="20" s="1"/>
  <c r="W5" i="20"/>
  <c r="W6" i="20"/>
  <c r="AB4" i="20" s="1"/>
  <c r="W7" i="20"/>
  <c r="W8" i="20"/>
  <c r="AB5" i="20" s="1"/>
  <c r="W9" i="20"/>
  <c r="W2" i="20"/>
  <c r="AB2" i="20" s="1"/>
  <c r="V3" i="20"/>
  <c r="V4" i="20"/>
  <c r="V5" i="20"/>
  <c r="Y4" i="20" s="1"/>
  <c r="V6" i="20"/>
  <c r="Z4" i="20" s="1"/>
  <c r="V7" i="20"/>
  <c r="Y6" i="20" s="1"/>
  <c r="V8" i="20"/>
  <c r="Z5" i="20" s="1"/>
  <c r="V9" i="20"/>
  <c r="V2" i="20"/>
  <c r="Z2" i="20" s="1"/>
  <c r="C18" i="4"/>
  <c r="C17" i="4"/>
  <c r="C16" i="4"/>
  <c r="B18" i="4"/>
  <c r="B16" i="4"/>
  <c r="B17" i="4"/>
  <c r="D1160" i="29"/>
  <c r="E1160" i="29" s="1"/>
  <c r="D1159" i="29"/>
  <c r="E1159" i="29" s="1"/>
  <c r="D1158" i="29"/>
  <c r="E1158" i="29" s="1"/>
  <c r="D1157" i="29"/>
  <c r="E1157" i="29" s="1"/>
  <c r="D1156" i="29"/>
  <c r="E1156" i="29" s="1"/>
  <c r="D1155" i="29"/>
  <c r="E1155" i="29" s="1"/>
  <c r="D1154" i="29"/>
  <c r="E1154" i="29" s="1"/>
  <c r="D1153" i="29"/>
  <c r="E1153" i="29" s="1"/>
  <c r="D1152" i="29"/>
  <c r="E1152" i="29" s="1"/>
  <c r="D1151" i="29"/>
  <c r="E1151" i="29" s="1"/>
  <c r="D1150" i="29"/>
  <c r="E1150" i="29" s="1"/>
  <c r="D1149" i="29"/>
  <c r="E1149" i="29" s="1"/>
  <c r="D1148" i="29"/>
  <c r="E1148" i="29" s="1"/>
  <c r="D1147" i="29"/>
  <c r="E1147" i="29" s="1"/>
  <c r="D1146" i="29"/>
  <c r="E1146" i="29" s="1"/>
  <c r="D1145" i="29"/>
  <c r="E1145" i="29" s="1"/>
  <c r="D1144" i="29"/>
  <c r="E1144" i="29" s="1"/>
  <c r="D1143" i="29"/>
  <c r="E1143" i="29" s="1"/>
  <c r="D1142" i="29"/>
  <c r="E1142" i="29" s="1"/>
  <c r="D1141" i="29"/>
  <c r="E1141" i="29" s="1"/>
  <c r="D1140" i="29"/>
  <c r="E1140" i="29" s="1"/>
  <c r="D1139" i="29"/>
  <c r="E1139" i="29" s="1"/>
  <c r="D1138" i="29"/>
  <c r="E1138" i="29" s="1"/>
  <c r="D1137" i="29"/>
  <c r="E1137" i="29" s="1"/>
  <c r="D1136" i="29"/>
  <c r="E1136" i="29" s="1"/>
  <c r="D1135" i="29"/>
  <c r="E1135" i="29" s="1"/>
  <c r="D1134" i="29"/>
  <c r="E1134" i="29" s="1"/>
  <c r="D1133" i="29"/>
  <c r="E1133" i="29" s="1"/>
  <c r="D1132" i="29"/>
  <c r="E1132" i="29" s="1"/>
  <c r="D1131" i="29"/>
  <c r="E1131" i="29" s="1"/>
  <c r="D1130" i="29"/>
  <c r="E1130" i="29" s="1"/>
  <c r="D1129" i="29"/>
  <c r="E1129" i="29" s="1"/>
  <c r="D1128" i="29"/>
  <c r="E1128" i="29" s="1"/>
  <c r="D1127" i="29"/>
  <c r="E1127" i="29" s="1"/>
  <c r="D1126" i="29"/>
  <c r="E1126" i="29" s="1"/>
  <c r="D1125" i="29"/>
  <c r="E1125" i="29" s="1"/>
  <c r="D1124" i="29"/>
  <c r="E1124" i="29" s="1"/>
  <c r="D1123" i="29"/>
  <c r="E1123" i="29" s="1"/>
  <c r="D1122" i="29"/>
  <c r="E1122" i="29" s="1"/>
  <c r="D1121" i="29"/>
  <c r="E1121" i="29" s="1"/>
  <c r="D1120" i="29"/>
  <c r="E1120" i="29" s="1"/>
  <c r="D1119" i="29"/>
  <c r="E1119" i="29" s="1"/>
  <c r="D1118" i="29"/>
  <c r="E1118" i="29" s="1"/>
  <c r="D1117" i="29"/>
  <c r="E1117" i="29" s="1"/>
  <c r="D1116" i="29"/>
  <c r="E1116" i="29" s="1"/>
  <c r="D1115" i="29"/>
  <c r="E1115" i="29" s="1"/>
  <c r="D1114" i="29"/>
  <c r="E1114" i="29" s="1"/>
  <c r="D1113" i="29"/>
  <c r="E1113" i="29" s="1"/>
  <c r="D1112" i="29"/>
  <c r="E1112" i="29" s="1"/>
  <c r="D1111" i="29"/>
  <c r="E1111" i="29" s="1"/>
  <c r="D1110" i="29"/>
  <c r="E1110" i="29" s="1"/>
  <c r="D1109" i="29"/>
  <c r="E1109" i="29" s="1"/>
  <c r="D1108" i="29"/>
  <c r="E1108" i="29" s="1"/>
  <c r="D1107" i="29"/>
  <c r="E1107" i="29" s="1"/>
  <c r="D1106" i="29"/>
  <c r="E1106" i="29" s="1"/>
  <c r="D1105" i="29"/>
  <c r="E1105" i="29" s="1"/>
  <c r="D1104" i="29"/>
  <c r="E1104" i="29" s="1"/>
  <c r="D1103" i="29"/>
  <c r="E1103" i="29" s="1"/>
  <c r="D1102" i="29"/>
  <c r="E1102" i="29" s="1"/>
  <c r="D1101" i="29"/>
  <c r="E1101" i="29" s="1"/>
  <c r="D1100" i="29"/>
  <c r="E1100" i="29" s="1"/>
  <c r="D1099" i="29"/>
  <c r="E1099" i="29" s="1"/>
  <c r="D1098" i="29"/>
  <c r="E1098" i="29" s="1"/>
  <c r="D1097" i="29"/>
  <c r="E1097" i="29" s="1"/>
  <c r="D1096" i="29"/>
  <c r="E1096" i="29" s="1"/>
  <c r="D1095" i="29"/>
  <c r="E1095" i="29" s="1"/>
  <c r="D1094" i="29"/>
  <c r="E1094" i="29" s="1"/>
  <c r="D1093" i="29"/>
  <c r="E1093" i="29" s="1"/>
  <c r="D1092" i="29"/>
  <c r="E1092" i="29" s="1"/>
  <c r="D1091" i="29"/>
  <c r="E1091" i="29" s="1"/>
  <c r="D1090" i="29"/>
  <c r="E1090" i="29" s="1"/>
  <c r="D1089" i="29"/>
  <c r="E1089" i="29" s="1"/>
  <c r="D1088" i="29"/>
  <c r="E1088" i="29" s="1"/>
  <c r="D1087" i="29"/>
  <c r="E1087" i="29" s="1"/>
  <c r="D1086" i="29"/>
  <c r="E1086" i="29" s="1"/>
  <c r="D1085" i="29"/>
  <c r="E1085" i="29" s="1"/>
  <c r="D1084" i="29"/>
  <c r="E1084" i="29" s="1"/>
  <c r="D1083" i="29"/>
  <c r="E1083" i="29" s="1"/>
  <c r="D1082" i="29"/>
  <c r="E1082" i="29" s="1"/>
  <c r="D1081" i="29"/>
  <c r="E1081" i="29" s="1"/>
  <c r="D1080" i="29"/>
  <c r="E1080" i="29" s="1"/>
  <c r="D1079" i="29"/>
  <c r="E1079" i="29" s="1"/>
  <c r="D1078" i="29"/>
  <c r="E1078" i="29" s="1"/>
  <c r="D1077" i="29"/>
  <c r="E1077" i="29" s="1"/>
  <c r="D1076" i="29"/>
  <c r="E1076" i="29" s="1"/>
  <c r="D1075" i="29"/>
  <c r="E1075" i="29" s="1"/>
  <c r="D1074" i="29"/>
  <c r="E1074" i="29" s="1"/>
  <c r="D1073" i="29"/>
  <c r="E1073" i="29" s="1"/>
  <c r="D1072" i="29"/>
  <c r="E1072" i="29" s="1"/>
  <c r="D1071" i="29"/>
  <c r="E1071" i="29" s="1"/>
  <c r="D1070" i="29"/>
  <c r="E1070" i="29" s="1"/>
  <c r="D1069" i="29"/>
  <c r="E1069" i="29" s="1"/>
  <c r="D1068" i="29"/>
  <c r="E1068" i="29" s="1"/>
  <c r="D1067" i="29"/>
  <c r="E1067" i="29" s="1"/>
  <c r="D1066" i="29"/>
  <c r="E1066" i="29" s="1"/>
  <c r="D1065" i="29"/>
  <c r="E1065" i="29" s="1"/>
  <c r="D1064" i="29"/>
  <c r="E1064" i="29" s="1"/>
  <c r="D1063" i="29"/>
  <c r="E1063" i="29" s="1"/>
  <c r="D1062" i="29"/>
  <c r="E1062" i="29" s="1"/>
  <c r="D1061" i="29"/>
  <c r="E1061" i="29" s="1"/>
  <c r="D1060" i="29"/>
  <c r="E1060" i="29" s="1"/>
  <c r="D1059" i="29"/>
  <c r="E1059" i="29" s="1"/>
  <c r="D1058" i="29"/>
  <c r="E1058" i="29" s="1"/>
  <c r="D1057" i="29"/>
  <c r="E1057" i="29" s="1"/>
  <c r="D1056" i="29"/>
  <c r="E1056" i="29" s="1"/>
  <c r="D1055" i="29"/>
  <c r="E1055" i="29" s="1"/>
  <c r="D1054" i="29"/>
  <c r="E1054" i="29" s="1"/>
  <c r="D1053" i="29"/>
  <c r="E1053" i="29" s="1"/>
  <c r="D1052" i="29"/>
  <c r="E1052" i="29" s="1"/>
  <c r="D1051" i="29"/>
  <c r="E1051" i="29" s="1"/>
  <c r="D1050" i="29"/>
  <c r="E1050" i="29" s="1"/>
  <c r="D1049" i="29"/>
  <c r="E1049" i="29" s="1"/>
  <c r="D1048" i="29"/>
  <c r="E1048" i="29" s="1"/>
  <c r="D1047" i="29"/>
  <c r="E1047" i="29" s="1"/>
  <c r="D1046" i="29"/>
  <c r="E1046" i="29" s="1"/>
  <c r="D1045" i="29"/>
  <c r="E1045" i="29" s="1"/>
  <c r="D1044" i="29"/>
  <c r="E1044" i="29" s="1"/>
  <c r="D1043" i="29"/>
  <c r="E1043" i="29" s="1"/>
  <c r="D1042" i="29"/>
  <c r="E1042" i="29" s="1"/>
  <c r="D1041" i="29"/>
  <c r="E1041" i="29" s="1"/>
  <c r="D1040" i="29"/>
  <c r="E1040" i="29" s="1"/>
  <c r="D1039" i="29"/>
  <c r="E1039" i="29" s="1"/>
  <c r="D1038" i="29"/>
  <c r="E1038" i="29" s="1"/>
  <c r="D1037" i="29"/>
  <c r="E1037" i="29" s="1"/>
  <c r="D1036" i="29"/>
  <c r="E1036" i="29" s="1"/>
  <c r="D1035" i="29"/>
  <c r="E1035" i="29" s="1"/>
  <c r="D1034" i="29"/>
  <c r="E1034" i="29" s="1"/>
  <c r="D1033" i="29"/>
  <c r="E1033" i="29" s="1"/>
  <c r="D1032" i="29"/>
  <c r="E1032" i="29" s="1"/>
  <c r="D1031" i="29"/>
  <c r="E1031" i="29" s="1"/>
  <c r="D1030" i="29"/>
  <c r="E1030" i="29" s="1"/>
  <c r="D1029" i="29"/>
  <c r="E1029" i="29" s="1"/>
  <c r="D1028" i="29"/>
  <c r="E1028" i="29" s="1"/>
  <c r="D1027" i="29"/>
  <c r="E1027" i="29" s="1"/>
  <c r="D1026" i="29"/>
  <c r="E1026" i="29" s="1"/>
  <c r="D1025" i="29"/>
  <c r="E1025" i="29" s="1"/>
  <c r="D1024" i="29"/>
  <c r="E1024" i="29" s="1"/>
  <c r="D1023" i="29"/>
  <c r="E1023" i="29" s="1"/>
  <c r="D1022" i="29"/>
  <c r="E1022" i="29" s="1"/>
  <c r="D1021" i="29"/>
  <c r="E1021" i="29" s="1"/>
  <c r="D1020" i="29"/>
  <c r="E1020" i="29" s="1"/>
  <c r="D1019" i="29"/>
  <c r="E1019" i="29" s="1"/>
  <c r="D1018" i="29"/>
  <c r="E1018" i="29" s="1"/>
  <c r="D1017" i="29"/>
  <c r="E1017" i="29" s="1"/>
  <c r="D1016" i="29"/>
  <c r="E1016" i="29" s="1"/>
  <c r="D1015" i="29"/>
  <c r="E1015" i="29" s="1"/>
  <c r="D1014" i="29"/>
  <c r="E1014" i="29" s="1"/>
  <c r="D1013" i="29"/>
  <c r="E1013" i="29" s="1"/>
  <c r="D1012" i="29"/>
  <c r="E1012" i="29" s="1"/>
  <c r="D1011" i="29"/>
  <c r="E1011" i="29" s="1"/>
  <c r="D1010" i="29"/>
  <c r="E1010" i="29" s="1"/>
  <c r="D1009" i="29"/>
  <c r="E1009" i="29" s="1"/>
  <c r="D1008" i="29"/>
  <c r="E1008" i="29" s="1"/>
  <c r="D1007" i="29"/>
  <c r="E1007" i="29" s="1"/>
  <c r="D1006" i="29"/>
  <c r="E1006" i="29" s="1"/>
  <c r="D1005" i="29"/>
  <c r="E1005" i="29" s="1"/>
  <c r="D1004" i="29"/>
  <c r="E1004" i="29" s="1"/>
  <c r="D1003" i="29"/>
  <c r="E1003" i="29" s="1"/>
  <c r="D1002" i="29"/>
  <c r="E1002" i="29" s="1"/>
  <c r="D1001" i="29"/>
  <c r="E1001" i="29" s="1"/>
  <c r="D1000" i="29"/>
  <c r="E1000" i="29" s="1"/>
  <c r="D999" i="29"/>
  <c r="E999" i="29" s="1"/>
  <c r="D998" i="29"/>
  <c r="E998" i="29" s="1"/>
  <c r="D997" i="29"/>
  <c r="E997" i="29" s="1"/>
  <c r="D996" i="29"/>
  <c r="E996" i="29" s="1"/>
  <c r="D995" i="29"/>
  <c r="E995" i="29" s="1"/>
  <c r="D994" i="29"/>
  <c r="E994" i="29" s="1"/>
  <c r="D993" i="29"/>
  <c r="E993" i="29" s="1"/>
  <c r="D992" i="29"/>
  <c r="E992" i="29" s="1"/>
  <c r="D991" i="29"/>
  <c r="E991" i="29" s="1"/>
  <c r="D990" i="29"/>
  <c r="E990" i="29" s="1"/>
  <c r="D989" i="29"/>
  <c r="E989" i="29" s="1"/>
  <c r="D988" i="29"/>
  <c r="E988" i="29" s="1"/>
  <c r="D987" i="29"/>
  <c r="E987" i="29" s="1"/>
  <c r="D986" i="29"/>
  <c r="E986" i="29" s="1"/>
  <c r="D985" i="29"/>
  <c r="E985" i="29" s="1"/>
  <c r="D984" i="29"/>
  <c r="E984" i="29" s="1"/>
  <c r="D983" i="29"/>
  <c r="E983" i="29" s="1"/>
  <c r="D982" i="29"/>
  <c r="E982" i="29" s="1"/>
  <c r="D981" i="29"/>
  <c r="E981" i="29" s="1"/>
  <c r="D980" i="29"/>
  <c r="E980" i="29" s="1"/>
  <c r="D979" i="29"/>
  <c r="E979" i="29" s="1"/>
  <c r="D978" i="29"/>
  <c r="E978" i="29" s="1"/>
  <c r="D977" i="29"/>
  <c r="E977" i="29" s="1"/>
  <c r="D976" i="29"/>
  <c r="E976" i="29" s="1"/>
  <c r="D975" i="29"/>
  <c r="E975" i="29" s="1"/>
  <c r="D974" i="29"/>
  <c r="E974" i="29" s="1"/>
  <c r="D973" i="29"/>
  <c r="E973" i="29" s="1"/>
  <c r="D972" i="29"/>
  <c r="E972" i="29" s="1"/>
  <c r="D971" i="29"/>
  <c r="E971" i="29" s="1"/>
  <c r="D970" i="29"/>
  <c r="E970" i="29" s="1"/>
  <c r="D969" i="29"/>
  <c r="E969" i="29" s="1"/>
  <c r="D968" i="29"/>
  <c r="E968" i="29" s="1"/>
  <c r="D967" i="29"/>
  <c r="E967" i="29" s="1"/>
  <c r="D966" i="29"/>
  <c r="E966" i="29" s="1"/>
  <c r="D965" i="29"/>
  <c r="E965" i="29" s="1"/>
  <c r="D964" i="29"/>
  <c r="E964" i="29" s="1"/>
  <c r="D963" i="29"/>
  <c r="E963" i="29" s="1"/>
  <c r="D962" i="29"/>
  <c r="E962" i="29" s="1"/>
  <c r="D961" i="29"/>
  <c r="E961" i="29" s="1"/>
  <c r="D960" i="29"/>
  <c r="E960" i="29" s="1"/>
  <c r="D959" i="29"/>
  <c r="E959" i="29" s="1"/>
  <c r="D958" i="29"/>
  <c r="E958" i="29" s="1"/>
  <c r="D957" i="29"/>
  <c r="E957" i="29" s="1"/>
  <c r="D956" i="29"/>
  <c r="E956" i="29" s="1"/>
  <c r="D955" i="29"/>
  <c r="E955" i="29" s="1"/>
  <c r="D954" i="29"/>
  <c r="E954" i="29" s="1"/>
  <c r="D953" i="29"/>
  <c r="E953" i="29" s="1"/>
  <c r="D952" i="29"/>
  <c r="E952" i="29" s="1"/>
  <c r="D951" i="29"/>
  <c r="E951" i="29" s="1"/>
  <c r="D950" i="29"/>
  <c r="E950" i="29" s="1"/>
  <c r="D949" i="29"/>
  <c r="E949" i="29" s="1"/>
  <c r="D948" i="29"/>
  <c r="E948" i="29" s="1"/>
  <c r="D947" i="29"/>
  <c r="E947" i="29" s="1"/>
  <c r="D946" i="29"/>
  <c r="E946" i="29" s="1"/>
  <c r="D945" i="29"/>
  <c r="E945" i="29" s="1"/>
  <c r="D944" i="29"/>
  <c r="E944" i="29" s="1"/>
  <c r="D943" i="29"/>
  <c r="E943" i="29" s="1"/>
  <c r="D942" i="29"/>
  <c r="E942" i="29" s="1"/>
  <c r="D941" i="29"/>
  <c r="E941" i="29" s="1"/>
  <c r="D940" i="29"/>
  <c r="E940" i="29" s="1"/>
  <c r="D939" i="29"/>
  <c r="E939" i="29" s="1"/>
  <c r="D938" i="29"/>
  <c r="E938" i="29" s="1"/>
  <c r="D937" i="29"/>
  <c r="E937" i="29" s="1"/>
  <c r="D936" i="29"/>
  <c r="E936" i="29" s="1"/>
  <c r="D935" i="29"/>
  <c r="E935" i="29" s="1"/>
  <c r="D934" i="29"/>
  <c r="E934" i="29" s="1"/>
  <c r="D933" i="29"/>
  <c r="E933" i="29" s="1"/>
  <c r="D932" i="29"/>
  <c r="E932" i="29" s="1"/>
  <c r="D931" i="29"/>
  <c r="E931" i="29" s="1"/>
  <c r="D930" i="29"/>
  <c r="E930" i="29" s="1"/>
  <c r="D929" i="29"/>
  <c r="E929" i="29" s="1"/>
  <c r="D928" i="29"/>
  <c r="E928" i="29" s="1"/>
  <c r="D927" i="29"/>
  <c r="E927" i="29" s="1"/>
  <c r="D926" i="29"/>
  <c r="E926" i="29" s="1"/>
  <c r="D925" i="29"/>
  <c r="E925" i="29" s="1"/>
  <c r="D924" i="29"/>
  <c r="E924" i="29" s="1"/>
  <c r="D923" i="29"/>
  <c r="E923" i="29" s="1"/>
  <c r="D922" i="29"/>
  <c r="E922" i="29" s="1"/>
  <c r="D921" i="29"/>
  <c r="E921" i="29" s="1"/>
  <c r="D920" i="29"/>
  <c r="E920" i="29" s="1"/>
  <c r="D919" i="29"/>
  <c r="E919" i="29" s="1"/>
  <c r="D918" i="29"/>
  <c r="E918" i="29" s="1"/>
  <c r="D917" i="29"/>
  <c r="E917" i="29" s="1"/>
  <c r="D916" i="29"/>
  <c r="E916" i="29" s="1"/>
  <c r="D915" i="29"/>
  <c r="E915" i="29" s="1"/>
  <c r="D914" i="29"/>
  <c r="E914" i="29" s="1"/>
  <c r="D913" i="29"/>
  <c r="E913" i="29" s="1"/>
  <c r="D912" i="29"/>
  <c r="E912" i="29" s="1"/>
  <c r="D911" i="29"/>
  <c r="E911" i="29" s="1"/>
  <c r="D910" i="29"/>
  <c r="E910" i="29" s="1"/>
  <c r="D909" i="29"/>
  <c r="E909" i="29" s="1"/>
  <c r="D908" i="29"/>
  <c r="E908" i="29" s="1"/>
  <c r="D907" i="29"/>
  <c r="E907" i="29" s="1"/>
  <c r="D906" i="29"/>
  <c r="E906" i="29" s="1"/>
  <c r="D905" i="29"/>
  <c r="E905" i="29" s="1"/>
  <c r="D904" i="29"/>
  <c r="E904" i="29" s="1"/>
  <c r="D903" i="29"/>
  <c r="E903" i="29" s="1"/>
  <c r="D902" i="29"/>
  <c r="E902" i="29" s="1"/>
  <c r="D901" i="29"/>
  <c r="E901" i="29" s="1"/>
  <c r="D900" i="29"/>
  <c r="E900" i="29" s="1"/>
  <c r="D899" i="29"/>
  <c r="E899" i="29" s="1"/>
  <c r="D898" i="29"/>
  <c r="E898" i="29" s="1"/>
  <c r="D897" i="29"/>
  <c r="E897" i="29" s="1"/>
  <c r="D896" i="29"/>
  <c r="E896" i="29" s="1"/>
  <c r="D895" i="29"/>
  <c r="E895" i="29" s="1"/>
  <c r="D894" i="29"/>
  <c r="E894" i="29" s="1"/>
  <c r="D893" i="29"/>
  <c r="E893" i="29" s="1"/>
  <c r="D892" i="29"/>
  <c r="E892" i="29" s="1"/>
  <c r="D891" i="29"/>
  <c r="E891" i="29" s="1"/>
  <c r="D890" i="29"/>
  <c r="E890" i="29" s="1"/>
  <c r="D889" i="29"/>
  <c r="E889" i="29" s="1"/>
  <c r="D888" i="29"/>
  <c r="E888" i="29" s="1"/>
  <c r="D887" i="29"/>
  <c r="E887" i="29" s="1"/>
  <c r="D886" i="29"/>
  <c r="E886" i="29" s="1"/>
  <c r="D885" i="29"/>
  <c r="E885" i="29" s="1"/>
  <c r="D884" i="29"/>
  <c r="E884" i="29" s="1"/>
  <c r="D883" i="29"/>
  <c r="E883" i="29" s="1"/>
  <c r="D882" i="29"/>
  <c r="E882" i="29" s="1"/>
  <c r="D881" i="29"/>
  <c r="E881" i="29" s="1"/>
  <c r="D880" i="29"/>
  <c r="E880" i="29" s="1"/>
  <c r="D879" i="29"/>
  <c r="E879" i="29" s="1"/>
  <c r="D878" i="29"/>
  <c r="E878" i="29" s="1"/>
  <c r="D877" i="29"/>
  <c r="E877" i="29" s="1"/>
  <c r="D876" i="29"/>
  <c r="E876" i="29" s="1"/>
  <c r="D875" i="29"/>
  <c r="E875" i="29" s="1"/>
  <c r="D874" i="29"/>
  <c r="E874" i="29" s="1"/>
  <c r="D873" i="29"/>
  <c r="E873" i="29" s="1"/>
  <c r="D872" i="29"/>
  <c r="E872" i="29" s="1"/>
  <c r="D871" i="29"/>
  <c r="E871" i="29" s="1"/>
  <c r="D870" i="29"/>
  <c r="E870" i="29" s="1"/>
  <c r="D869" i="29"/>
  <c r="E869" i="29" s="1"/>
  <c r="D868" i="29"/>
  <c r="E868" i="29" s="1"/>
  <c r="D867" i="29"/>
  <c r="E867" i="29" s="1"/>
  <c r="D866" i="29"/>
  <c r="E866" i="29" s="1"/>
  <c r="D865" i="29"/>
  <c r="E865" i="29" s="1"/>
  <c r="D864" i="29"/>
  <c r="E864" i="29" s="1"/>
  <c r="D863" i="29"/>
  <c r="E863" i="29" s="1"/>
  <c r="D862" i="29"/>
  <c r="E862" i="29" s="1"/>
  <c r="D861" i="29"/>
  <c r="E861" i="29" s="1"/>
  <c r="D860" i="29"/>
  <c r="E860" i="29" s="1"/>
  <c r="D859" i="29"/>
  <c r="E859" i="29" s="1"/>
  <c r="D858" i="29"/>
  <c r="E858" i="29" s="1"/>
  <c r="D857" i="29"/>
  <c r="E857" i="29" s="1"/>
  <c r="D856" i="29"/>
  <c r="E856" i="29" s="1"/>
  <c r="D855" i="29"/>
  <c r="E855" i="29" s="1"/>
  <c r="D854" i="29"/>
  <c r="E854" i="29" s="1"/>
  <c r="D853" i="29"/>
  <c r="E853" i="29" s="1"/>
  <c r="D852" i="29"/>
  <c r="E852" i="29" s="1"/>
  <c r="D851" i="29"/>
  <c r="E851" i="29" s="1"/>
  <c r="D850" i="29"/>
  <c r="E850" i="29" s="1"/>
  <c r="D849" i="29"/>
  <c r="E849" i="29" s="1"/>
  <c r="D848" i="29"/>
  <c r="E848" i="29" s="1"/>
  <c r="D847" i="29"/>
  <c r="E847" i="29" s="1"/>
  <c r="D846" i="29"/>
  <c r="E846" i="29" s="1"/>
  <c r="D845" i="29"/>
  <c r="E845" i="29" s="1"/>
  <c r="D844" i="29"/>
  <c r="E844" i="29" s="1"/>
  <c r="D843" i="29"/>
  <c r="E843" i="29" s="1"/>
  <c r="D842" i="29"/>
  <c r="E842" i="29" s="1"/>
  <c r="D841" i="29"/>
  <c r="E841" i="29" s="1"/>
  <c r="D840" i="29"/>
  <c r="E840" i="29" s="1"/>
  <c r="D839" i="29"/>
  <c r="E839" i="29" s="1"/>
  <c r="D838" i="29"/>
  <c r="E838" i="29" s="1"/>
  <c r="D837" i="29"/>
  <c r="E837" i="29" s="1"/>
  <c r="D836" i="29"/>
  <c r="E836" i="29" s="1"/>
  <c r="D835" i="29"/>
  <c r="E835" i="29" s="1"/>
  <c r="D834" i="29"/>
  <c r="E834" i="29" s="1"/>
  <c r="D833" i="29"/>
  <c r="E833" i="29" s="1"/>
  <c r="D832" i="29"/>
  <c r="E832" i="29" s="1"/>
  <c r="D831" i="29"/>
  <c r="E831" i="29" s="1"/>
  <c r="D830" i="29"/>
  <c r="E830" i="29" s="1"/>
  <c r="D829" i="29"/>
  <c r="E829" i="29" s="1"/>
  <c r="D828" i="29"/>
  <c r="E828" i="29" s="1"/>
  <c r="D827" i="29"/>
  <c r="E827" i="29" s="1"/>
  <c r="D826" i="29"/>
  <c r="E826" i="29" s="1"/>
  <c r="D825" i="29"/>
  <c r="E825" i="29" s="1"/>
  <c r="D824" i="29"/>
  <c r="E824" i="29" s="1"/>
  <c r="D823" i="29"/>
  <c r="E823" i="29" s="1"/>
  <c r="D822" i="29"/>
  <c r="E822" i="29" s="1"/>
  <c r="D821" i="29"/>
  <c r="E821" i="29" s="1"/>
  <c r="D820" i="29"/>
  <c r="E820" i="29" s="1"/>
  <c r="D819" i="29"/>
  <c r="E819" i="29" s="1"/>
  <c r="D818" i="29"/>
  <c r="E818" i="29" s="1"/>
  <c r="D817" i="29"/>
  <c r="E817" i="29" s="1"/>
  <c r="D816" i="29"/>
  <c r="E816" i="29" s="1"/>
  <c r="D815" i="29"/>
  <c r="E815" i="29" s="1"/>
  <c r="D814" i="29"/>
  <c r="E814" i="29" s="1"/>
  <c r="D813" i="29"/>
  <c r="E813" i="29" s="1"/>
  <c r="D812" i="29"/>
  <c r="E812" i="29" s="1"/>
  <c r="D811" i="29"/>
  <c r="E811" i="29" s="1"/>
  <c r="D810" i="29"/>
  <c r="E810" i="29" s="1"/>
  <c r="D809" i="29"/>
  <c r="E809" i="29" s="1"/>
  <c r="D808" i="29"/>
  <c r="E808" i="29" s="1"/>
  <c r="D807" i="29"/>
  <c r="E807" i="29" s="1"/>
  <c r="D806" i="29"/>
  <c r="E806" i="29" s="1"/>
  <c r="D805" i="29"/>
  <c r="E805" i="29" s="1"/>
  <c r="D804" i="29"/>
  <c r="E804" i="29" s="1"/>
  <c r="D803" i="29"/>
  <c r="E803" i="29" s="1"/>
  <c r="D802" i="29"/>
  <c r="E802" i="29" s="1"/>
  <c r="D801" i="29"/>
  <c r="E801" i="29" s="1"/>
  <c r="D800" i="29"/>
  <c r="E800" i="29" s="1"/>
  <c r="D799" i="29"/>
  <c r="E799" i="29" s="1"/>
  <c r="D798" i="29"/>
  <c r="E798" i="29" s="1"/>
  <c r="D797" i="29"/>
  <c r="E797" i="29" s="1"/>
  <c r="D796" i="29"/>
  <c r="E796" i="29" s="1"/>
  <c r="D795" i="29"/>
  <c r="E795" i="29" s="1"/>
  <c r="D794" i="29"/>
  <c r="E794" i="29" s="1"/>
  <c r="D793" i="29"/>
  <c r="E793" i="29" s="1"/>
  <c r="D792" i="29"/>
  <c r="E792" i="29" s="1"/>
  <c r="D791" i="29"/>
  <c r="E791" i="29" s="1"/>
  <c r="D790" i="29"/>
  <c r="E790" i="29" s="1"/>
  <c r="D789" i="29"/>
  <c r="E789" i="29" s="1"/>
  <c r="D788" i="29"/>
  <c r="E788" i="29" s="1"/>
  <c r="D787" i="29"/>
  <c r="E787" i="29" s="1"/>
  <c r="D786" i="29"/>
  <c r="E786" i="29" s="1"/>
  <c r="D785" i="29"/>
  <c r="E785" i="29" s="1"/>
  <c r="D784" i="29"/>
  <c r="E784" i="29" s="1"/>
  <c r="D783" i="29"/>
  <c r="E783" i="29" s="1"/>
  <c r="D782" i="29"/>
  <c r="E782" i="29" s="1"/>
  <c r="D781" i="29"/>
  <c r="E781" i="29" s="1"/>
  <c r="D780" i="29"/>
  <c r="E780" i="29" s="1"/>
  <c r="D779" i="29"/>
  <c r="E779" i="29" s="1"/>
  <c r="D778" i="29"/>
  <c r="E778" i="29" s="1"/>
  <c r="D777" i="29"/>
  <c r="E777" i="29" s="1"/>
  <c r="D776" i="29"/>
  <c r="E776" i="29" s="1"/>
  <c r="D775" i="29"/>
  <c r="E775" i="29" s="1"/>
  <c r="D774" i="29"/>
  <c r="E774" i="29" s="1"/>
  <c r="D773" i="29"/>
  <c r="E773" i="29" s="1"/>
  <c r="D772" i="29"/>
  <c r="E772" i="29" s="1"/>
  <c r="D771" i="29"/>
  <c r="E771" i="29" s="1"/>
  <c r="D770" i="29"/>
  <c r="E770" i="29" s="1"/>
  <c r="D769" i="29"/>
  <c r="E769" i="29" s="1"/>
  <c r="D768" i="29"/>
  <c r="E768" i="29" s="1"/>
  <c r="D767" i="29"/>
  <c r="E767" i="29" s="1"/>
  <c r="D766" i="29"/>
  <c r="E766" i="29" s="1"/>
  <c r="D765" i="29"/>
  <c r="E765" i="29" s="1"/>
  <c r="D764" i="29"/>
  <c r="E764" i="29" s="1"/>
  <c r="D763" i="29"/>
  <c r="E763" i="29" s="1"/>
  <c r="D762" i="29"/>
  <c r="E762" i="29" s="1"/>
  <c r="D761" i="29"/>
  <c r="E761" i="29" s="1"/>
  <c r="D760" i="29"/>
  <c r="E760" i="29" s="1"/>
  <c r="D759" i="29"/>
  <c r="E759" i="29" s="1"/>
  <c r="D758" i="29"/>
  <c r="E758" i="29" s="1"/>
  <c r="D757" i="29"/>
  <c r="E757" i="29" s="1"/>
  <c r="D756" i="29"/>
  <c r="E756" i="29" s="1"/>
  <c r="D755" i="29"/>
  <c r="E755" i="29" s="1"/>
  <c r="D754" i="29"/>
  <c r="E754" i="29" s="1"/>
  <c r="D753" i="29"/>
  <c r="E753" i="29" s="1"/>
  <c r="D752" i="29"/>
  <c r="E752" i="29" s="1"/>
  <c r="D751" i="29"/>
  <c r="E751" i="29" s="1"/>
  <c r="D750" i="29"/>
  <c r="E750" i="29" s="1"/>
  <c r="D749" i="29"/>
  <c r="E749" i="29" s="1"/>
  <c r="D748" i="29"/>
  <c r="E748" i="29" s="1"/>
  <c r="D747" i="29"/>
  <c r="E747" i="29" s="1"/>
  <c r="D746" i="29"/>
  <c r="E746" i="29" s="1"/>
  <c r="D745" i="29"/>
  <c r="E745" i="29" s="1"/>
  <c r="D744" i="29"/>
  <c r="E744" i="29" s="1"/>
  <c r="D743" i="29"/>
  <c r="E743" i="29" s="1"/>
  <c r="D742" i="29"/>
  <c r="E742" i="29" s="1"/>
  <c r="D741" i="29"/>
  <c r="E741" i="29" s="1"/>
  <c r="D740" i="29"/>
  <c r="E740" i="29" s="1"/>
  <c r="D739" i="29"/>
  <c r="E739" i="29" s="1"/>
  <c r="D738" i="29"/>
  <c r="E738" i="29" s="1"/>
  <c r="D737" i="29"/>
  <c r="E737" i="29" s="1"/>
  <c r="D736" i="29"/>
  <c r="E736" i="29" s="1"/>
  <c r="D735" i="29"/>
  <c r="E735" i="29" s="1"/>
  <c r="D734" i="29"/>
  <c r="E734" i="29" s="1"/>
  <c r="D733" i="29"/>
  <c r="E733" i="29" s="1"/>
  <c r="D732" i="29"/>
  <c r="E732" i="29" s="1"/>
  <c r="D731" i="29"/>
  <c r="E731" i="29" s="1"/>
  <c r="D730" i="29"/>
  <c r="E730" i="29" s="1"/>
  <c r="D729" i="29"/>
  <c r="E729" i="29" s="1"/>
  <c r="D728" i="29"/>
  <c r="E728" i="29" s="1"/>
  <c r="D727" i="29"/>
  <c r="E727" i="29" s="1"/>
  <c r="D726" i="29"/>
  <c r="E726" i="29" s="1"/>
  <c r="D725" i="29"/>
  <c r="E725" i="29" s="1"/>
  <c r="D724" i="29"/>
  <c r="E724" i="29" s="1"/>
  <c r="D723" i="29"/>
  <c r="E723" i="29" s="1"/>
  <c r="D722" i="29"/>
  <c r="E722" i="29" s="1"/>
  <c r="D721" i="29"/>
  <c r="E721" i="29" s="1"/>
  <c r="D720" i="29"/>
  <c r="E720" i="29" s="1"/>
  <c r="D719" i="29"/>
  <c r="E719" i="29" s="1"/>
  <c r="D718" i="29"/>
  <c r="E718" i="29" s="1"/>
  <c r="D717" i="29"/>
  <c r="E717" i="29" s="1"/>
  <c r="D716" i="29"/>
  <c r="E716" i="29" s="1"/>
  <c r="D715" i="29"/>
  <c r="E715" i="29" s="1"/>
  <c r="D714" i="29"/>
  <c r="E714" i="29" s="1"/>
  <c r="D713" i="29"/>
  <c r="E713" i="29" s="1"/>
  <c r="D712" i="29"/>
  <c r="E712" i="29" s="1"/>
  <c r="D711" i="29"/>
  <c r="E711" i="29" s="1"/>
  <c r="D710" i="29"/>
  <c r="E710" i="29" s="1"/>
  <c r="D709" i="29"/>
  <c r="E709" i="29" s="1"/>
  <c r="D708" i="29"/>
  <c r="E708" i="29" s="1"/>
  <c r="D707" i="29"/>
  <c r="E707" i="29" s="1"/>
  <c r="D706" i="29"/>
  <c r="E706" i="29" s="1"/>
  <c r="D705" i="29"/>
  <c r="E705" i="29" s="1"/>
  <c r="D704" i="29"/>
  <c r="E704" i="29" s="1"/>
  <c r="D703" i="29"/>
  <c r="E703" i="29" s="1"/>
  <c r="D702" i="29"/>
  <c r="E702" i="29" s="1"/>
  <c r="D701" i="29"/>
  <c r="E701" i="29" s="1"/>
  <c r="D700" i="29"/>
  <c r="E700" i="29" s="1"/>
  <c r="D699" i="29"/>
  <c r="E699" i="29" s="1"/>
  <c r="D698" i="29"/>
  <c r="E698" i="29" s="1"/>
  <c r="D697" i="29"/>
  <c r="E697" i="29" s="1"/>
  <c r="D696" i="29"/>
  <c r="E696" i="29" s="1"/>
  <c r="D695" i="29"/>
  <c r="E695" i="29" s="1"/>
  <c r="D694" i="29"/>
  <c r="E694" i="29" s="1"/>
  <c r="D693" i="29"/>
  <c r="E693" i="29" s="1"/>
  <c r="D692" i="29"/>
  <c r="E692" i="29" s="1"/>
  <c r="D691" i="29"/>
  <c r="E691" i="29" s="1"/>
  <c r="D690" i="29"/>
  <c r="E690" i="29" s="1"/>
  <c r="D689" i="29"/>
  <c r="E689" i="29" s="1"/>
  <c r="D688" i="29"/>
  <c r="E688" i="29" s="1"/>
  <c r="D687" i="29"/>
  <c r="E687" i="29" s="1"/>
  <c r="D686" i="29"/>
  <c r="E686" i="29" s="1"/>
  <c r="D685" i="29"/>
  <c r="E685" i="29" s="1"/>
  <c r="D684" i="29"/>
  <c r="E684" i="29" s="1"/>
  <c r="D683" i="29"/>
  <c r="E683" i="29" s="1"/>
  <c r="D682" i="29"/>
  <c r="E682" i="29" s="1"/>
  <c r="D681" i="29"/>
  <c r="E681" i="29" s="1"/>
  <c r="D680" i="29"/>
  <c r="E680" i="29" s="1"/>
  <c r="D679" i="29"/>
  <c r="E679" i="29" s="1"/>
  <c r="D678" i="29"/>
  <c r="E678" i="29" s="1"/>
  <c r="D677" i="29"/>
  <c r="E677" i="29" s="1"/>
  <c r="D676" i="29"/>
  <c r="E676" i="29" s="1"/>
  <c r="D675" i="29"/>
  <c r="E675" i="29" s="1"/>
  <c r="D674" i="29"/>
  <c r="E674" i="29" s="1"/>
  <c r="D673" i="29"/>
  <c r="E673" i="29" s="1"/>
  <c r="D672" i="29"/>
  <c r="E672" i="29" s="1"/>
  <c r="D671" i="29"/>
  <c r="E671" i="29" s="1"/>
  <c r="D670" i="29"/>
  <c r="E670" i="29" s="1"/>
  <c r="D669" i="29"/>
  <c r="E669" i="29" s="1"/>
  <c r="D668" i="29"/>
  <c r="E668" i="29" s="1"/>
  <c r="D667" i="29"/>
  <c r="E667" i="29" s="1"/>
  <c r="D666" i="29"/>
  <c r="E666" i="29" s="1"/>
  <c r="D665" i="29"/>
  <c r="E665" i="29" s="1"/>
  <c r="D664" i="29"/>
  <c r="E664" i="29" s="1"/>
  <c r="D663" i="29"/>
  <c r="E663" i="29" s="1"/>
  <c r="D662" i="29"/>
  <c r="E662" i="29" s="1"/>
  <c r="D661" i="29"/>
  <c r="E661" i="29" s="1"/>
  <c r="D660" i="29"/>
  <c r="E660" i="29" s="1"/>
  <c r="D659" i="29"/>
  <c r="E659" i="29" s="1"/>
  <c r="D658" i="29"/>
  <c r="E658" i="29" s="1"/>
  <c r="D657" i="29"/>
  <c r="E657" i="29" s="1"/>
  <c r="D656" i="29"/>
  <c r="E656" i="29" s="1"/>
  <c r="D655" i="29"/>
  <c r="E655" i="29" s="1"/>
  <c r="D654" i="29"/>
  <c r="E654" i="29" s="1"/>
  <c r="D653" i="29"/>
  <c r="E653" i="29" s="1"/>
  <c r="D652" i="29"/>
  <c r="E652" i="29" s="1"/>
  <c r="D651" i="29"/>
  <c r="E651" i="29" s="1"/>
  <c r="D650" i="29"/>
  <c r="E650" i="29" s="1"/>
  <c r="D649" i="29"/>
  <c r="E649" i="29" s="1"/>
  <c r="D648" i="29"/>
  <c r="E648" i="29" s="1"/>
  <c r="D647" i="29"/>
  <c r="E647" i="29" s="1"/>
  <c r="D646" i="29"/>
  <c r="E646" i="29" s="1"/>
  <c r="D645" i="29"/>
  <c r="E645" i="29" s="1"/>
  <c r="D644" i="29"/>
  <c r="E644" i="29" s="1"/>
  <c r="D643" i="29"/>
  <c r="E643" i="29" s="1"/>
  <c r="D642" i="29"/>
  <c r="E642" i="29" s="1"/>
  <c r="D641" i="29"/>
  <c r="E641" i="29" s="1"/>
  <c r="D640" i="29"/>
  <c r="E640" i="29" s="1"/>
  <c r="D639" i="29"/>
  <c r="E639" i="29" s="1"/>
  <c r="D638" i="29"/>
  <c r="E638" i="29" s="1"/>
  <c r="D637" i="29"/>
  <c r="E637" i="29" s="1"/>
  <c r="D636" i="29"/>
  <c r="E636" i="29" s="1"/>
  <c r="D635" i="29"/>
  <c r="E635" i="29" s="1"/>
  <c r="D634" i="29"/>
  <c r="E634" i="29" s="1"/>
  <c r="D633" i="29"/>
  <c r="E633" i="29" s="1"/>
  <c r="D632" i="29"/>
  <c r="E632" i="29" s="1"/>
  <c r="D631" i="29"/>
  <c r="E631" i="29" s="1"/>
  <c r="D630" i="29"/>
  <c r="E630" i="29" s="1"/>
  <c r="D629" i="29"/>
  <c r="E629" i="29" s="1"/>
  <c r="D628" i="29"/>
  <c r="E628" i="29" s="1"/>
  <c r="D627" i="29"/>
  <c r="E627" i="29" s="1"/>
  <c r="D626" i="29"/>
  <c r="E626" i="29" s="1"/>
  <c r="D625" i="29"/>
  <c r="E625" i="29" s="1"/>
  <c r="D624" i="29"/>
  <c r="E624" i="29" s="1"/>
  <c r="D623" i="29"/>
  <c r="E623" i="29" s="1"/>
  <c r="D622" i="29"/>
  <c r="E622" i="29" s="1"/>
  <c r="D621" i="29"/>
  <c r="E621" i="29" s="1"/>
  <c r="D620" i="29"/>
  <c r="E620" i="29" s="1"/>
  <c r="D619" i="29"/>
  <c r="E619" i="29" s="1"/>
  <c r="D618" i="29"/>
  <c r="E618" i="29" s="1"/>
  <c r="D617" i="29"/>
  <c r="E617" i="29" s="1"/>
  <c r="D616" i="29"/>
  <c r="E616" i="29" s="1"/>
  <c r="D615" i="29"/>
  <c r="E615" i="29" s="1"/>
  <c r="D614" i="29"/>
  <c r="E614" i="29" s="1"/>
  <c r="D613" i="29"/>
  <c r="E613" i="29" s="1"/>
  <c r="D612" i="29"/>
  <c r="E612" i="29" s="1"/>
  <c r="D611" i="29"/>
  <c r="E611" i="29" s="1"/>
  <c r="D610" i="29"/>
  <c r="E610" i="29" s="1"/>
  <c r="D609" i="29"/>
  <c r="E609" i="29" s="1"/>
  <c r="D608" i="29"/>
  <c r="E608" i="29" s="1"/>
  <c r="D607" i="29"/>
  <c r="E607" i="29" s="1"/>
  <c r="D606" i="29"/>
  <c r="E606" i="29" s="1"/>
  <c r="D605" i="29"/>
  <c r="E605" i="29" s="1"/>
  <c r="D604" i="29"/>
  <c r="E604" i="29" s="1"/>
  <c r="D603" i="29"/>
  <c r="E603" i="29" s="1"/>
  <c r="D602" i="29"/>
  <c r="E602" i="29" s="1"/>
  <c r="D601" i="29"/>
  <c r="E601" i="29" s="1"/>
  <c r="D600" i="29"/>
  <c r="E600" i="29" s="1"/>
  <c r="D599" i="29"/>
  <c r="E599" i="29" s="1"/>
  <c r="D598" i="29"/>
  <c r="E598" i="29" s="1"/>
  <c r="D597" i="29"/>
  <c r="E597" i="29" s="1"/>
  <c r="D596" i="29"/>
  <c r="E596" i="29" s="1"/>
  <c r="D595" i="29"/>
  <c r="E595" i="29" s="1"/>
  <c r="D594" i="29"/>
  <c r="E594" i="29" s="1"/>
  <c r="D593" i="29"/>
  <c r="E593" i="29" s="1"/>
  <c r="D592" i="29"/>
  <c r="E592" i="29" s="1"/>
  <c r="D591" i="29"/>
  <c r="E591" i="29" s="1"/>
  <c r="D590" i="29"/>
  <c r="E590" i="29" s="1"/>
  <c r="D589" i="29"/>
  <c r="E589" i="29" s="1"/>
  <c r="D588" i="29"/>
  <c r="E588" i="29" s="1"/>
  <c r="D587" i="29"/>
  <c r="E587" i="29" s="1"/>
  <c r="D586" i="29"/>
  <c r="E586" i="29" s="1"/>
  <c r="D585" i="29"/>
  <c r="E585" i="29" s="1"/>
  <c r="D584" i="29"/>
  <c r="E584" i="29" s="1"/>
  <c r="D583" i="29"/>
  <c r="E583" i="29" s="1"/>
  <c r="D582" i="29"/>
  <c r="E582" i="29" s="1"/>
  <c r="D581" i="29"/>
  <c r="E581" i="29" s="1"/>
  <c r="D580" i="29"/>
  <c r="E580" i="29" s="1"/>
  <c r="D579" i="29"/>
  <c r="E579" i="29" s="1"/>
  <c r="D578" i="29"/>
  <c r="E578" i="29" s="1"/>
  <c r="D577" i="29"/>
  <c r="E577" i="29" s="1"/>
  <c r="D576" i="29"/>
  <c r="E576" i="29" s="1"/>
  <c r="D575" i="29"/>
  <c r="E575" i="29" s="1"/>
  <c r="D574" i="29"/>
  <c r="E574" i="29" s="1"/>
  <c r="D573" i="29"/>
  <c r="E573" i="29" s="1"/>
  <c r="D572" i="29"/>
  <c r="E572" i="29" s="1"/>
  <c r="D571" i="29"/>
  <c r="E571" i="29" s="1"/>
  <c r="D570" i="29"/>
  <c r="E570" i="29" s="1"/>
  <c r="D569" i="29"/>
  <c r="E569" i="29" s="1"/>
  <c r="D568" i="29"/>
  <c r="E568" i="29" s="1"/>
  <c r="D567" i="29"/>
  <c r="E567" i="29" s="1"/>
  <c r="D566" i="29"/>
  <c r="E566" i="29" s="1"/>
  <c r="D565" i="29"/>
  <c r="E565" i="29" s="1"/>
  <c r="D564" i="29"/>
  <c r="E564" i="29" s="1"/>
  <c r="D563" i="29"/>
  <c r="E563" i="29" s="1"/>
  <c r="D562" i="29"/>
  <c r="E562" i="29" s="1"/>
  <c r="D561" i="29"/>
  <c r="E561" i="29" s="1"/>
  <c r="D560" i="29"/>
  <c r="E560" i="29" s="1"/>
  <c r="D559" i="29"/>
  <c r="E559" i="29" s="1"/>
  <c r="D558" i="29"/>
  <c r="E558" i="29" s="1"/>
  <c r="D557" i="29"/>
  <c r="E557" i="29" s="1"/>
  <c r="D556" i="29"/>
  <c r="E556" i="29" s="1"/>
  <c r="D555" i="29"/>
  <c r="E555" i="29" s="1"/>
  <c r="D554" i="29"/>
  <c r="E554" i="29" s="1"/>
  <c r="D553" i="29"/>
  <c r="E553" i="29" s="1"/>
  <c r="D552" i="29"/>
  <c r="E552" i="29" s="1"/>
  <c r="D551" i="29"/>
  <c r="E551" i="29" s="1"/>
  <c r="D550" i="29"/>
  <c r="E550" i="29" s="1"/>
  <c r="D549" i="29"/>
  <c r="E549" i="29" s="1"/>
  <c r="D548" i="29"/>
  <c r="E548" i="29" s="1"/>
  <c r="D547" i="29"/>
  <c r="E547" i="29" s="1"/>
  <c r="D546" i="29"/>
  <c r="E546" i="29" s="1"/>
  <c r="D545" i="29"/>
  <c r="E545" i="29" s="1"/>
  <c r="D544" i="29"/>
  <c r="E544" i="29" s="1"/>
  <c r="D543" i="29"/>
  <c r="E543" i="29" s="1"/>
  <c r="D542" i="29"/>
  <c r="E542" i="29" s="1"/>
  <c r="D541" i="29"/>
  <c r="E541" i="29" s="1"/>
  <c r="D540" i="29"/>
  <c r="E540" i="29" s="1"/>
  <c r="D539" i="29"/>
  <c r="E539" i="29" s="1"/>
  <c r="D538" i="29"/>
  <c r="E538" i="29" s="1"/>
  <c r="D537" i="29"/>
  <c r="E537" i="29" s="1"/>
  <c r="D536" i="29"/>
  <c r="E536" i="29" s="1"/>
  <c r="D535" i="29"/>
  <c r="E535" i="29" s="1"/>
  <c r="D534" i="29"/>
  <c r="E534" i="29" s="1"/>
  <c r="D533" i="29"/>
  <c r="E533" i="29" s="1"/>
  <c r="D532" i="29"/>
  <c r="E532" i="29" s="1"/>
  <c r="D531" i="29"/>
  <c r="E531" i="29" s="1"/>
  <c r="D530" i="29"/>
  <c r="E530" i="29" s="1"/>
  <c r="D529" i="29"/>
  <c r="E529" i="29" s="1"/>
  <c r="D528" i="29"/>
  <c r="E528" i="29" s="1"/>
  <c r="D527" i="29"/>
  <c r="E527" i="29" s="1"/>
  <c r="D526" i="29"/>
  <c r="E526" i="29" s="1"/>
  <c r="D525" i="29"/>
  <c r="E525" i="29" s="1"/>
  <c r="D524" i="29"/>
  <c r="E524" i="29" s="1"/>
  <c r="D523" i="29"/>
  <c r="E523" i="29" s="1"/>
  <c r="D522" i="29"/>
  <c r="E522" i="29" s="1"/>
  <c r="D521" i="29"/>
  <c r="E521" i="29" s="1"/>
  <c r="D520" i="29"/>
  <c r="E520" i="29" s="1"/>
  <c r="D519" i="29"/>
  <c r="E519" i="29" s="1"/>
  <c r="D518" i="29"/>
  <c r="E518" i="29" s="1"/>
  <c r="D517" i="29"/>
  <c r="E517" i="29" s="1"/>
  <c r="D516" i="29"/>
  <c r="E516" i="29" s="1"/>
  <c r="D515" i="29"/>
  <c r="E515" i="29" s="1"/>
  <c r="D514" i="29"/>
  <c r="E514" i="29" s="1"/>
  <c r="D513" i="29"/>
  <c r="E513" i="29" s="1"/>
  <c r="D512" i="29"/>
  <c r="E512" i="29" s="1"/>
  <c r="D511" i="29"/>
  <c r="E511" i="29" s="1"/>
  <c r="D510" i="29"/>
  <c r="E510" i="29" s="1"/>
  <c r="D509" i="29"/>
  <c r="E509" i="29" s="1"/>
  <c r="D508" i="29"/>
  <c r="E508" i="29" s="1"/>
  <c r="D507" i="29"/>
  <c r="E507" i="29" s="1"/>
  <c r="D506" i="29"/>
  <c r="E506" i="29" s="1"/>
  <c r="D505" i="29"/>
  <c r="E505" i="29" s="1"/>
  <c r="D504" i="29"/>
  <c r="E504" i="29" s="1"/>
  <c r="D503" i="29"/>
  <c r="E503" i="29" s="1"/>
  <c r="D502" i="29"/>
  <c r="E502" i="29" s="1"/>
  <c r="D501" i="29"/>
  <c r="E501" i="29" s="1"/>
  <c r="D500" i="29"/>
  <c r="E500" i="29" s="1"/>
  <c r="D499" i="29"/>
  <c r="E499" i="29" s="1"/>
  <c r="D498" i="29"/>
  <c r="E498" i="29" s="1"/>
  <c r="D497" i="29"/>
  <c r="E497" i="29" s="1"/>
  <c r="D496" i="29"/>
  <c r="E496" i="29" s="1"/>
  <c r="D495" i="29"/>
  <c r="E495" i="29" s="1"/>
  <c r="D494" i="29"/>
  <c r="E494" i="29" s="1"/>
  <c r="D493" i="29"/>
  <c r="E493" i="29" s="1"/>
  <c r="D492" i="29"/>
  <c r="E492" i="29" s="1"/>
  <c r="D491" i="29"/>
  <c r="E491" i="29" s="1"/>
  <c r="D490" i="29"/>
  <c r="E490" i="29" s="1"/>
  <c r="D489" i="29"/>
  <c r="E489" i="29" s="1"/>
  <c r="D488" i="29"/>
  <c r="E488" i="29" s="1"/>
  <c r="D487" i="29"/>
  <c r="E487" i="29" s="1"/>
  <c r="D486" i="29"/>
  <c r="E486" i="29" s="1"/>
  <c r="D485" i="29"/>
  <c r="E485" i="29" s="1"/>
  <c r="D484" i="29"/>
  <c r="E484" i="29" s="1"/>
  <c r="D483" i="29"/>
  <c r="E483" i="29" s="1"/>
  <c r="D482" i="29"/>
  <c r="E482" i="29" s="1"/>
  <c r="D481" i="29"/>
  <c r="E481" i="29" s="1"/>
  <c r="D480" i="29"/>
  <c r="E480" i="29" s="1"/>
  <c r="D479" i="29"/>
  <c r="E479" i="29" s="1"/>
  <c r="D478" i="29"/>
  <c r="E478" i="29" s="1"/>
  <c r="D477" i="29"/>
  <c r="E477" i="29" s="1"/>
  <c r="D476" i="29"/>
  <c r="E476" i="29" s="1"/>
  <c r="D475" i="29"/>
  <c r="E475" i="29" s="1"/>
  <c r="D474" i="29"/>
  <c r="E474" i="29" s="1"/>
  <c r="D473" i="29"/>
  <c r="E473" i="29" s="1"/>
  <c r="D472" i="29"/>
  <c r="E472" i="29" s="1"/>
  <c r="D471" i="29"/>
  <c r="E471" i="29" s="1"/>
  <c r="D470" i="29"/>
  <c r="E470" i="29" s="1"/>
  <c r="D469" i="29"/>
  <c r="E469" i="29" s="1"/>
  <c r="D468" i="29"/>
  <c r="E468" i="29" s="1"/>
  <c r="D467" i="29"/>
  <c r="E467" i="29" s="1"/>
  <c r="D466" i="29"/>
  <c r="E466" i="29" s="1"/>
  <c r="D465" i="29"/>
  <c r="E465" i="29" s="1"/>
  <c r="D464" i="29"/>
  <c r="E464" i="29" s="1"/>
  <c r="D463" i="29"/>
  <c r="E463" i="29" s="1"/>
  <c r="D462" i="29"/>
  <c r="E462" i="29" s="1"/>
  <c r="D461" i="29"/>
  <c r="E461" i="29" s="1"/>
  <c r="D460" i="29"/>
  <c r="E460" i="29" s="1"/>
  <c r="D459" i="29"/>
  <c r="E459" i="29" s="1"/>
  <c r="D458" i="29"/>
  <c r="E458" i="29" s="1"/>
  <c r="D457" i="29"/>
  <c r="E457" i="29" s="1"/>
  <c r="D456" i="29"/>
  <c r="E456" i="29" s="1"/>
  <c r="D455" i="29"/>
  <c r="E455" i="29" s="1"/>
  <c r="D454" i="29"/>
  <c r="E454" i="29" s="1"/>
  <c r="D453" i="29"/>
  <c r="E453" i="29" s="1"/>
  <c r="D452" i="29"/>
  <c r="E452" i="29" s="1"/>
  <c r="D451" i="29"/>
  <c r="E451" i="29" s="1"/>
  <c r="D450" i="29"/>
  <c r="E450" i="29" s="1"/>
  <c r="D449" i="29"/>
  <c r="E449" i="29" s="1"/>
  <c r="D448" i="29"/>
  <c r="E448" i="29" s="1"/>
  <c r="D447" i="29"/>
  <c r="E447" i="29" s="1"/>
  <c r="D446" i="29"/>
  <c r="E446" i="29" s="1"/>
  <c r="D445" i="29"/>
  <c r="E445" i="29" s="1"/>
  <c r="D444" i="29"/>
  <c r="E444" i="29" s="1"/>
  <c r="D443" i="29"/>
  <c r="E443" i="29" s="1"/>
  <c r="D442" i="29"/>
  <c r="E442" i="29" s="1"/>
  <c r="D441" i="29"/>
  <c r="E441" i="29" s="1"/>
  <c r="D440" i="29"/>
  <c r="E440" i="29" s="1"/>
  <c r="D439" i="29"/>
  <c r="E439" i="29" s="1"/>
  <c r="D438" i="29"/>
  <c r="E438" i="29" s="1"/>
  <c r="D437" i="29"/>
  <c r="E437" i="29" s="1"/>
  <c r="D436" i="29"/>
  <c r="E436" i="29" s="1"/>
  <c r="D435" i="29"/>
  <c r="E435" i="29" s="1"/>
  <c r="D434" i="29"/>
  <c r="E434" i="29" s="1"/>
  <c r="D433" i="29"/>
  <c r="E433" i="29" s="1"/>
  <c r="D432" i="29"/>
  <c r="E432" i="29" s="1"/>
  <c r="D431" i="29"/>
  <c r="E431" i="29" s="1"/>
  <c r="D430" i="29"/>
  <c r="E430" i="29" s="1"/>
  <c r="D429" i="29"/>
  <c r="E429" i="29" s="1"/>
  <c r="D428" i="29"/>
  <c r="E428" i="29" s="1"/>
  <c r="D427" i="29"/>
  <c r="E427" i="29" s="1"/>
  <c r="D426" i="29"/>
  <c r="E426" i="29" s="1"/>
  <c r="D425" i="29"/>
  <c r="E425" i="29" s="1"/>
  <c r="D424" i="29"/>
  <c r="E424" i="29" s="1"/>
  <c r="D423" i="29"/>
  <c r="E423" i="29" s="1"/>
  <c r="D422" i="29"/>
  <c r="E422" i="29" s="1"/>
  <c r="D421" i="29"/>
  <c r="E421" i="29" s="1"/>
  <c r="D420" i="29"/>
  <c r="E420" i="29" s="1"/>
  <c r="D419" i="29"/>
  <c r="E419" i="29" s="1"/>
  <c r="D418" i="29"/>
  <c r="E418" i="29" s="1"/>
  <c r="D417" i="29"/>
  <c r="E417" i="29" s="1"/>
  <c r="D416" i="29"/>
  <c r="E416" i="29" s="1"/>
  <c r="D415" i="29"/>
  <c r="E415" i="29" s="1"/>
  <c r="D414" i="29"/>
  <c r="E414" i="29" s="1"/>
  <c r="D413" i="29"/>
  <c r="E413" i="29" s="1"/>
  <c r="D412" i="29"/>
  <c r="E412" i="29" s="1"/>
  <c r="D411" i="29"/>
  <c r="E411" i="29" s="1"/>
  <c r="D410" i="29"/>
  <c r="E410" i="29" s="1"/>
  <c r="D409" i="29"/>
  <c r="E409" i="29" s="1"/>
  <c r="D408" i="29"/>
  <c r="E408" i="29" s="1"/>
  <c r="D407" i="29"/>
  <c r="E407" i="29" s="1"/>
  <c r="D406" i="29"/>
  <c r="E406" i="29" s="1"/>
  <c r="D405" i="29"/>
  <c r="E405" i="29" s="1"/>
  <c r="D404" i="29"/>
  <c r="E404" i="29" s="1"/>
  <c r="D403" i="29"/>
  <c r="E403" i="29" s="1"/>
  <c r="D402" i="29"/>
  <c r="E402" i="29" s="1"/>
  <c r="D401" i="29"/>
  <c r="E401" i="29" s="1"/>
  <c r="D400" i="29"/>
  <c r="E400" i="29" s="1"/>
  <c r="D399" i="29"/>
  <c r="E399" i="29" s="1"/>
  <c r="D398" i="29"/>
  <c r="E398" i="29" s="1"/>
  <c r="D397" i="29"/>
  <c r="E397" i="29" s="1"/>
  <c r="D396" i="29"/>
  <c r="E396" i="29" s="1"/>
  <c r="D395" i="29"/>
  <c r="E395" i="29" s="1"/>
  <c r="D394" i="29"/>
  <c r="E394" i="29" s="1"/>
  <c r="D393" i="29"/>
  <c r="E393" i="29" s="1"/>
  <c r="D392" i="29"/>
  <c r="E392" i="29" s="1"/>
  <c r="D391" i="29"/>
  <c r="E391" i="29" s="1"/>
  <c r="D390" i="29"/>
  <c r="E390" i="29" s="1"/>
  <c r="D389" i="29"/>
  <c r="E389" i="29" s="1"/>
  <c r="D388" i="29"/>
  <c r="E388" i="29" s="1"/>
  <c r="D387" i="29"/>
  <c r="E387" i="29" s="1"/>
  <c r="D386" i="29"/>
  <c r="E386" i="29" s="1"/>
  <c r="D385" i="29"/>
  <c r="E385" i="29" s="1"/>
  <c r="D384" i="29"/>
  <c r="E384" i="29" s="1"/>
  <c r="D383" i="29"/>
  <c r="E383" i="29" s="1"/>
  <c r="D382" i="29"/>
  <c r="E382" i="29" s="1"/>
  <c r="D381" i="29"/>
  <c r="E381" i="29" s="1"/>
  <c r="D380" i="29"/>
  <c r="E380" i="29" s="1"/>
  <c r="D379" i="29"/>
  <c r="E379" i="29" s="1"/>
  <c r="D378" i="29"/>
  <c r="E378" i="29" s="1"/>
  <c r="D377" i="29"/>
  <c r="E377" i="29" s="1"/>
  <c r="D376" i="29"/>
  <c r="E376" i="29" s="1"/>
  <c r="D375" i="29"/>
  <c r="E375" i="29" s="1"/>
  <c r="D374" i="29"/>
  <c r="E374" i="29" s="1"/>
  <c r="D373" i="29"/>
  <c r="E373" i="29" s="1"/>
  <c r="D372" i="29"/>
  <c r="E372" i="29" s="1"/>
  <c r="D371" i="29"/>
  <c r="E371" i="29" s="1"/>
  <c r="D370" i="29"/>
  <c r="E370" i="29" s="1"/>
  <c r="D369" i="29"/>
  <c r="E369" i="29" s="1"/>
  <c r="D368" i="29"/>
  <c r="E368" i="29" s="1"/>
  <c r="D367" i="29"/>
  <c r="E367" i="29" s="1"/>
  <c r="D366" i="29"/>
  <c r="E366" i="29" s="1"/>
  <c r="D365" i="29"/>
  <c r="E365" i="29" s="1"/>
  <c r="D364" i="29"/>
  <c r="E364" i="29" s="1"/>
  <c r="D363" i="29"/>
  <c r="E363" i="29" s="1"/>
  <c r="D362" i="29"/>
  <c r="E362" i="29" s="1"/>
  <c r="D361" i="29"/>
  <c r="E361" i="29" s="1"/>
  <c r="D360" i="29"/>
  <c r="E360" i="29" s="1"/>
  <c r="D359" i="29"/>
  <c r="E359" i="29" s="1"/>
  <c r="D358" i="29"/>
  <c r="E358" i="29" s="1"/>
  <c r="D357" i="29"/>
  <c r="E357" i="29" s="1"/>
  <c r="D356" i="29"/>
  <c r="E356" i="29" s="1"/>
  <c r="D355" i="29"/>
  <c r="E355" i="29" s="1"/>
  <c r="D354" i="29"/>
  <c r="E354" i="29" s="1"/>
  <c r="D353" i="29"/>
  <c r="E353" i="29" s="1"/>
  <c r="D352" i="29"/>
  <c r="E352" i="29" s="1"/>
  <c r="D351" i="29"/>
  <c r="E351" i="29" s="1"/>
  <c r="D350" i="29"/>
  <c r="E350" i="29" s="1"/>
  <c r="D349" i="29"/>
  <c r="E349" i="29" s="1"/>
  <c r="D348" i="29"/>
  <c r="E348" i="29" s="1"/>
  <c r="D347" i="29"/>
  <c r="E347" i="29" s="1"/>
  <c r="D346" i="29"/>
  <c r="E346" i="29" s="1"/>
  <c r="D345" i="29"/>
  <c r="E345" i="29" s="1"/>
  <c r="D344" i="29"/>
  <c r="E344" i="29" s="1"/>
  <c r="D343" i="29"/>
  <c r="E343" i="29" s="1"/>
  <c r="D342" i="29"/>
  <c r="E342" i="29" s="1"/>
  <c r="D341" i="29"/>
  <c r="E341" i="29" s="1"/>
  <c r="D340" i="29"/>
  <c r="E340" i="29" s="1"/>
  <c r="D339" i="29"/>
  <c r="E339" i="29" s="1"/>
  <c r="D338" i="29"/>
  <c r="E338" i="29" s="1"/>
  <c r="D337" i="29"/>
  <c r="E337" i="29" s="1"/>
  <c r="D336" i="29"/>
  <c r="E336" i="29" s="1"/>
  <c r="D335" i="29"/>
  <c r="E335" i="29" s="1"/>
  <c r="D334" i="29"/>
  <c r="E334" i="29" s="1"/>
  <c r="D333" i="29"/>
  <c r="E333" i="29" s="1"/>
  <c r="D332" i="29"/>
  <c r="E332" i="29" s="1"/>
  <c r="D331" i="29"/>
  <c r="E331" i="29" s="1"/>
  <c r="D330" i="29"/>
  <c r="E330" i="29" s="1"/>
  <c r="D329" i="29"/>
  <c r="E329" i="29" s="1"/>
  <c r="D328" i="29"/>
  <c r="E328" i="29" s="1"/>
  <c r="D327" i="29"/>
  <c r="E327" i="29" s="1"/>
  <c r="D326" i="29"/>
  <c r="E326" i="29" s="1"/>
  <c r="D325" i="29"/>
  <c r="E325" i="29" s="1"/>
  <c r="D324" i="29"/>
  <c r="E324" i="29" s="1"/>
  <c r="D323" i="29"/>
  <c r="E323" i="29" s="1"/>
  <c r="D322" i="29"/>
  <c r="E322" i="29" s="1"/>
  <c r="D321" i="29"/>
  <c r="E321" i="29" s="1"/>
  <c r="D320" i="29"/>
  <c r="E320" i="29" s="1"/>
  <c r="D319" i="29"/>
  <c r="E319" i="29" s="1"/>
  <c r="D318" i="29"/>
  <c r="E318" i="29" s="1"/>
  <c r="D317" i="29"/>
  <c r="E317" i="29" s="1"/>
  <c r="D316" i="29"/>
  <c r="E316" i="29" s="1"/>
  <c r="D315" i="29"/>
  <c r="E315" i="29" s="1"/>
  <c r="D314" i="29"/>
  <c r="E314" i="29" s="1"/>
  <c r="D313" i="29"/>
  <c r="E313" i="29" s="1"/>
  <c r="D312" i="29"/>
  <c r="E312" i="29" s="1"/>
  <c r="D311" i="29"/>
  <c r="E311" i="29" s="1"/>
  <c r="D310" i="29"/>
  <c r="E310" i="29" s="1"/>
  <c r="D309" i="29"/>
  <c r="E309" i="29" s="1"/>
  <c r="D308" i="29"/>
  <c r="E308" i="29" s="1"/>
  <c r="D307" i="29"/>
  <c r="E307" i="29" s="1"/>
  <c r="D306" i="29"/>
  <c r="E306" i="29" s="1"/>
  <c r="D305" i="29"/>
  <c r="E305" i="29" s="1"/>
  <c r="D304" i="29"/>
  <c r="E304" i="29" s="1"/>
  <c r="D303" i="29"/>
  <c r="E303" i="29" s="1"/>
  <c r="D302" i="29"/>
  <c r="E302" i="29" s="1"/>
  <c r="D301" i="29"/>
  <c r="E301" i="29" s="1"/>
  <c r="D300" i="29"/>
  <c r="E300" i="29" s="1"/>
  <c r="D299" i="29"/>
  <c r="E299" i="29" s="1"/>
  <c r="D298" i="29"/>
  <c r="E298" i="29" s="1"/>
  <c r="D297" i="29"/>
  <c r="E297" i="29" s="1"/>
  <c r="D296" i="29"/>
  <c r="E296" i="29" s="1"/>
  <c r="D295" i="29"/>
  <c r="E295" i="29" s="1"/>
  <c r="D294" i="29"/>
  <c r="E294" i="29" s="1"/>
  <c r="D293" i="29"/>
  <c r="E293" i="29" s="1"/>
  <c r="D292" i="29"/>
  <c r="E292" i="29" s="1"/>
  <c r="D291" i="29"/>
  <c r="E291" i="29" s="1"/>
  <c r="D290" i="29"/>
  <c r="E290" i="29" s="1"/>
  <c r="D289" i="29"/>
  <c r="E289" i="29" s="1"/>
  <c r="D288" i="29"/>
  <c r="E288" i="29" s="1"/>
  <c r="D287" i="29"/>
  <c r="E287" i="29" s="1"/>
  <c r="D286" i="29"/>
  <c r="E286" i="29" s="1"/>
  <c r="D285" i="29"/>
  <c r="E285" i="29" s="1"/>
  <c r="D284" i="29"/>
  <c r="E284" i="29" s="1"/>
  <c r="D283" i="29"/>
  <c r="E283" i="29" s="1"/>
  <c r="D282" i="29"/>
  <c r="E282" i="29" s="1"/>
  <c r="D281" i="29"/>
  <c r="E281" i="29" s="1"/>
  <c r="D280" i="29"/>
  <c r="E280" i="29" s="1"/>
  <c r="D279" i="29"/>
  <c r="E279" i="29" s="1"/>
  <c r="D278" i="29"/>
  <c r="E278" i="29" s="1"/>
  <c r="D277" i="29"/>
  <c r="E277" i="29" s="1"/>
  <c r="D276" i="29"/>
  <c r="E276" i="29" s="1"/>
  <c r="D275" i="29"/>
  <c r="E275" i="29" s="1"/>
  <c r="D274" i="29"/>
  <c r="E274" i="29" s="1"/>
  <c r="D273" i="29"/>
  <c r="E273" i="29" s="1"/>
  <c r="D272" i="29"/>
  <c r="E272" i="29" s="1"/>
  <c r="D271" i="29"/>
  <c r="E271" i="29" s="1"/>
  <c r="D270" i="29"/>
  <c r="E270" i="29" s="1"/>
  <c r="D269" i="29"/>
  <c r="E269" i="29" s="1"/>
  <c r="D268" i="29"/>
  <c r="E268" i="29" s="1"/>
  <c r="D267" i="29"/>
  <c r="E267" i="29" s="1"/>
  <c r="D266" i="29"/>
  <c r="E266" i="29" s="1"/>
  <c r="D265" i="29"/>
  <c r="E265" i="29" s="1"/>
  <c r="D264" i="29"/>
  <c r="E264" i="29" s="1"/>
  <c r="D263" i="29"/>
  <c r="E263" i="29" s="1"/>
  <c r="D262" i="29"/>
  <c r="E262" i="29" s="1"/>
  <c r="D261" i="29"/>
  <c r="E261" i="29" s="1"/>
  <c r="D260" i="29"/>
  <c r="E260" i="29" s="1"/>
  <c r="D259" i="29"/>
  <c r="E259" i="29" s="1"/>
  <c r="D258" i="29"/>
  <c r="E258" i="29" s="1"/>
  <c r="D257" i="29"/>
  <c r="E257" i="29" s="1"/>
  <c r="D256" i="29"/>
  <c r="E256" i="29" s="1"/>
  <c r="D255" i="29"/>
  <c r="E255" i="29" s="1"/>
  <c r="D254" i="29"/>
  <c r="E254" i="29" s="1"/>
  <c r="D253" i="29"/>
  <c r="E253" i="29" s="1"/>
  <c r="D252" i="29"/>
  <c r="E252" i="29" s="1"/>
  <c r="D251" i="29"/>
  <c r="E251" i="29" s="1"/>
  <c r="D250" i="29"/>
  <c r="E250" i="29" s="1"/>
  <c r="D249" i="29"/>
  <c r="E249" i="29" s="1"/>
  <c r="D248" i="29"/>
  <c r="E248" i="29" s="1"/>
  <c r="D247" i="29"/>
  <c r="E247" i="29" s="1"/>
  <c r="D246" i="29"/>
  <c r="E246" i="29" s="1"/>
  <c r="D245" i="29"/>
  <c r="E245" i="29" s="1"/>
  <c r="D244" i="29"/>
  <c r="E244" i="29" s="1"/>
  <c r="D243" i="29"/>
  <c r="E243" i="29" s="1"/>
  <c r="D242" i="29"/>
  <c r="E242" i="29" s="1"/>
  <c r="D241" i="29"/>
  <c r="E241" i="29" s="1"/>
  <c r="D240" i="29"/>
  <c r="E240" i="29" s="1"/>
  <c r="D239" i="29"/>
  <c r="E239" i="29" s="1"/>
  <c r="D238" i="29"/>
  <c r="E238" i="29" s="1"/>
  <c r="D237" i="29"/>
  <c r="E237" i="29" s="1"/>
  <c r="D236" i="29"/>
  <c r="E236" i="29" s="1"/>
  <c r="D235" i="29"/>
  <c r="E235" i="29" s="1"/>
  <c r="D234" i="29"/>
  <c r="E234" i="29" s="1"/>
  <c r="D233" i="29"/>
  <c r="E233" i="29" s="1"/>
  <c r="D232" i="29"/>
  <c r="E232" i="29" s="1"/>
  <c r="D231" i="29"/>
  <c r="E231" i="29" s="1"/>
  <c r="D230" i="29"/>
  <c r="E230" i="29" s="1"/>
  <c r="D229" i="29"/>
  <c r="E229" i="29" s="1"/>
  <c r="D228" i="29"/>
  <c r="E228" i="29" s="1"/>
  <c r="D227" i="29"/>
  <c r="E227" i="29" s="1"/>
  <c r="D226" i="29"/>
  <c r="E226" i="29" s="1"/>
  <c r="D225" i="29"/>
  <c r="E225" i="29" s="1"/>
  <c r="D224" i="29"/>
  <c r="E224" i="29" s="1"/>
  <c r="D223" i="29"/>
  <c r="E223" i="29" s="1"/>
  <c r="D222" i="29"/>
  <c r="E222" i="29" s="1"/>
  <c r="D221" i="29"/>
  <c r="E221" i="29" s="1"/>
  <c r="D220" i="29"/>
  <c r="E220" i="29" s="1"/>
  <c r="D219" i="29"/>
  <c r="E219" i="29" s="1"/>
  <c r="D218" i="29"/>
  <c r="E218" i="29" s="1"/>
  <c r="D217" i="29"/>
  <c r="E217" i="29" s="1"/>
  <c r="D216" i="29"/>
  <c r="E216" i="29" s="1"/>
  <c r="D215" i="29"/>
  <c r="E215" i="29" s="1"/>
  <c r="D214" i="29"/>
  <c r="E214" i="29" s="1"/>
  <c r="D213" i="29"/>
  <c r="E213" i="29" s="1"/>
  <c r="D212" i="29"/>
  <c r="E212" i="29" s="1"/>
  <c r="D211" i="29"/>
  <c r="E211" i="29" s="1"/>
  <c r="D210" i="29"/>
  <c r="E210" i="29" s="1"/>
  <c r="D209" i="29"/>
  <c r="E209" i="29" s="1"/>
  <c r="D208" i="29"/>
  <c r="E208" i="29" s="1"/>
  <c r="D207" i="29"/>
  <c r="E207" i="29" s="1"/>
  <c r="D206" i="29"/>
  <c r="E206" i="29" s="1"/>
  <c r="D205" i="29"/>
  <c r="E205" i="29" s="1"/>
  <c r="D204" i="29"/>
  <c r="E204" i="29" s="1"/>
  <c r="D203" i="29"/>
  <c r="E203" i="29" s="1"/>
  <c r="D202" i="29"/>
  <c r="E202" i="29" s="1"/>
  <c r="D201" i="29"/>
  <c r="E201" i="29" s="1"/>
  <c r="D200" i="29"/>
  <c r="E200" i="29" s="1"/>
  <c r="D199" i="29"/>
  <c r="E199" i="29" s="1"/>
  <c r="D198" i="29"/>
  <c r="E198" i="29" s="1"/>
  <c r="D197" i="29"/>
  <c r="E197" i="29" s="1"/>
  <c r="D196" i="29"/>
  <c r="E196" i="29" s="1"/>
  <c r="D195" i="29"/>
  <c r="E195" i="29" s="1"/>
  <c r="D194" i="29"/>
  <c r="E194" i="29" s="1"/>
  <c r="D193" i="29"/>
  <c r="E193" i="29" s="1"/>
  <c r="D192" i="29"/>
  <c r="E192" i="29" s="1"/>
  <c r="D191" i="29"/>
  <c r="E191" i="29" s="1"/>
  <c r="D190" i="29"/>
  <c r="E190" i="29" s="1"/>
  <c r="D189" i="29"/>
  <c r="E189" i="29" s="1"/>
  <c r="D188" i="29"/>
  <c r="E188" i="29" s="1"/>
  <c r="D187" i="29"/>
  <c r="E187" i="29" s="1"/>
  <c r="D186" i="29"/>
  <c r="E186" i="29" s="1"/>
  <c r="D185" i="29"/>
  <c r="E185" i="29" s="1"/>
  <c r="D184" i="29"/>
  <c r="E184" i="29" s="1"/>
  <c r="D183" i="29"/>
  <c r="E183" i="29" s="1"/>
  <c r="D182" i="29"/>
  <c r="E182" i="29" s="1"/>
  <c r="D181" i="29"/>
  <c r="E181" i="29" s="1"/>
  <c r="D180" i="29"/>
  <c r="E180" i="29" s="1"/>
  <c r="D179" i="29"/>
  <c r="E179" i="29" s="1"/>
  <c r="D178" i="29"/>
  <c r="E178" i="29" s="1"/>
  <c r="D177" i="29"/>
  <c r="E177" i="29" s="1"/>
  <c r="D176" i="29"/>
  <c r="E176" i="29" s="1"/>
  <c r="D175" i="29"/>
  <c r="E175" i="29" s="1"/>
  <c r="D174" i="29"/>
  <c r="E174" i="29" s="1"/>
  <c r="D173" i="29"/>
  <c r="E173" i="29" s="1"/>
  <c r="D172" i="29"/>
  <c r="E172" i="29" s="1"/>
  <c r="D171" i="29"/>
  <c r="E171" i="29" s="1"/>
  <c r="D170" i="29"/>
  <c r="E170" i="29" s="1"/>
  <c r="D169" i="29"/>
  <c r="E169" i="29" s="1"/>
  <c r="D168" i="29"/>
  <c r="E168" i="29" s="1"/>
  <c r="D167" i="29"/>
  <c r="E167" i="29" s="1"/>
  <c r="D166" i="29"/>
  <c r="E166" i="29" s="1"/>
  <c r="D165" i="29"/>
  <c r="E165" i="29" s="1"/>
  <c r="D164" i="29"/>
  <c r="E164" i="29" s="1"/>
  <c r="D163" i="29"/>
  <c r="E163" i="29" s="1"/>
  <c r="D162" i="29"/>
  <c r="E162" i="29" s="1"/>
  <c r="D161" i="29"/>
  <c r="E161" i="29" s="1"/>
  <c r="D160" i="29"/>
  <c r="E160" i="29" s="1"/>
  <c r="D159" i="29"/>
  <c r="E159" i="29" s="1"/>
  <c r="D158" i="29"/>
  <c r="E158" i="29" s="1"/>
  <c r="D157" i="29"/>
  <c r="E157" i="29" s="1"/>
  <c r="D156" i="29"/>
  <c r="E156" i="29" s="1"/>
  <c r="D155" i="29"/>
  <c r="E155" i="29" s="1"/>
  <c r="D154" i="29"/>
  <c r="E154" i="29" s="1"/>
  <c r="D153" i="29"/>
  <c r="E153" i="29" s="1"/>
  <c r="D152" i="29"/>
  <c r="E152" i="29" s="1"/>
  <c r="D151" i="29"/>
  <c r="E151" i="29" s="1"/>
  <c r="D150" i="29"/>
  <c r="E150" i="29" s="1"/>
  <c r="D149" i="29"/>
  <c r="E149" i="29" s="1"/>
  <c r="D148" i="29"/>
  <c r="E148" i="29" s="1"/>
  <c r="D147" i="29"/>
  <c r="E147" i="29" s="1"/>
  <c r="D146" i="29"/>
  <c r="E146" i="29" s="1"/>
  <c r="D145" i="29"/>
  <c r="E145" i="29" s="1"/>
  <c r="D144" i="29"/>
  <c r="E144" i="29" s="1"/>
  <c r="D143" i="29"/>
  <c r="E143" i="29" s="1"/>
  <c r="D142" i="29"/>
  <c r="E142" i="29" s="1"/>
  <c r="D141" i="29"/>
  <c r="E141" i="29" s="1"/>
  <c r="D140" i="29"/>
  <c r="E140" i="29" s="1"/>
  <c r="D139" i="29"/>
  <c r="E139" i="29" s="1"/>
  <c r="D138" i="29"/>
  <c r="E138" i="29" s="1"/>
  <c r="D137" i="29"/>
  <c r="E137" i="29" s="1"/>
  <c r="D136" i="29"/>
  <c r="E136" i="29" s="1"/>
  <c r="D135" i="29"/>
  <c r="E135" i="29" s="1"/>
  <c r="D134" i="29"/>
  <c r="E134" i="29" s="1"/>
  <c r="D133" i="29"/>
  <c r="E133" i="29" s="1"/>
  <c r="D132" i="29"/>
  <c r="E132" i="29" s="1"/>
  <c r="D131" i="29"/>
  <c r="E131" i="29" s="1"/>
  <c r="D130" i="29"/>
  <c r="E130" i="29" s="1"/>
  <c r="D129" i="29"/>
  <c r="E129" i="29" s="1"/>
  <c r="D128" i="29"/>
  <c r="E128" i="29" s="1"/>
  <c r="D127" i="29"/>
  <c r="E127" i="29" s="1"/>
  <c r="D126" i="29"/>
  <c r="E126" i="29" s="1"/>
  <c r="D125" i="29"/>
  <c r="E125" i="29" s="1"/>
  <c r="D124" i="29"/>
  <c r="E124" i="29" s="1"/>
  <c r="D123" i="29"/>
  <c r="E123" i="29" s="1"/>
  <c r="D122" i="29"/>
  <c r="E122" i="29" s="1"/>
  <c r="D121" i="29"/>
  <c r="E121" i="29" s="1"/>
  <c r="D120" i="29"/>
  <c r="E120" i="29" s="1"/>
  <c r="D119" i="29"/>
  <c r="E119" i="29" s="1"/>
  <c r="D118" i="29"/>
  <c r="E118" i="29" s="1"/>
  <c r="D117" i="29"/>
  <c r="E117" i="29" s="1"/>
  <c r="D116" i="29"/>
  <c r="E116" i="29" s="1"/>
  <c r="D114" i="29"/>
  <c r="E114" i="29" s="1"/>
  <c r="D113" i="29"/>
  <c r="E113" i="29" s="1"/>
  <c r="D112" i="29"/>
  <c r="E112" i="29" s="1"/>
  <c r="D111" i="29"/>
  <c r="E111" i="29" s="1"/>
  <c r="D110" i="29"/>
  <c r="E110" i="29" s="1"/>
  <c r="D109" i="29"/>
  <c r="E109" i="29" s="1"/>
  <c r="D108" i="29"/>
  <c r="E108" i="29" s="1"/>
  <c r="D107" i="29"/>
  <c r="E107" i="29" s="1"/>
  <c r="D106" i="29"/>
  <c r="E106" i="29" s="1"/>
  <c r="D105" i="29"/>
  <c r="E105" i="29" s="1"/>
  <c r="D104" i="29"/>
  <c r="E104" i="29" s="1"/>
  <c r="D103" i="29"/>
  <c r="E103" i="29" s="1"/>
  <c r="D102" i="29"/>
  <c r="E102" i="29" s="1"/>
  <c r="D101" i="29"/>
  <c r="E101" i="29" s="1"/>
  <c r="D100" i="29"/>
  <c r="E100" i="29" s="1"/>
  <c r="D99" i="29"/>
  <c r="E99" i="29" s="1"/>
  <c r="D98" i="29"/>
  <c r="E98" i="29" s="1"/>
  <c r="D97" i="29"/>
  <c r="E97" i="29" s="1"/>
  <c r="D96" i="29"/>
  <c r="E96" i="29" s="1"/>
  <c r="D95" i="29"/>
  <c r="E95" i="29" s="1"/>
  <c r="D94" i="29"/>
  <c r="E94" i="29" s="1"/>
  <c r="D93" i="29"/>
  <c r="E93" i="29" s="1"/>
  <c r="D92" i="29"/>
  <c r="E92" i="29" s="1"/>
  <c r="D91" i="29"/>
  <c r="E91" i="29" s="1"/>
  <c r="D90" i="29"/>
  <c r="E90" i="29" s="1"/>
  <c r="D89" i="29"/>
  <c r="E89" i="29" s="1"/>
  <c r="D88" i="29"/>
  <c r="E88" i="29" s="1"/>
  <c r="D87" i="29"/>
  <c r="E87" i="29" s="1"/>
  <c r="D86" i="29"/>
  <c r="E86" i="29" s="1"/>
  <c r="D85" i="29"/>
  <c r="E85" i="29" s="1"/>
  <c r="D84" i="29"/>
  <c r="E84" i="29" s="1"/>
  <c r="D83" i="29"/>
  <c r="E83" i="29" s="1"/>
  <c r="D82" i="29"/>
  <c r="E82" i="29" s="1"/>
  <c r="D81" i="29"/>
  <c r="E81" i="29" s="1"/>
  <c r="D80" i="29"/>
  <c r="E80" i="29" s="1"/>
  <c r="D79" i="29"/>
  <c r="E79" i="29" s="1"/>
  <c r="D78" i="29"/>
  <c r="E78" i="29" s="1"/>
  <c r="D77" i="29"/>
  <c r="E77" i="29" s="1"/>
  <c r="D76" i="29"/>
  <c r="E76" i="29" s="1"/>
  <c r="D75" i="29"/>
  <c r="E75" i="29" s="1"/>
  <c r="D74" i="29"/>
  <c r="E74" i="29" s="1"/>
  <c r="D73" i="29"/>
  <c r="E73" i="29" s="1"/>
  <c r="D72" i="29"/>
  <c r="E72" i="29" s="1"/>
  <c r="D71" i="29"/>
  <c r="E71" i="29" s="1"/>
  <c r="D70" i="29"/>
  <c r="E70" i="29" s="1"/>
  <c r="D69" i="29"/>
  <c r="E69" i="29" s="1"/>
  <c r="D68" i="29"/>
  <c r="E68" i="29" s="1"/>
  <c r="D67" i="29"/>
  <c r="E67" i="29" s="1"/>
  <c r="D66" i="29"/>
  <c r="E66" i="29" s="1"/>
  <c r="D65" i="29"/>
  <c r="E65" i="29" s="1"/>
  <c r="D64" i="29"/>
  <c r="E64" i="29" s="1"/>
  <c r="D63" i="29"/>
  <c r="E63" i="29" s="1"/>
  <c r="D62" i="29"/>
  <c r="E62" i="29" s="1"/>
  <c r="D61" i="29"/>
  <c r="E61" i="29" s="1"/>
  <c r="D60" i="29"/>
  <c r="E60" i="29" s="1"/>
  <c r="D59" i="29"/>
  <c r="E59" i="29" s="1"/>
  <c r="D58" i="29"/>
  <c r="E58" i="29" s="1"/>
  <c r="D57" i="29"/>
  <c r="E57" i="29" s="1"/>
  <c r="D56" i="29"/>
  <c r="E56" i="29" s="1"/>
  <c r="D55" i="29"/>
  <c r="E55" i="29" s="1"/>
  <c r="D54" i="29"/>
  <c r="E54" i="29" s="1"/>
  <c r="D53" i="29"/>
  <c r="E53" i="29" s="1"/>
  <c r="D52" i="29"/>
  <c r="E52" i="29" s="1"/>
  <c r="D51" i="29"/>
  <c r="E51" i="29" s="1"/>
  <c r="D50" i="29"/>
  <c r="E50" i="29" s="1"/>
  <c r="D49" i="29"/>
  <c r="E49" i="29" s="1"/>
  <c r="D48" i="29"/>
  <c r="E48" i="29" s="1"/>
  <c r="D47" i="29"/>
  <c r="E47" i="29" s="1"/>
  <c r="D46" i="29"/>
  <c r="E46" i="29" s="1"/>
  <c r="D45" i="29"/>
  <c r="E45" i="29" s="1"/>
  <c r="D44" i="29"/>
  <c r="E44" i="29" s="1"/>
  <c r="D43" i="29"/>
  <c r="E43" i="29" s="1"/>
  <c r="D42" i="29"/>
  <c r="E42" i="29" s="1"/>
  <c r="D41" i="29"/>
  <c r="E41" i="29" s="1"/>
  <c r="D40" i="29"/>
  <c r="E40" i="29" s="1"/>
  <c r="D39" i="29"/>
  <c r="E39" i="29" s="1"/>
  <c r="D38" i="29"/>
  <c r="E38" i="29" s="1"/>
  <c r="D37" i="29"/>
  <c r="E37" i="29" s="1"/>
  <c r="D36" i="29"/>
  <c r="E36" i="29" s="1"/>
  <c r="D35" i="29"/>
  <c r="E35" i="29" s="1"/>
  <c r="D34" i="29"/>
  <c r="E34" i="29" s="1"/>
  <c r="D33" i="29"/>
  <c r="E33" i="29" s="1"/>
  <c r="D32" i="29"/>
  <c r="E32" i="29" s="1"/>
  <c r="D31" i="29"/>
  <c r="E31" i="29" s="1"/>
  <c r="D30" i="29"/>
  <c r="E30" i="29" s="1"/>
  <c r="D29" i="29"/>
  <c r="E29" i="29" s="1"/>
  <c r="D28" i="29"/>
  <c r="E28" i="29" s="1"/>
  <c r="D27" i="29"/>
  <c r="E27" i="29" s="1"/>
  <c r="D26" i="29"/>
  <c r="E26" i="29" s="1"/>
  <c r="D25" i="29"/>
  <c r="E25" i="29" s="1"/>
  <c r="D24" i="29"/>
  <c r="E24" i="29" s="1"/>
  <c r="D23" i="29"/>
  <c r="E23" i="29" s="1"/>
  <c r="D22" i="29"/>
  <c r="E22" i="29" s="1"/>
  <c r="D21" i="29"/>
  <c r="E21" i="29" s="1"/>
  <c r="D20" i="29"/>
  <c r="E20" i="29" s="1"/>
  <c r="D19" i="29"/>
  <c r="E19" i="29" s="1"/>
  <c r="D18" i="29"/>
  <c r="E18" i="29" s="1"/>
  <c r="D17" i="29"/>
  <c r="E17" i="29" s="1"/>
  <c r="D16" i="29"/>
  <c r="E16" i="29" s="1"/>
  <c r="D15" i="29"/>
  <c r="E15" i="29" s="1"/>
  <c r="D14" i="29"/>
  <c r="E14" i="29" s="1"/>
  <c r="D13" i="29"/>
  <c r="E13" i="29" s="1"/>
  <c r="D12" i="29"/>
  <c r="E12" i="29" s="1"/>
  <c r="D11" i="29"/>
  <c r="E11" i="29" s="1"/>
  <c r="D10" i="29"/>
  <c r="E10" i="29" s="1"/>
  <c r="D9" i="29"/>
  <c r="E9" i="29" s="1"/>
  <c r="D8" i="29"/>
  <c r="E8" i="29" s="1"/>
  <c r="D7" i="29"/>
  <c r="E7" i="29" s="1"/>
  <c r="D6" i="29"/>
  <c r="E6" i="29" s="1"/>
  <c r="D5" i="29"/>
  <c r="E5" i="29" s="1"/>
  <c r="D4" i="29"/>
  <c r="E4" i="29" s="1"/>
  <c r="D3" i="29"/>
  <c r="E3" i="29" s="1"/>
  <c r="D2" i="29"/>
  <c r="E2" i="29" s="1"/>
  <c r="D115" i="29"/>
  <c r="E115" i="29" s="1"/>
  <c r="O5" i="20"/>
  <c r="N5" i="20"/>
  <c r="O2" i="20"/>
  <c r="N2" i="20"/>
  <c r="O4" i="20"/>
  <c r="N4" i="20"/>
  <c r="O3" i="20"/>
  <c r="N3" i="20"/>
  <c r="H5318" i="18"/>
  <c r="H5317" i="18"/>
  <c r="H5316" i="18"/>
  <c r="H5315" i="18"/>
  <c r="H5314" i="18"/>
  <c r="H5313" i="18"/>
  <c r="H5312" i="18"/>
  <c r="H5311" i="18"/>
  <c r="H5310" i="18"/>
  <c r="H5309" i="18"/>
  <c r="H5308" i="18"/>
  <c r="H5307" i="18"/>
  <c r="H5306" i="18"/>
  <c r="H5305" i="18"/>
  <c r="H5304" i="18"/>
  <c r="H5303" i="18"/>
  <c r="H5302" i="18"/>
  <c r="H5301" i="18"/>
  <c r="H5300" i="18"/>
  <c r="H5299" i="18"/>
  <c r="H5298" i="18"/>
  <c r="H5297" i="18"/>
  <c r="H5296" i="18"/>
  <c r="H5295" i="18"/>
  <c r="H5294" i="18"/>
  <c r="H5293" i="18"/>
  <c r="H5292" i="18"/>
  <c r="H5291" i="18"/>
  <c r="H5290" i="18"/>
  <c r="H5289" i="18"/>
  <c r="H5288" i="18"/>
  <c r="H5287" i="18"/>
  <c r="H5286" i="18"/>
  <c r="H5285" i="18"/>
  <c r="H5284" i="18"/>
  <c r="H5283" i="18"/>
  <c r="H5282" i="18"/>
  <c r="H5281" i="18"/>
  <c r="H5280" i="18"/>
  <c r="H5279" i="18"/>
  <c r="H5278" i="18"/>
  <c r="H5277" i="18"/>
  <c r="H5276" i="18"/>
  <c r="H5275" i="18"/>
  <c r="H5274" i="18"/>
  <c r="H5273" i="18"/>
  <c r="H5272" i="18"/>
  <c r="H5271" i="18"/>
  <c r="H5270" i="18"/>
  <c r="H5269" i="18"/>
  <c r="H5268" i="18"/>
  <c r="H5267" i="18"/>
  <c r="H5266" i="18"/>
  <c r="H5265" i="18"/>
  <c r="H5264" i="18"/>
  <c r="H5263" i="18"/>
  <c r="H5262" i="18"/>
  <c r="H5261" i="18"/>
  <c r="H5260" i="18"/>
  <c r="H5259" i="18"/>
  <c r="H5258" i="18"/>
  <c r="H5257" i="18"/>
  <c r="H5256" i="18"/>
  <c r="H5255" i="18"/>
  <c r="H5254" i="18"/>
  <c r="H5253" i="18"/>
  <c r="H5252" i="18"/>
  <c r="H5251" i="18"/>
  <c r="H5250" i="18"/>
  <c r="H5249" i="18"/>
  <c r="H5248" i="18"/>
  <c r="H5247" i="18"/>
  <c r="H5246" i="18"/>
  <c r="H5245" i="18"/>
  <c r="H5244" i="18"/>
  <c r="H5243" i="18"/>
  <c r="H5242" i="18"/>
  <c r="H5241" i="18"/>
  <c r="H5240" i="18"/>
  <c r="H5239" i="18"/>
  <c r="H5238" i="18"/>
  <c r="H5237" i="18"/>
  <c r="H5236" i="18"/>
  <c r="H5235" i="18"/>
  <c r="H5234" i="18"/>
  <c r="H5233" i="18"/>
  <c r="H5232" i="18"/>
  <c r="H5231" i="18"/>
  <c r="H5230" i="18"/>
  <c r="H5229" i="18"/>
  <c r="H5228" i="18"/>
  <c r="H5227" i="18"/>
  <c r="H5226" i="18"/>
  <c r="H5225" i="18"/>
  <c r="H5224" i="18"/>
  <c r="H5223" i="18"/>
  <c r="H5222" i="18"/>
  <c r="H5221" i="18"/>
  <c r="H5220" i="18"/>
  <c r="H5219" i="18"/>
  <c r="H5218" i="18"/>
  <c r="H5217" i="18"/>
  <c r="H5216" i="18"/>
  <c r="H5215" i="18"/>
  <c r="H5214" i="18"/>
  <c r="H5213" i="18"/>
  <c r="H5212" i="18"/>
  <c r="H5211" i="18"/>
  <c r="H5210" i="18"/>
  <c r="H5209" i="18"/>
  <c r="H5208" i="18"/>
  <c r="H5207" i="18"/>
  <c r="H5206" i="18"/>
  <c r="H5205" i="18"/>
  <c r="H5204" i="18"/>
  <c r="H5203" i="18"/>
  <c r="H5202" i="18"/>
  <c r="H5201" i="18"/>
  <c r="H5200" i="18"/>
  <c r="H5199" i="18"/>
  <c r="H5198" i="18"/>
  <c r="H5197" i="18"/>
  <c r="H5196" i="18"/>
  <c r="H5195" i="18"/>
  <c r="H5194" i="18"/>
  <c r="H5193" i="18"/>
  <c r="H5192" i="18"/>
  <c r="H5191" i="18"/>
  <c r="H5190" i="18"/>
  <c r="H5189" i="18"/>
  <c r="H5188" i="18"/>
  <c r="H5187" i="18"/>
  <c r="H5186" i="18"/>
  <c r="H5185" i="18"/>
  <c r="H5184" i="18"/>
  <c r="H5183" i="18"/>
  <c r="H5182" i="18"/>
  <c r="H5181" i="18"/>
  <c r="H5180" i="18"/>
  <c r="H5179" i="18"/>
  <c r="H5178" i="18"/>
  <c r="H5177" i="18"/>
  <c r="H5176" i="18"/>
  <c r="H5175" i="18"/>
  <c r="H5174" i="18"/>
  <c r="H5173" i="18"/>
  <c r="H5172" i="18"/>
  <c r="H5171" i="18"/>
  <c r="H5170" i="18"/>
  <c r="H5169" i="18"/>
  <c r="H5168" i="18"/>
  <c r="H5167" i="18"/>
  <c r="H5166" i="18"/>
  <c r="H5165" i="18"/>
  <c r="H5164" i="18"/>
  <c r="H5163" i="18"/>
  <c r="H5162" i="18"/>
  <c r="H5161" i="18"/>
  <c r="H5160" i="18"/>
  <c r="H5159" i="18"/>
  <c r="H5158" i="18"/>
  <c r="H5157" i="18"/>
  <c r="H5156" i="18"/>
  <c r="H5155" i="18"/>
  <c r="H5154" i="18"/>
  <c r="H5153" i="18"/>
  <c r="H5152" i="18"/>
  <c r="H5151" i="18"/>
  <c r="H5150" i="18"/>
  <c r="H5149" i="18"/>
  <c r="H5148" i="18"/>
  <c r="H5147" i="18"/>
  <c r="H5146" i="18"/>
  <c r="H5145" i="18"/>
  <c r="H5144" i="18"/>
  <c r="H5143" i="18"/>
  <c r="H5142" i="18"/>
  <c r="H5141" i="18"/>
  <c r="H5140" i="18"/>
  <c r="H5139" i="18"/>
  <c r="H5138" i="18"/>
  <c r="H5137" i="18"/>
  <c r="H5136" i="18"/>
  <c r="H5135" i="18"/>
  <c r="H5134" i="18"/>
  <c r="H5133" i="18"/>
  <c r="H5132" i="18"/>
  <c r="H5131" i="18"/>
  <c r="H5130" i="18"/>
  <c r="H5129" i="18"/>
  <c r="H5128" i="18"/>
  <c r="H5127" i="18"/>
  <c r="H5126" i="18"/>
  <c r="H5125" i="18"/>
  <c r="H5124" i="18"/>
  <c r="H5123" i="18"/>
  <c r="H5122" i="18"/>
  <c r="H5121" i="18"/>
  <c r="H5120" i="18"/>
  <c r="H5119" i="18"/>
  <c r="H5118" i="18"/>
  <c r="B5118" i="18" a="1"/>
  <c r="H5117" i="18"/>
  <c r="H5116" i="18"/>
  <c r="H5115" i="18"/>
  <c r="H5114" i="18"/>
  <c r="H5113" i="18"/>
  <c r="H5112" i="18"/>
  <c r="H5111" i="18"/>
  <c r="H5110" i="18"/>
  <c r="H5109" i="18"/>
  <c r="H5108" i="18"/>
  <c r="H5107" i="18"/>
  <c r="H5106" i="18"/>
  <c r="H5105" i="18"/>
  <c r="H5104" i="18"/>
  <c r="H5103" i="18"/>
  <c r="H5102" i="18"/>
  <c r="H5101" i="18"/>
  <c r="H5100" i="18"/>
  <c r="H5099" i="18"/>
  <c r="H5098" i="18"/>
  <c r="H5097" i="18"/>
  <c r="H5096" i="18"/>
  <c r="H5095" i="18"/>
  <c r="H5094" i="18"/>
  <c r="H5093" i="18"/>
  <c r="H5092" i="18"/>
  <c r="H5091" i="18"/>
  <c r="H5090" i="18"/>
  <c r="H5089" i="18"/>
  <c r="H5088" i="18"/>
  <c r="H5087" i="18"/>
  <c r="H5086" i="18"/>
  <c r="H5085" i="18"/>
  <c r="H5084" i="18"/>
  <c r="H5083" i="18"/>
  <c r="H5082" i="18"/>
  <c r="H5081" i="18"/>
  <c r="H5080" i="18"/>
  <c r="H5079" i="18"/>
  <c r="H5078" i="18"/>
  <c r="H5077" i="18"/>
  <c r="H5076" i="18"/>
  <c r="H5075" i="18"/>
  <c r="H5074" i="18"/>
  <c r="H5073" i="18"/>
  <c r="H5072" i="18"/>
  <c r="H5071" i="18"/>
  <c r="H5070" i="18"/>
  <c r="H5069" i="18"/>
  <c r="H5068" i="18"/>
  <c r="H5067" i="18"/>
  <c r="H5066" i="18"/>
  <c r="H5065" i="18"/>
  <c r="H5064" i="18"/>
  <c r="H5063" i="18"/>
  <c r="H5062" i="18"/>
  <c r="H5061" i="18"/>
  <c r="H5060" i="18"/>
  <c r="H5059" i="18"/>
  <c r="H5058" i="18"/>
  <c r="H5057" i="18"/>
  <c r="H5056" i="18"/>
  <c r="H5055" i="18"/>
  <c r="H5054" i="18"/>
  <c r="H5053" i="18"/>
  <c r="H5052" i="18"/>
  <c r="H5051" i="18"/>
  <c r="H5050" i="18"/>
  <c r="H5049" i="18"/>
  <c r="H5048" i="18"/>
  <c r="H5047" i="18"/>
  <c r="H5046" i="18"/>
  <c r="H5045" i="18"/>
  <c r="H5044" i="18"/>
  <c r="H5043" i="18"/>
  <c r="H5042" i="18"/>
  <c r="H5041" i="18"/>
  <c r="H5040" i="18"/>
  <c r="H5039" i="18"/>
  <c r="H5038" i="18"/>
  <c r="H5037" i="18"/>
  <c r="H5036" i="18"/>
  <c r="H5035" i="18"/>
  <c r="H5034" i="18"/>
  <c r="H5033" i="18"/>
  <c r="H5032" i="18"/>
  <c r="H5031" i="18"/>
  <c r="H5030" i="18"/>
  <c r="H5029" i="18"/>
  <c r="H5028" i="18"/>
  <c r="H5027" i="18"/>
  <c r="H5026" i="18"/>
  <c r="H5025" i="18"/>
  <c r="H5024" i="18"/>
  <c r="H5023" i="18"/>
  <c r="H5022" i="18"/>
  <c r="H5021" i="18"/>
  <c r="H5020" i="18"/>
  <c r="H5019" i="18"/>
  <c r="H5018" i="18"/>
  <c r="H5017" i="18"/>
  <c r="H5016" i="18"/>
  <c r="H5015" i="18"/>
  <c r="H5014" i="18"/>
  <c r="H5013" i="18"/>
  <c r="H5012" i="18"/>
  <c r="H5011" i="18"/>
  <c r="H5010" i="18"/>
  <c r="H5009" i="18"/>
  <c r="H5008" i="18"/>
  <c r="H5007" i="18"/>
  <c r="H5006" i="18"/>
  <c r="H5005" i="18"/>
  <c r="H5004" i="18"/>
  <c r="H5003" i="18"/>
  <c r="H5002" i="18"/>
  <c r="H5001" i="18"/>
  <c r="H5000" i="18"/>
  <c r="H4999" i="18"/>
  <c r="H4998" i="18"/>
  <c r="H4997" i="18"/>
  <c r="H4996" i="18"/>
  <c r="H4995" i="18"/>
  <c r="H4994" i="18"/>
  <c r="H4993" i="18"/>
  <c r="H4992" i="18"/>
  <c r="H4991" i="18"/>
  <c r="H4990" i="18"/>
  <c r="H4989" i="18"/>
  <c r="H4988" i="18"/>
  <c r="H4987" i="18"/>
  <c r="H4986" i="18"/>
  <c r="H4985" i="18"/>
  <c r="H4984" i="18"/>
  <c r="H4983" i="18"/>
  <c r="H4982" i="18"/>
  <c r="H4981" i="18"/>
  <c r="H4980" i="18"/>
  <c r="H4979" i="18"/>
  <c r="H4978" i="18"/>
  <c r="H4977" i="18"/>
  <c r="H4976" i="18"/>
  <c r="H4975" i="18"/>
  <c r="H4974" i="18"/>
  <c r="H4973" i="18"/>
  <c r="H4972" i="18"/>
  <c r="H4971" i="18"/>
  <c r="H4970" i="18"/>
  <c r="H4969" i="18"/>
  <c r="H4968" i="18"/>
  <c r="H4967" i="18"/>
  <c r="H4966" i="18"/>
  <c r="H4965" i="18"/>
  <c r="H4964" i="18"/>
  <c r="H4963" i="18"/>
  <c r="H4962" i="18"/>
  <c r="H4961" i="18"/>
  <c r="H4960" i="18"/>
  <c r="H4959" i="18"/>
  <c r="H4958" i="18"/>
  <c r="H4957" i="18"/>
  <c r="H4956" i="18"/>
  <c r="H4955" i="18"/>
  <c r="H4954" i="18"/>
  <c r="H4953" i="18"/>
  <c r="H4952" i="18"/>
  <c r="H4951" i="18"/>
  <c r="H4950" i="18"/>
  <c r="H4949" i="18"/>
  <c r="H4948" i="18"/>
  <c r="H4947" i="18"/>
  <c r="H4946" i="18"/>
  <c r="H4945" i="18"/>
  <c r="H4944" i="18"/>
  <c r="H4943" i="18"/>
  <c r="H4942" i="18"/>
  <c r="H4941" i="18"/>
  <c r="H4940" i="18"/>
  <c r="H4939" i="18"/>
  <c r="H4938" i="18"/>
  <c r="H4937" i="18"/>
  <c r="H4936" i="18"/>
  <c r="H4935" i="18"/>
  <c r="H4934" i="18"/>
  <c r="H4933" i="18"/>
  <c r="H4932" i="18"/>
  <c r="H4931" i="18"/>
  <c r="H4930" i="18"/>
  <c r="H4929" i="18"/>
  <c r="H4928" i="18"/>
  <c r="H4927" i="18"/>
  <c r="H4926" i="18"/>
  <c r="H4925" i="18"/>
  <c r="H4924" i="18"/>
  <c r="H4923" i="18"/>
  <c r="H4922" i="18"/>
  <c r="H4921" i="18"/>
  <c r="H4920" i="18"/>
  <c r="H4919" i="18"/>
  <c r="H4918" i="18"/>
  <c r="H4917" i="18"/>
  <c r="H4916" i="18"/>
  <c r="H4915" i="18"/>
  <c r="H4914" i="18"/>
  <c r="H4913" i="18"/>
  <c r="H4912" i="18"/>
  <c r="H4911" i="18"/>
  <c r="H4910" i="18"/>
  <c r="H4909" i="18"/>
  <c r="H4908" i="18"/>
  <c r="H4907" i="18"/>
  <c r="H4906" i="18"/>
  <c r="H4905" i="18"/>
  <c r="H4904" i="18"/>
  <c r="H4903" i="18"/>
  <c r="H4902" i="18"/>
  <c r="H4901" i="18"/>
  <c r="H4900" i="18"/>
  <c r="H4899" i="18"/>
  <c r="H4898" i="18"/>
  <c r="H4897" i="18"/>
  <c r="H4896" i="18"/>
  <c r="H4895" i="18"/>
  <c r="H4894" i="18"/>
  <c r="H4893" i="18"/>
  <c r="H4892" i="18"/>
  <c r="H4891" i="18"/>
  <c r="H4890" i="18"/>
  <c r="H4889" i="18"/>
  <c r="H4888" i="18"/>
  <c r="H4887" i="18"/>
  <c r="H4886" i="18"/>
  <c r="H4885" i="18"/>
  <c r="H4884" i="18"/>
  <c r="H4883" i="18"/>
  <c r="H4882" i="18"/>
  <c r="H4881" i="18"/>
  <c r="H4880" i="18"/>
  <c r="H4879" i="18"/>
  <c r="H4878" i="18"/>
  <c r="H4877" i="18"/>
  <c r="H4876" i="18"/>
  <c r="H4875" i="18"/>
  <c r="H4874" i="18"/>
  <c r="H4873" i="18"/>
  <c r="H4872" i="18"/>
  <c r="H4871" i="18"/>
  <c r="H4870" i="18"/>
  <c r="H4869" i="18"/>
  <c r="H4868" i="18"/>
  <c r="H4867" i="18"/>
  <c r="H4866" i="18"/>
  <c r="H4865" i="18"/>
  <c r="H4864" i="18"/>
  <c r="H4863" i="18"/>
  <c r="H4862" i="18"/>
  <c r="H4861" i="18"/>
  <c r="H4860" i="18"/>
  <c r="H4859" i="18"/>
  <c r="H4858" i="18"/>
  <c r="H4857" i="18"/>
  <c r="H4856" i="18"/>
  <c r="H4855" i="18"/>
  <c r="H4854" i="18"/>
  <c r="H4853" i="18"/>
  <c r="H4852" i="18"/>
  <c r="H4851" i="18"/>
  <c r="H4850" i="18"/>
  <c r="H4849" i="18"/>
  <c r="H4848" i="18"/>
  <c r="H4847" i="18"/>
  <c r="H4846" i="18"/>
  <c r="H4845" i="18"/>
  <c r="H4844" i="18"/>
  <c r="H4843" i="18"/>
  <c r="H4842" i="18"/>
  <c r="H4841" i="18"/>
  <c r="H4840" i="18"/>
  <c r="H4839" i="18"/>
  <c r="H4838" i="18"/>
  <c r="H4837" i="18"/>
  <c r="H4836" i="18"/>
  <c r="H4835" i="18"/>
  <c r="H4834" i="18"/>
  <c r="H4833" i="18"/>
  <c r="H4832" i="18"/>
  <c r="H4831" i="18"/>
  <c r="H4830" i="18"/>
  <c r="H4829" i="18"/>
  <c r="H4828" i="18"/>
  <c r="H4827" i="18"/>
  <c r="H4826" i="18"/>
  <c r="H4825" i="18"/>
  <c r="H4824" i="18"/>
  <c r="H4823" i="18"/>
  <c r="H4822" i="18"/>
  <c r="H4821" i="18"/>
  <c r="H4820" i="18"/>
  <c r="H4819" i="18"/>
  <c r="H4818" i="18"/>
  <c r="H4817" i="18"/>
  <c r="H4816" i="18"/>
  <c r="H4815" i="18"/>
  <c r="H4814" i="18"/>
  <c r="H4813" i="18"/>
  <c r="H4812" i="18"/>
  <c r="H4811" i="18"/>
  <c r="H4810" i="18"/>
  <c r="H4809" i="18"/>
  <c r="H4808" i="18"/>
  <c r="H4807" i="18"/>
  <c r="H4806" i="18"/>
  <c r="H4805" i="18"/>
  <c r="H4804" i="18"/>
  <c r="H4803" i="18"/>
  <c r="H4802" i="18"/>
  <c r="H4801" i="18"/>
  <c r="H4800" i="18"/>
  <c r="H4799" i="18"/>
  <c r="H4798" i="18"/>
  <c r="H4797" i="18"/>
  <c r="H4796" i="18"/>
  <c r="H4795" i="18"/>
  <c r="H4794" i="18"/>
  <c r="H4793" i="18"/>
  <c r="H4792" i="18"/>
  <c r="H4791" i="18"/>
  <c r="H4790" i="18"/>
  <c r="H4789" i="18"/>
  <c r="H4788" i="18"/>
  <c r="H4787" i="18"/>
  <c r="H4786" i="18"/>
  <c r="H4785" i="18"/>
  <c r="H4784" i="18"/>
  <c r="H4783" i="18"/>
  <c r="H4782" i="18"/>
  <c r="H4781" i="18"/>
  <c r="H4780" i="18"/>
  <c r="H4779" i="18"/>
  <c r="H4778" i="18"/>
  <c r="H4777" i="18"/>
  <c r="H4776" i="18"/>
  <c r="H4775" i="18"/>
  <c r="H4774" i="18"/>
  <c r="H4773" i="18"/>
  <c r="H4772" i="18"/>
  <c r="H4771" i="18"/>
  <c r="H4770" i="18"/>
  <c r="H4769" i="18"/>
  <c r="H4768" i="18"/>
  <c r="H4767" i="18"/>
  <c r="H4766" i="18"/>
  <c r="H4765" i="18"/>
  <c r="H4764" i="18"/>
  <c r="H4763" i="18"/>
  <c r="H4762" i="18"/>
  <c r="H4761" i="18"/>
  <c r="H4760" i="18"/>
  <c r="H4759" i="18"/>
  <c r="H4758" i="18"/>
  <c r="H4757" i="18"/>
  <c r="H4756" i="18"/>
  <c r="H4755" i="18"/>
  <c r="H4754" i="18"/>
  <c r="H4753" i="18"/>
  <c r="H4752" i="18"/>
  <c r="H4751" i="18"/>
  <c r="H4750" i="18"/>
  <c r="H4749" i="18"/>
  <c r="H4748" i="18"/>
  <c r="H4747" i="18"/>
  <c r="H4746" i="18"/>
  <c r="H4745" i="18"/>
  <c r="H4744" i="18"/>
  <c r="H4743" i="18"/>
  <c r="H4742" i="18"/>
  <c r="H4741" i="18"/>
  <c r="H4740" i="18"/>
  <c r="H4739" i="18"/>
  <c r="H4738" i="18"/>
  <c r="H4737" i="18"/>
  <c r="H4736" i="18"/>
  <c r="H4735" i="18"/>
  <c r="H4734" i="18"/>
  <c r="H4733" i="18"/>
  <c r="H4732" i="18"/>
  <c r="H4731" i="18"/>
  <c r="H4730" i="18"/>
  <c r="H4729" i="18"/>
  <c r="H4728" i="18"/>
  <c r="H4727" i="18"/>
  <c r="H4726" i="18"/>
  <c r="H4725" i="18"/>
  <c r="H4724" i="18"/>
  <c r="H4723" i="18"/>
  <c r="H4722" i="18"/>
  <c r="H4721" i="18"/>
  <c r="H4720" i="18"/>
  <c r="H4719" i="18"/>
  <c r="H4718" i="18"/>
  <c r="H4717" i="18"/>
  <c r="H4716" i="18"/>
  <c r="H4715" i="18"/>
  <c r="H4714" i="18"/>
  <c r="H4713" i="18"/>
  <c r="H4712" i="18"/>
  <c r="H4711" i="18"/>
  <c r="H4710" i="18"/>
  <c r="H4709" i="18"/>
  <c r="H4708" i="18"/>
  <c r="H4707" i="18"/>
  <c r="H4706" i="18"/>
  <c r="H4705" i="18"/>
  <c r="H4704" i="18"/>
  <c r="H4703" i="18"/>
  <c r="H4702" i="18"/>
  <c r="H4701" i="18"/>
  <c r="H4700" i="18"/>
  <c r="H4699" i="18"/>
  <c r="H4698" i="18"/>
  <c r="H4697" i="18"/>
  <c r="H4696" i="18"/>
  <c r="H4695" i="18"/>
  <c r="H4694" i="18"/>
  <c r="H4693" i="18"/>
  <c r="H4692" i="18"/>
  <c r="H4691" i="18"/>
  <c r="H4690" i="18"/>
  <c r="H4689" i="18"/>
  <c r="H4688" i="18"/>
  <c r="H4687" i="18"/>
  <c r="H4686" i="18"/>
  <c r="H4685" i="18"/>
  <c r="H4684" i="18"/>
  <c r="H4683" i="18"/>
  <c r="H4682" i="18"/>
  <c r="H4681" i="18"/>
  <c r="H4680" i="18"/>
  <c r="H4679" i="18"/>
  <c r="H4678" i="18"/>
  <c r="H4677" i="18"/>
  <c r="H4676" i="18"/>
  <c r="H4675" i="18"/>
  <c r="H4674" i="18"/>
  <c r="H4673" i="18"/>
  <c r="H4672" i="18"/>
  <c r="H4671" i="18"/>
  <c r="H4670" i="18"/>
  <c r="H4669" i="18"/>
  <c r="H4668" i="18"/>
  <c r="H4667" i="18"/>
  <c r="H4666" i="18"/>
  <c r="H4665" i="18"/>
  <c r="H4664" i="18"/>
  <c r="H4663" i="18"/>
  <c r="H4662" i="18"/>
  <c r="H4661" i="18"/>
  <c r="H4660" i="18"/>
  <c r="H4659" i="18"/>
  <c r="H4658" i="18"/>
  <c r="H4657" i="18"/>
  <c r="H4656" i="18"/>
  <c r="H4655" i="18"/>
  <c r="H4654" i="18"/>
  <c r="H4653" i="18"/>
  <c r="H4652" i="18"/>
  <c r="H4651" i="18"/>
  <c r="H4650" i="18"/>
  <c r="H4649" i="18"/>
  <c r="H4648" i="18"/>
  <c r="H4647" i="18"/>
  <c r="H4646" i="18"/>
  <c r="H4645" i="18"/>
  <c r="H4644" i="18"/>
  <c r="H4643" i="18"/>
  <c r="H4642" i="18"/>
  <c r="H4641" i="18"/>
  <c r="H4640" i="18"/>
  <c r="H4639" i="18"/>
  <c r="H4638" i="18"/>
  <c r="H4637" i="18"/>
  <c r="H4636" i="18"/>
  <c r="H4635" i="18"/>
  <c r="H4634" i="18"/>
  <c r="H4633" i="18"/>
  <c r="H4632" i="18"/>
  <c r="H4631" i="18"/>
  <c r="H4630" i="18"/>
  <c r="H4629" i="18"/>
  <c r="H4628" i="18"/>
  <c r="H4627" i="18"/>
  <c r="H4626" i="18"/>
  <c r="H4625" i="18"/>
  <c r="H4624" i="18"/>
  <c r="H4623" i="18"/>
  <c r="H4622" i="18"/>
  <c r="H4621" i="18"/>
  <c r="H4620" i="18"/>
  <c r="H4619" i="18"/>
  <c r="H4618" i="18"/>
  <c r="H4617" i="18"/>
  <c r="H4616" i="18"/>
  <c r="H4615" i="18"/>
  <c r="H4614" i="18"/>
  <c r="H4613" i="18"/>
  <c r="H4612" i="18"/>
  <c r="H4611" i="18"/>
  <c r="H4610" i="18"/>
  <c r="H4609" i="18"/>
  <c r="H4608" i="18"/>
  <c r="H4607" i="18"/>
  <c r="H4606" i="18"/>
  <c r="H4605" i="18"/>
  <c r="H4604" i="18"/>
  <c r="H4603" i="18"/>
  <c r="H4602" i="18"/>
  <c r="H4601" i="18"/>
  <c r="H4600" i="18"/>
  <c r="H4599" i="18"/>
  <c r="H4598" i="18"/>
  <c r="H4597" i="18"/>
  <c r="H4596" i="18"/>
  <c r="H4595" i="18"/>
  <c r="H4594" i="18"/>
  <c r="H4593" i="18"/>
  <c r="H4592" i="18"/>
  <c r="H4591" i="18"/>
  <c r="H4590" i="18"/>
  <c r="H4589" i="18"/>
  <c r="H4588" i="18"/>
  <c r="H4587" i="18"/>
  <c r="H4586" i="18"/>
  <c r="H4585" i="18"/>
  <c r="H4584" i="18"/>
  <c r="H4583" i="18"/>
  <c r="H4582" i="18"/>
  <c r="H4581" i="18"/>
  <c r="H4580" i="18"/>
  <c r="H4579" i="18"/>
  <c r="H4578" i="18"/>
  <c r="H4577" i="18"/>
  <c r="H4576" i="18"/>
  <c r="H4575" i="18"/>
  <c r="H4574" i="18"/>
  <c r="H4573" i="18"/>
  <c r="H4572" i="18"/>
  <c r="H4571" i="18"/>
  <c r="H4570" i="18"/>
  <c r="H4569" i="18"/>
  <c r="H4568" i="18"/>
  <c r="H4567" i="18"/>
  <c r="H4566" i="18"/>
  <c r="H4565" i="18"/>
  <c r="H4564" i="18"/>
  <c r="H4563" i="18"/>
  <c r="H4562" i="18"/>
  <c r="H4561" i="18"/>
  <c r="H4560" i="18"/>
  <c r="H4559" i="18"/>
  <c r="H4558" i="18"/>
  <c r="H4557" i="18"/>
  <c r="H4556" i="18"/>
  <c r="H4555" i="18"/>
  <c r="H4554" i="18"/>
  <c r="H4553" i="18"/>
  <c r="H4552" i="18"/>
  <c r="H4551" i="18"/>
  <c r="H4550" i="18"/>
  <c r="H4549" i="18"/>
  <c r="H4548" i="18"/>
  <c r="H4547" i="18"/>
  <c r="H4546" i="18"/>
  <c r="H4545" i="18"/>
  <c r="H4544" i="18"/>
  <c r="H4543" i="18"/>
  <c r="H4542" i="18"/>
  <c r="H4541" i="18"/>
  <c r="H4540" i="18"/>
  <c r="H4539" i="18"/>
  <c r="H4538" i="18"/>
  <c r="H4537" i="18"/>
  <c r="H4536" i="18"/>
  <c r="H4535" i="18"/>
  <c r="H4534" i="18"/>
  <c r="H4533" i="18"/>
  <c r="H4532" i="18"/>
  <c r="H4531" i="18"/>
  <c r="H4530" i="18"/>
  <c r="H4529" i="18"/>
  <c r="H4528" i="18"/>
  <c r="H4527" i="18"/>
  <c r="H4526" i="18"/>
  <c r="H4525" i="18"/>
  <c r="H4524" i="18"/>
  <c r="H4523" i="18"/>
  <c r="H4522" i="18"/>
  <c r="H4521" i="18"/>
  <c r="H4520" i="18"/>
  <c r="H4519" i="18"/>
  <c r="H4518" i="18"/>
  <c r="H4517" i="18"/>
  <c r="H4516" i="18"/>
  <c r="H4515" i="18"/>
  <c r="H4514" i="18"/>
  <c r="H4513" i="18"/>
  <c r="H4512" i="18"/>
  <c r="H4511" i="18"/>
  <c r="H4510" i="18"/>
  <c r="H4509" i="18"/>
  <c r="H4508" i="18"/>
  <c r="H4507" i="18"/>
  <c r="H4506" i="18"/>
  <c r="H4505" i="18"/>
  <c r="H4504" i="18"/>
  <c r="H4503" i="18"/>
  <c r="H4502" i="18"/>
  <c r="H4501" i="18"/>
  <c r="H4500" i="18"/>
  <c r="H4499" i="18"/>
  <c r="H4498" i="18"/>
  <c r="H4497" i="18"/>
  <c r="H4496" i="18"/>
  <c r="H4495" i="18"/>
  <c r="H4494" i="18"/>
  <c r="H4493" i="18"/>
  <c r="H4492" i="18"/>
  <c r="H4491" i="18"/>
  <c r="H4490" i="18"/>
  <c r="H4489" i="18"/>
  <c r="H4488" i="18"/>
  <c r="H4487" i="18"/>
  <c r="H4486" i="18"/>
  <c r="H4485" i="18"/>
  <c r="H4484" i="18"/>
  <c r="H4483" i="18"/>
  <c r="H4482" i="18"/>
  <c r="H4481" i="18"/>
  <c r="H4480" i="18"/>
  <c r="H4479" i="18"/>
  <c r="H4478" i="18"/>
  <c r="H4477" i="18"/>
  <c r="H4476" i="18"/>
  <c r="H4475" i="18"/>
  <c r="H4474" i="18"/>
  <c r="H4473" i="18"/>
  <c r="H4472" i="18"/>
  <c r="H4471" i="18"/>
  <c r="H4470" i="18"/>
  <c r="H4469" i="18"/>
  <c r="H4468" i="18"/>
  <c r="H4467" i="18"/>
  <c r="H4466" i="18"/>
  <c r="H4465" i="18"/>
  <c r="H4464" i="18"/>
  <c r="H4463" i="18"/>
  <c r="H4462" i="18"/>
  <c r="H4461" i="18"/>
  <c r="H4460" i="18"/>
  <c r="H4459" i="18"/>
  <c r="H4458" i="18"/>
  <c r="H4457" i="18"/>
  <c r="H4456" i="18"/>
  <c r="H4455" i="18"/>
  <c r="H4454" i="18"/>
  <c r="H4453" i="18"/>
  <c r="H4452" i="18"/>
  <c r="H4451" i="18"/>
  <c r="H4450" i="18"/>
  <c r="H4449" i="18"/>
  <c r="H4448" i="18"/>
  <c r="H4447" i="18"/>
  <c r="H4446" i="18"/>
  <c r="H4445" i="18"/>
  <c r="H4444" i="18"/>
  <c r="H4443" i="18"/>
  <c r="H4442" i="18"/>
  <c r="H4441" i="18"/>
  <c r="H4440" i="18"/>
  <c r="H4439" i="18"/>
  <c r="H4438" i="18"/>
  <c r="H4437" i="18"/>
  <c r="H4436" i="18"/>
  <c r="H4435" i="18"/>
  <c r="H4434" i="18"/>
  <c r="H4433" i="18"/>
  <c r="H4432" i="18"/>
  <c r="H4431" i="18"/>
  <c r="H4430" i="18"/>
  <c r="H4429" i="18"/>
  <c r="H4428" i="18"/>
  <c r="H4427" i="18"/>
  <c r="H4426" i="18"/>
  <c r="H4425" i="18"/>
  <c r="H4424" i="18"/>
  <c r="H4423" i="18"/>
  <c r="H4422" i="18"/>
  <c r="H4421" i="18"/>
  <c r="H4420" i="18"/>
  <c r="H4419" i="18"/>
  <c r="H4418" i="18"/>
  <c r="H4417" i="18"/>
  <c r="H4416" i="18"/>
  <c r="H4415" i="18"/>
  <c r="H4414" i="18"/>
  <c r="H4413" i="18"/>
  <c r="H4412" i="18"/>
  <c r="H4411" i="18"/>
  <c r="H4410" i="18"/>
  <c r="H4409" i="18"/>
  <c r="H4408" i="18"/>
  <c r="H4407" i="18"/>
  <c r="H4406" i="18"/>
  <c r="H4405" i="18"/>
  <c r="H4404" i="18"/>
  <c r="H4403" i="18"/>
  <c r="H4402" i="18"/>
  <c r="H4401" i="18"/>
  <c r="H4400" i="18"/>
  <c r="H4399" i="18"/>
  <c r="H4398" i="18"/>
  <c r="H4397" i="18"/>
  <c r="H4396" i="18"/>
  <c r="H4395" i="18"/>
  <c r="H4394" i="18"/>
  <c r="H4393" i="18"/>
  <c r="H4392" i="18"/>
  <c r="H4391" i="18"/>
  <c r="H4390" i="18"/>
  <c r="H4389" i="18"/>
  <c r="H4388" i="18"/>
  <c r="H4387" i="18"/>
  <c r="H4386" i="18"/>
  <c r="H4385" i="18"/>
  <c r="H4384" i="18"/>
  <c r="H4383" i="18"/>
  <c r="H4382" i="18"/>
  <c r="H4381" i="18"/>
  <c r="H4380" i="18"/>
  <c r="H4379" i="18"/>
  <c r="H4378" i="18"/>
  <c r="H4377" i="18"/>
  <c r="H4376" i="18"/>
  <c r="H4375" i="18"/>
  <c r="H4374" i="18"/>
  <c r="H4373" i="18"/>
  <c r="H4372" i="18"/>
  <c r="H4371" i="18"/>
  <c r="H4370" i="18"/>
  <c r="H4369" i="18"/>
  <c r="H4368" i="18"/>
  <c r="H4367" i="18"/>
  <c r="H4366" i="18"/>
  <c r="H4365" i="18"/>
  <c r="H4364" i="18"/>
  <c r="H4363" i="18"/>
  <c r="H4362" i="18"/>
  <c r="H4361" i="18"/>
  <c r="H4360" i="18"/>
  <c r="H4359" i="18"/>
  <c r="H4358" i="18"/>
  <c r="H4357" i="18"/>
  <c r="H4356" i="18"/>
  <c r="H4355" i="18"/>
  <c r="H4354" i="18"/>
  <c r="H4353" i="18"/>
  <c r="H4352" i="18"/>
  <c r="H4351" i="18"/>
  <c r="H4350" i="18"/>
  <c r="H4349" i="18"/>
  <c r="H4348" i="18"/>
  <c r="H4347" i="18"/>
  <c r="H4346" i="18"/>
  <c r="H4345" i="18"/>
  <c r="H4344" i="18"/>
  <c r="H4343" i="18"/>
  <c r="H4342" i="18"/>
  <c r="H4341" i="18"/>
  <c r="H4340" i="18"/>
  <c r="H4339" i="18"/>
  <c r="H4338" i="18"/>
  <c r="H4337" i="18"/>
  <c r="H4336" i="18"/>
  <c r="H4335" i="18"/>
  <c r="H4334" i="18"/>
  <c r="H4333" i="18"/>
  <c r="H4332" i="18"/>
  <c r="H4331" i="18"/>
  <c r="H4330" i="18"/>
  <c r="H4329" i="18"/>
  <c r="H4328" i="18"/>
  <c r="H4327" i="18"/>
  <c r="H4326" i="18"/>
  <c r="H4325" i="18"/>
  <c r="H4324" i="18"/>
  <c r="H4323" i="18"/>
  <c r="H4322" i="18"/>
  <c r="H4321" i="18"/>
  <c r="H4320" i="18"/>
  <c r="H4319" i="18"/>
  <c r="H4318" i="18"/>
  <c r="H4317" i="18"/>
  <c r="H4316" i="18"/>
  <c r="H4315" i="18"/>
  <c r="H4314" i="18"/>
  <c r="H4313" i="18"/>
  <c r="H4312" i="18"/>
  <c r="H4311" i="18"/>
  <c r="H4310" i="18"/>
  <c r="H4309" i="18"/>
  <c r="H4308" i="18"/>
  <c r="H4307" i="18"/>
  <c r="H4306" i="18"/>
  <c r="H4305" i="18"/>
  <c r="H4304" i="18"/>
  <c r="H4303" i="18"/>
  <c r="H4302" i="18"/>
  <c r="H4301" i="18"/>
  <c r="H4300" i="18"/>
  <c r="H4299" i="18"/>
  <c r="H4298" i="18"/>
  <c r="H4297" i="18"/>
  <c r="H4296" i="18"/>
  <c r="H4295" i="18"/>
  <c r="H4294" i="18"/>
  <c r="H4293" i="18"/>
  <c r="H4292" i="18"/>
  <c r="H4291" i="18"/>
  <c r="H4290" i="18"/>
  <c r="H4289" i="18"/>
  <c r="H4288" i="18"/>
  <c r="H4287" i="18"/>
  <c r="H4286" i="18"/>
  <c r="H4285" i="18"/>
  <c r="H4284" i="18"/>
  <c r="H4283" i="18"/>
  <c r="H4282" i="18"/>
  <c r="H4281" i="18"/>
  <c r="H4280" i="18"/>
  <c r="H4279" i="18"/>
  <c r="H4278" i="18"/>
  <c r="H4277" i="18"/>
  <c r="H4276" i="18"/>
  <c r="H4275" i="18"/>
  <c r="H4274" i="18"/>
  <c r="H4273" i="18"/>
  <c r="H4272" i="18"/>
  <c r="H4271" i="18"/>
  <c r="H4270" i="18"/>
  <c r="H4269" i="18"/>
  <c r="H4268" i="18"/>
  <c r="H4267" i="18"/>
  <c r="H4266" i="18"/>
  <c r="H4265" i="18"/>
  <c r="H4264" i="18"/>
  <c r="H4263" i="18"/>
  <c r="H4262" i="18"/>
  <c r="H4261" i="18"/>
  <c r="H4260" i="18"/>
  <c r="H4259" i="18"/>
  <c r="H4258" i="18"/>
  <c r="H4257" i="18"/>
  <c r="H4256" i="18"/>
  <c r="H4255" i="18"/>
  <c r="H4254" i="18"/>
  <c r="H4253" i="18"/>
  <c r="H4252" i="18"/>
  <c r="H4251" i="18"/>
  <c r="H4250" i="18"/>
  <c r="H4249" i="18"/>
  <c r="H4248" i="18"/>
  <c r="H4247" i="18"/>
  <c r="H4246" i="18"/>
  <c r="H4245" i="18"/>
  <c r="H4244" i="18"/>
  <c r="H4243" i="18"/>
  <c r="H4242" i="18"/>
  <c r="H4241" i="18"/>
  <c r="H4240" i="18"/>
  <c r="H4239" i="18"/>
  <c r="H4238" i="18"/>
  <c r="H4237" i="18"/>
  <c r="H4236" i="18"/>
  <c r="H4235" i="18"/>
  <c r="H4234" i="18"/>
  <c r="H4233" i="18"/>
  <c r="H4232" i="18"/>
  <c r="H4231" i="18"/>
  <c r="H4230" i="18"/>
  <c r="H4229" i="18"/>
  <c r="H4228" i="18"/>
  <c r="H4227" i="18"/>
  <c r="H4226" i="18"/>
  <c r="H4225" i="18"/>
  <c r="H4224" i="18"/>
  <c r="H4223" i="18"/>
  <c r="H4222" i="18"/>
  <c r="H4221" i="18"/>
  <c r="H4220" i="18"/>
  <c r="H4219" i="18"/>
  <c r="H4218" i="18"/>
  <c r="H4217" i="18"/>
  <c r="H4216" i="18"/>
  <c r="H4215" i="18"/>
  <c r="H4214" i="18"/>
  <c r="H4213" i="18"/>
  <c r="H4212" i="18"/>
  <c r="H4211" i="18"/>
  <c r="H4210" i="18"/>
  <c r="H4209" i="18"/>
  <c r="H4208" i="18"/>
  <c r="H4207" i="18"/>
  <c r="H4206" i="18"/>
  <c r="H4205" i="18"/>
  <c r="H4204" i="18"/>
  <c r="H4203" i="18"/>
  <c r="H4202" i="18"/>
  <c r="H4201" i="18"/>
  <c r="H4200" i="18"/>
  <c r="H4199" i="18"/>
  <c r="H4198" i="18"/>
  <c r="H4197" i="18"/>
  <c r="H4196" i="18"/>
  <c r="H4195" i="18"/>
  <c r="H4194" i="18"/>
  <c r="H4193" i="18"/>
  <c r="H4192" i="18"/>
  <c r="H4191" i="18"/>
  <c r="H4190" i="18"/>
  <c r="H4189" i="18"/>
  <c r="H4188" i="18"/>
  <c r="H4187" i="18"/>
  <c r="H4186" i="18"/>
  <c r="H4185" i="18"/>
  <c r="H4184" i="18"/>
  <c r="H4183" i="18"/>
  <c r="H4182" i="18"/>
  <c r="H4181" i="18"/>
  <c r="H4180" i="18"/>
  <c r="H4179" i="18"/>
  <c r="H4178" i="18"/>
  <c r="H4177" i="18"/>
  <c r="H4176" i="18"/>
  <c r="H4175" i="18"/>
  <c r="H4174" i="18"/>
  <c r="H4173" i="18"/>
  <c r="H4172" i="18"/>
  <c r="H4171" i="18"/>
  <c r="H4170" i="18"/>
  <c r="H4169" i="18"/>
  <c r="H4168" i="18"/>
  <c r="H4167" i="18"/>
  <c r="H4166" i="18"/>
  <c r="H4165" i="18"/>
  <c r="H4164" i="18"/>
  <c r="H4163" i="18"/>
  <c r="H4162" i="18"/>
  <c r="H4161" i="18"/>
  <c r="H4160" i="18"/>
  <c r="H4159" i="18"/>
  <c r="H4158" i="18"/>
  <c r="H4157" i="18"/>
  <c r="H4156" i="18"/>
  <c r="H4155" i="18"/>
  <c r="H4154" i="18"/>
  <c r="H4153" i="18"/>
  <c r="H4152" i="18"/>
  <c r="H4151" i="18"/>
  <c r="H4150" i="18"/>
  <c r="H4149" i="18"/>
  <c r="H4148" i="18"/>
  <c r="H4147" i="18"/>
  <c r="H4146" i="18"/>
  <c r="H4145" i="18"/>
  <c r="H4144" i="18"/>
  <c r="H4143" i="18"/>
  <c r="H4142" i="18"/>
  <c r="H4141" i="18"/>
  <c r="H4140" i="18"/>
  <c r="H4139" i="18"/>
  <c r="H4138" i="18"/>
  <c r="H4137" i="18"/>
  <c r="H4136" i="18"/>
  <c r="H4135" i="18"/>
  <c r="H4134" i="18"/>
  <c r="H4133" i="18"/>
  <c r="H4132" i="18"/>
  <c r="H4131" i="18"/>
  <c r="H4130" i="18"/>
  <c r="H4129" i="18"/>
  <c r="H4128" i="18"/>
  <c r="H4127" i="18"/>
  <c r="H4126" i="18"/>
  <c r="H4125" i="18"/>
  <c r="H4124" i="18"/>
  <c r="H4123" i="18"/>
  <c r="H4122" i="18"/>
  <c r="H4121" i="18"/>
  <c r="H4120" i="18"/>
  <c r="H4119" i="18"/>
  <c r="H4118" i="18"/>
  <c r="H4117" i="18"/>
  <c r="H4116" i="18"/>
  <c r="H4115" i="18"/>
  <c r="H4114" i="18"/>
  <c r="H4113" i="18"/>
  <c r="H4112" i="18"/>
  <c r="H4111" i="18"/>
  <c r="H4110" i="18"/>
  <c r="H4109" i="18"/>
  <c r="H4108" i="18"/>
  <c r="H4107" i="18"/>
  <c r="H4106" i="18"/>
  <c r="H4105" i="18"/>
  <c r="H4104" i="18"/>
  <c r="H4103" i="18"/>
  <c r="H4102" i="18"/>
  <c r="H4101" i="18"/>
  <c r="H4100" i="18"/>
  <c r="H4099" i="18"/>
  <c r="H4098" i="18"/>
  <c r="H4097" i="18"/>
  <c r="H4096" i="18"/>
  <c r="H4095" i="18"/>
  <c r="H4094" i="18"/>
  <c r="H4093" i="18"/>
  <c r="H4092" i="18"/>
  <c r="H4091" i="18"/>
  <c r="H4090" i="18"/>
  <c r="H4089" i="18"/>
  <c r="H4088" i="18"/>
  <c r="H4087" i="18"/>
  <c r="H4086" i="18"/>
  <c r="H4085" i="18"/>
  <c r="H4084" i="18"/>
  <c r="H4083" i="18"/>
  <c r="H4082" i="18"/>
  <c r="H4081" i="18"/>
  <c r="H4080" i="18"/>
  <c r="H4079" i="18"/>
  <c r="H4078" i="18"/>
  <c r="H4077" i="18"/>
  <c r="H4076" i="18"/>
  <c r="H4075" i="18"/>
  <c r="H4074" i="18"/>
  <c r="H4073" i="18"/>
  <c r="H4072" i="18"/>
  <c r="H4071" i="18"/>
  <c r="H4070" i="18"/>
  <c r="H4069" i="18"/>
  <c r="H4068" i="18"/>
  <c r="H4067" i="18"/>
  <c r="H4066" i="18"/>
  <c r="H4065" i="18"/>
  <c r="H4064" i="18"/>
  <c r="H4063" i="18"/>
  <c r="H4062" i="18"/>
  <c r="H4061" i="18"/>
  <c r="H4060" i="18"/>
  <c r="H4059" i="18"/>
  <c r="H4058" i="18"/>
  <c r="H4057" i="18"/>
  <c r="H4056" i="18"/>
  <c r="H4055" i="18"/>
  <c r="H4054" i="18"/>
  <c r="H4053" i="18"/>
  <c r="H4052" i="18"/>
  <c r="H4051" i="18"/>
  <c r="H4050" i="18"/>
  <c r="H4049" i="18"/>
  <c r="H4048" i="18"/>
  <c r="H4047" i="18"/>
  <c r="H4046" i="18"/>
  <c r="H4045" i="18"/>
  <c r="H4044" i="18"/>
  <c r="H4043" i="18"/>
  <c r="H4042" i="18"/>
  <c r="H4041" i="18"/>
  <c r="H4040" i="18"/>
  <c r="H4039" i="18"/>
  <c r="H4038" i="18"/>
  <c r="H4037" i="18"/>
  <c r="H4036" i="18"/>
  <c r="H4035" i="18"/>
  <c r="H4034" i="18"/>
  <c r="H4033" i="18"/>
  <c r="H4032" i="18"/>
  <c r="H4031" i="18"/>
  <c r="H4030" i="18"/>
  <c r="H4029" i="18"/>
  <c r="H4028" i="18"/>
  <c r="H4027" i="18"/>
  <c r="H4026" i="18"/>
  <c r="H4025" i="18"/>
  <c r="H4024" i="18"/>
  <c r="H4023" i="18"/>
  <c r="H4022" i="18"/>
  <c r="H4021" i="18"/>
  <c r="H4020" i="18"/>
  <c r="H4019" i="18"/>
  <c r="H4018" i="18"/>
  <c r="H4017" i="18"/>
  <c r="H4016" i="18"/>
  <c r="H4015" i="18"/>
  <c r="H4014" i="18"/>
  <c r="H4013" i="18"/>
  <c r="H4012" i="18"/>
  <c r="H4011" i="18"/>
  <c r="H4010" i="18"/>
  <c r="H4009" i="18"/>
  <c r="H4008" i="18"/>
  <c r="H4007" i="18"/>
  <c r="H4006" i="18"/>
  <c r="H4005" i="18"/>
  <c r="H4004" i="18"/>
  <c r="H4003" i="18"/>
  <c r="H4002" i="18"/>
  <c r="H4001" i="18"/>
  <c r="H4000" i="18"/>
  <c r="H3999" i="18"/>
  <c r="H3998" i="18"/>
  <c r="H3997" i="18"/>
  <c r="H3996" i="18"/>
  <c r="H3995" i="18"/>
  <c r="H3994" i="18"/>
  <c r="H3993" i="18"/>
  <c r="H3992" i="18"/>
  <c r="H3991" i="18"/>
  <c r="H3990" i="18"/>
  <c r="H3989" i="18"/>
  <c r="H3988" i="18"/>
  <c r="H3987" i="18"/>
  <c r="H3986" i="18"/>
  <c r="H3985" i="18"/>
  <c r="H3984" i="18"/>
  <c r="H3983" i="18"/>
  <c r="H3982" i="18"/>
  <c r="H3981" i="18"/>
  <c r="H3980" i="18"/>
  <c r="H3979" i="18"/>
  <c r="H3978" i="18"/>
  <c r="H3977" i="18"/>
  <c r="H3976" i="18"/>
  <c r="H3975" i="18"/>
  <c r="H3974" i="18"/>
  <c r="H3973" i="18"/>
  <c r="H3972" i="18"/>
  <c r="H3971" i="18"/>
  <c r="H3970" i="18"/>
  <c r="H3969" i="18"/>
  <c r="H3968" i="18"/>
  <c r="H3967" i="18"/>
  <c r="H3966" i="18"/>
  <c r="H3965" i="18"/>
  <c r="H3964" i="18"/>
  <c r="H3963" i="18"/>
  <c r="H3962" i="18"/>
  <c r="H3961" i="18"/>
  <c r="H3960" i="18"/>
  <c r="H3959" i="18"/>
  <c r="H3958" i="18"/>
  <c r="H3957" i="18"/>
  <c r="H3956" i="18"/>
  <c r="H3955" i="18"/>
  <c r="H3954" i="18"/>
  <c r="H3953" i="18"/>
  <c r="H3952" i="18"/>
  <c r="H3951" i="18"/>
  <c r="H3950" i="18"/>
  <c r="H3949" i="18"/>
  <c r="H3948" i="18"/>
  <c r="H3947" i="18"/>
  <c r="H3946" i="18"/>
  <c r="H3945" i="18"/>
  <c r="H3944" i="18"/>
  <c r="H3943" i="18"/>
  <c r="H3942" i="18"/>
  <c r="H3941" i="18"/>
  <c r="H3940" i="18"/>
  <c r="H3939" i="18"/>
  <c r="H3938" i="18"/>
  <c r="H3937" i="18"/>
  <c r="H3936" i="18"/>
  <c r="H3935" i="18"/>
  <c r="H3934" i="18"/>
  <c r="H3933" i="18"/>
  <c r="H3932" i="18"/>
  <c r="H3931" i="18"/>
  <c r="H3930" i="18"/>
  <c r="H3929" i="18"/>
  <c r="H3928" i="18"/>
  <c r="H3927" i="18"/>
  <c r="H3926" i="18"/>
  <c r="H3925" i="18"/>
  <c r="H3924" i="18"/>
  <c r="H3923" i="18"/>
  <c r="H3922" i="18"/>
  <c r="H3921" i="18"/>
  <c r="H3920" i="18"/>
  <c r="H3919" i="18"/>
  <c r="H3918" i="18"/>
  <c r="H3917" i="18"/>
  <c r="H3916" i="18"/>
  <c r="H3915" i="18"/>
  <c r="H3914" i="18"/>
  <c r="H3913" i="18"/>
  <c r="H3912" i="18"/>
  <c r="H3911" i="18"/>
  <c r="H3910" i="18"/>
  <c r="H3909" i="18"/>
  <c r="H3908" i="18"/>
  <c r="H3907" i="18"/>
  <c r="H3906" i="18"/>
  <c r="H3905" i="18"/>
  <c r="H3904" i="18"/>
  <c r="H3903" i="18"/>
  <c r="H3902" i="18"/>
  <c r="H3901" i="18"/>
  <c r="H3900" i="18"/>
  <c r="H3899" i="18"/>
  <c r="H3898" i="18"/>
  <c r="H3897" i="18"/>
  <c r="H3896" i="18"/>
  <c r="H3895" i="18"/>
  <c r="H3894" i="18"/>
  <c r="H3893" i="18"/>
  <c r="H3892" i="18"/>
  <c r="H3891" i="18"/>
  <c r="H3890" i="18"/>
  <c r="H3889" i="18"/>
  <c r="H3888" i="18"/>
  <c r="H3887" i="18"/>
  <c r="H3886" i="18"/>
  <c r="H3885" i="18"/>
  <c r="H3884" i="18"/>
  <c r="H3883" i="18"/>
  <c r="H3882" i="18"/>
  <c r="H3881" i="18"/>
  <c r="H3880" i="18"/>
  <c r="H3879" i="18"/>
  <c r="H3878" i="18"/>
  <c r="H3877" i="18"/>
  <c r="H3876" i="18"/>
  <c r="H3875" i="18"/>
  <c r="H3874" i="18"/>
  <c r="H3873" i="18"/>
  <c r="H3872" i="18"/>
  <c r="H3871" i="18"/>
  <c r="H3870" i="18"/>
  <c r="H3869" i="18"/>
  <c r="H3868" i="18"/>
  <c r="H3867" i="18"/>
  <c r="H3866" i="18"/>
  <c r="H3865" i="18"/>
  <c r="H3864" i="18"/>
  <c r="H3863" i="18"/>
  <c r="H3862" i="18"/>
  <c r="H3861" i="18"/>
  <c r="H3860" i="18"/>
  <c r="H3859" i="18"/>
  <c r="H3858" i="18"/>
  <c r="H3857" i="18"/>
  <c r="H3856" i="18"/>
  <c r="H3855" i="18"/>
  <c r="H3854" i="18"/>
  <c r="H3853" i="18"/>
  <c r="H3852" i="18"/>
  <c r="H3851" i="18"/>
  <c r="H3850" i="18"/>
  <c r="H3849" i="18"/>
  <c r="H3848" i="18"/>
  <c r="H3847" i="18"/>
  <c r="H3846" i="18"/>
  <c r="H3845" i="18"/>
  <c r="H3844" i="18"/>
  <c r="H3843" i="18"/>
  <c r="H3842" i="18"/>
  <c r="H3841" i="18"/>
  <c r="H3840" i="18"/>
  <c r="H3839" i="18"/>
  <c r="H3838" i="18"/>
  <c r="H3837" i="18"/>
  <c r="H3836" i="18"/>
  <c r="H3835" i="18"/>
  <c r="H3834" i="18"/>
  <c r="H3833" i="18"/>
  <c r="H3832" i="18"/>
  <c r="H3831" i="18"/>
  <c r="H3830" i="18"/>
  <c r="H3829" i="18"/>
  <c r="H3828" i="18"/>
  <c r="H3827" i="18"/>
  <c r="H3826" i="18"/>
  <c r="H3825" i="18"/>
  <c r="H3824" i="18"/>
  <c r="H3823" i="18"/>
  <c r="H3822" i="18"/>
  <c r="H3821" i="18"/>
  <c r="H3820" i="18"/>
  <c r="H3819" i="18"/>
  <c r="H3818" i="18"/>
  <c r="H3817" i="18"/>
  <c r="H3816" i="18"/>
  <c r="H3815" i="18"/>
  <c r="H3814" i="18"/>
  <c r="H3813" i="18"/>
  <c r="H3812" i="18"/>
  <c r="H3811" i="18"/>
  <c r="H3810" i="18"/>
  <c r="H3809" i="18"/>
  <c r="H3808" i="18"/>
  <c r="H3807" i="18"/>
  <c r="H3806" i="18"/>
  <c r="H3805" i="18"/>
  <c r="H3804" i="18"/>
  <c r="H3803" i="18"/>
  <c r="H3802" i="18"/>
  <c r="H3801" i="18"/>
  <c r="H3800" i="18"/>
  <c r="H3799" i="18"/>
  <c r="H3798" i="18"/>
  <c r="H3797" i="18"/>
  <c r="H3796" i="18"/>
  <c r="H3795" i="18"/>
  <c r="H3794" i="18"/>
  <c r="H3793" i="18"/>
  <c r="H3792" i="18"/>
  <c r="H3791" i="18"/>
  <c r="H3790" i="18"/>
  <c r="H3789" i="18"/>
  <c r="H3788" i="18"/>
  <c r="H3787" i="18"/>
  <c r="H3786" i="18"/>
  <c r="H3785" i="18"/>
  <c r="H3784" i="18"/>
  <c r="H3783" i="18"/>
  <c r="H3782" i="18"/>
  <c r="H3781" i="18"/>
  <c r="H3780" i="18"/>
  <c r="H3779" i="18"/>
  <c r="H3778" i="18"/>
  <c r="H3777" i="18"/>
  <c r="H3776" i="18"/>
  <c r="H3775" i="18"/>
  <c r="H3774" i="18"/>
  <c r="H3773" i="18"/>
  <c r="H3772" i="18"/>
  <c r="H3771" i="18"/>
  <c r="H3770" i="18"/>
  <c r="H3769" i="18"/>
  <c r="H3768" i="18"/>
  <c r="H3767" i="18"/>
  <c r="H3766" i="18"/>
  <c r="H3765" i="18"/>
  <c r="H3764" i="18"/>
  <c r="H3763" i="18"/>
  <c r="H3762" i="18"/>
  <c r="H3761" i="18"/>
  <c r="H3760" i="18"/>
  <c r="H3759" i="18"/>
  <c r="H3758" i="18"/>
  <c r="H3757" i="18"/>
  <c r="H3756" i="18"/>
  <c r="H3755" i="18"/>
  <c r="H3754" i="18"/>
  <c r="H3753" i="18"/>
  <c r="H3752" i="18"/>
  <c r="H3751" i="18"/>
  <c r="H3750" i="18"/>
  <c r="H3749" i="18"/>
  <c r="H3748" i="18"/>
  <c r="H3747" i="18"/>
  <c r="H3746" i="18"/>
  <c r="H3745" i="18"/>
  <c r="H3744" i="18"/>
  <c r="H3743" i="18"/>
  <c r="H3742" i="18"/>
  <c r="H3741" i="18"/>
  <c r="H3740" i="18"/>
  <c r="H3739" i="18"/>
  <c r="H3738" i="18"/>
  <c r="H3737" i="18"/>
  <c r="H3736" i="18"/>
  <c r="H3735" i="18"/>
  <c r="H3734" i="18"/>
  <c r="H3733" i="18"/>
  <c r="H3732" i="18"/>
  <c r="H3731" i="18"/>
  <c r="H3730" i="18"/>
  <c r="H3729" i="18"/>
  <c r="H3728" i="18"/>
  <c r="H3727" i="18"/>
  <c r="H3726" i="18"/>
  <c r="H3725" i="18"/>
  <c r="H3724" i="18"/>
  <c r="H3723" i="18"/>
  <c r="H3722" i="18"/>
  <c r="H3721" i="18"/>
  <c r="H3720" i="18"/>
  <c r="H3719" i="18"/>
  <c r="H3718" i="18"/>
  <c r="H3717" i="18"/>
  <c r="H3716" i="18"/>
  <c r="H3715" i="18"/>
  <c r="H3714" i="18"/>
  <c r="H3713" i="18"/>
  <c r="H3712" i="18"/>
  <c r="H3711" i="18"/>
  <c r="H3710" i="18"/>
  <c r="H3709" i="18"/>
  <c r="H3708" i="18"/>
  <c r="H3707" i="18"/>
  <c r="H3706" i="18"/>
  <c r="H3705" i="18"/>
  <c r="H3704" i="18"/>
  <c r="H3703" i="18"/>
  <c r="H3702" i="18"/>
  <c r="H3701" i="18"/>
  <c r="H3700" i="18"/>
  <c r="H3699" i="18"/>
  <c r="H3698" i="18"/>
  <c r="H3697" i="18"/>
  <c r="H3696" i="18"/>
  <c r="H3695" i="18"/>
  <c r="H3694" i="18"/>
  <c r="H3693" i="18"/>
  <c r="H3692" i="18"/>
  <c r="H3691" i="18"/>
  <c r="H3690" i="18"/>
  <c r="H3689" i="18"/>
  <c r="H3688" i="18"/>
  <c r="H3687" i="18"/>
  <c r="H3686" i="18"/>
  <c r="H3685" i="18"/>
  <c r="H3684" i="18"/>
  <c r="H3683" i="18"/>
  <c r="H3682" i="18"/>
  <c r="H3681" i="18"/>
  <c r="H3680" i="18"/>
  <c r="H3679" i="18"/>
  <c r="H3678" i="18"/>
  <c r="H3677" i="18"/>
  <c r="H3676" i="18"/>
  <c r="H3675" i="18"/>
  <c r="H3674" i="18"/>
  <c r="H3673" i="18"/>
  <c r="H3672" i="18"/>
  <c r="H3671" i="18"/>
  <c r="H3670" i="18"/>
  <c r="H3669" i="18"/>
  <c r="H3668" i="18"/>
  <c r="H3667" i="18"/>
  <c r="H3666" i="18"/>
  <c r="H3665" i="18"/>
  <c r="H3664" i="18"/>
  <c r="H3663" i="18"/>
  <c r="H3662" i="18"/>
  <c r="H3661" i="18"/>
  <c r="H3660" i="18"/>
  <c r="H3659" i="18"/>
  <c r="H3658" i="18"/>
  <c r="H3657" i="18"/>
  <c r="H3656" i="18"/>
  <c r="H3655" i="18"/>
  <c r="H3654" i="18"/>
  <c r="H3653" i="18"/>
  <c r="H3652" i="18"/>
  <c r="H3651" i="18"/>
  <c r="H3650" i="18"/>
  <c r="H3649" i="18"/>
  <c r="H3648" i="18"/>
  <c r="H3647" i="18"/>
  <c r="H3646" i="18"/>
  <c r="H3645" i="18"/>
  <c r="H3644" i="18"/>
  <c r="H3643" i="18"/>
  <c r="H3642" i="18"/>
  <c r="H3641" i="18"/>
  <c r="H3640" i="18"/>
  <c r="H3639" i="18"/>
  <c r="H3638" i="18"/>
  <c r="H3637" i="18"/>
  <c r="H3636" i="18"/>
  <c r="H3635" i="18"/>
  <c r="H3634" i="18"/>
  <c r="H3633" i="18"/>
  <c r="H3632" i="18"/>
  <c r="H3631" i="18"/>
  <c r="H3630" i="18"/>
  <c r="H3629" i="18"/>
  <c r="H3628" i="18"/>
  <c r="H3627" i="18"/>
  <c r="H3626" i="18"/>
  <c r="H3625" i="18"/>
  <c r="H3624" i="18"/>
  <c r="H3623" i="18"/>
  <c r="H3622" i="18"/>
  <c r="H3621" i="18"/>
  <c r="H3620" i="18"/>
  <c r="H3619" i="18"/>
  <c r="H3618" i="18"/>
  <c r="H3617" i="18"/>
  <c r="H3616" i="18"/>
  <c r="H3615" i="18"/>
  <c r="H3614" i="18"/>
  <c r="H3613" i="18"/>
  <c r="H3612" i="18"/>
  <c r="H3611" i="18"/>
  <c r="H3610" i="18"/>
  <c r="H3609" i="18"/>
  <c r="H3608" i="18"/>
  <c r="H3607" i="18"/>
  <c r="H3606" i="18"/>
  <c r="H3605" i="18"/>
  <c r="H3604" i="18"/>
  <c r="H3603" i="18"/>
  <c r="H3602" i="18"/>
  <c r="H3601" i="18"/>
  <c r="H3600" i="18"/>
  <c r="H3599" i="18"/>
  <c r="H3598" i="18"/>
  <c r="H3597" i="18"/>
  <c r="H3596" i="18"/>
  <c r="H3595" i="18"/>
  <c r="H3594" i="18"/>
  <c r="H3593" i="18"/>
  <c r="H3592" i="18"/>
  <c r="H3591" i="18"/>
  <c r="H3590" i="18"/>
  <c r="H3589" i="18"/>
  <c r="H3588" i="18"/>
  <c r="H3587" i="18"/>
  <c r="H3586" i="18"/>
  <c r="H3585" i="18"/>
  <c r="H3584" i="18"/>
  <c r="H3583" i="18"/>
  <c r="H3582" i="18"/>
  <c r="H3581" i="18"/>
  <c r="H3580" i="18"/>
  <c r="H3579" i="18"/>
  <c r="H3578" i="18"/>
  <c r="H3577" i="18"/>
  <c r="H3576" i="18"/>
  <c r="H3575" i="18"/>
  <c r="H3574" i="18"/>
  <c r="H3573" i="18"/>
  <c r="H3572" i="18"/>
  <c r="H3571" i="18"/>
  <c r="H3570" i="18"/>
  <c r="H3569" i="18"/>
  <c r="H3568" i="18"/>
  <c r="H3567" i="18"/>
  <c r="H3566" i="18"/>
  <c r="H3565" i="18"/>
  <c r="H3564" i="18"/>
  <c r="H3563" i="18"/>
  <c r="H3562" i="18"/>
  <c r="H3561" i="18"/>
  <c r="H3560" i="18"/>
  <c r="H3559" i="18"/>
  <c r="H3558" i="18"/>
  <c r="H3557" i="18"/>
  <c r="H3556" i="18"/>
  <c r="H3555" i="18"/>
  <c r="H3554" i="18"/>
  <c r="H3553" i="18"/>
  <c r="H3552" i="18"/>
  <c r="H3551" i="18"/>
  <c r="H3550" i="18"/>
  <c r="H3549" i="18"/>
  <c r="H3548" i="18"/>
  <c r="H3547" i="18"/>
  <c r="H3546" i="18"/>
  <c r="H3545" i="18"/>
  <c r="H3544" i="18"/>
  <c r="H3543" i="18"/>
  <c r="H3542" i="18"/>
  <c r="H3541" i="18"/>
  <c r="H3540" i="18"/>
  <c r="H3539" i="18"/>
  <c r="H3538" i="18"/>
  <c r="H3537" i="18"/>
  <c r="H3536" i="18"/>
  <c r="H3535" i="18"/>
  <c r="H3534" i="18"/>
  <c r="H3533" i="18"/>
  <c r="H3532" i="18"/>
  <c r="H3531" i="18"/>
  <c r="H3530" i="18"/>
  <c r="H3529" i="18"/>
  <c r="H3528" i="18"/>
  <c r="H3527" i="18"/>
  <c r="H3526" i="18"/>
  <c r="H3525" i="18"/>
  <c r="H3524" i="18"/>
  <c r="H3523" i="18"/>
  <c r="H3522" i="18"/>
  <c r="H3521" i="18"/>
  <c r="H3520" i="18"/>
  <c r="H3519" i="18"/>
  <c r="H3518" i="18"/>
  <c r="H3517" i="18"/>
  <c r="H3516" i="18"/>
  <c r="H3515" i="18"/>
  <c r="H3514" i="18"/>
  <c r="H3513" i="18"/>
  <c r="H3512" i="18"/>
  <c r="H3511" i="18"/>
  <c r="H3510" i="18"/>
  <c r="H3509" i="18"/>
  <c r="H3508" i="18"/>
  <c r="H3507" i="18"/>
  <c r="H3506" i="18"/>
  <c r="H3505" i="18"/>
  <c r="H3504" i="18"/>
  <c r="H3503" i="18"/>
  <c r="H3502" i="18"/>
  <c r="H3501" i="18"/>
  <c r="H3500" i="18"/>
  <c r="H3499" i="18"/>
  <c r="H3498" i="18"/>
  <c r="H3497" i="18"/>
  <c r="H3496" i="18"/>
  <c r="H3495" i="18"/>
  <c r="H3494" i="18"/>
  <c r="H3493" i="18"/>
  <c r="H3492" i="18"/>
  <c r="H3491" i="18"/>
  <c r="H3490" i="18"/>
  <c r="H3489" i="18"/>
  <c r="H3488" i="18"/>
  <c r="H3487" i="18"/>
  <c r="H3486" i="18"/>
  <c r="H3485" i="18"/>
  <c r="H3484" i="18"/>
  <c r="H3483" i="18"/>
  <c r="H3482" i="18"/>
  <c r="H3481" i="18"/>
  <c r="H3480" i="18"/>
  <c r="H3479" i="18"/>
  <c r="H3478" i="18"/>
  <c r="H3477" i="18"/>
  <c r="H3476" i="18"/>
  <c r="H3475" i="18"/>
  <c r="H3474" i="18"/>
  <c r="H3473" i="18"/>
  <c r="H3472" i="18"/>
  <c r="H3471" i="18"/>
  <c r="H3470" i="18"/>
  <c r="H3469" i="18"/>
  <c r="H3468" i="18"/>
  <c r="H3467" i="18"/>
  <c r="H3466" i="18"/>
  <c r="H3465" i="18"/>
  <c r="H3464" i="18"/>
  <c r="H3463" i="18"/>
  <c r="H3462" i="18"/>
  <c r="H3461" i="18"/>
  <c r="H3460" i="18"/>
  <c r="H3459" i="18"/>
  <c r="H3458" i="18"/>
  <c r="H3457" i="18"/>
  <c r="H3456" i="18"/>
  <c r="H3455" i="18"/>
  <c r="H3454" i="18"/>
  <c r="H3453" i="18"/>
  <c r="H3452" i="18"/>
  <c r="H3451" i="18"/>
  <c r="H3450" i="18"/>
  <c r="H3449" i="18"/>
  <c r="H3448" i="18"/>
  <c r="H3447" i="18"/>
  <c r="H3446" i="18"/>
  <c r="H3445" i="18"/>
  <c r="H3444" i="18"/>
  <c r="H3443" i="18"/>
  <c r="H3442" i="18"/>
  <c r="H3441" i="18"/>
  <c r="H3440" i="18"/>
  <c r="H3439" i="18"/>
  <c r="H3438" i="18"/>
  <c r="H3437" i="18"/>
  <c r="H3436" i="18"/>
  <c r="H3435" i="18"/>
  <c r="H3434" i="18"/>
  <c r="H3433" i="18"/>
  <c r="H3432" i="18"/>
  <c r="H3431" i="18"/>
  <c r="H3430" i="18"/>
  <c r="H3429" i="18"/>
  <c r="H3428" i="18"/>
  <c r="H3427" i="18"/>
  <c r="H3426" i="18"/>
  <c r="H3425" i="18"/>
  <c r="H3424" i="18"/>
  <c r="H3423" i="18"/>
  <c r="H3422" i="18"/>
  <c r="H3421" i="18"/>
  <c r="H3420" i="18"/>
  <c r="H3419" i="18"/>
  <c r="H3418" i="18"/>
  <c r="H3417" i="18"/>
  <c r="H3416" i="18"/>
  <c r="H3415" i="18"/>
  <c r="H3414" i="18"/>
  <c r="H3413" i="18"/>
  <c r="H3412" i="18"/>
  <c r="H3411" i="18"/>
  <c r="H3410" i="18"/>
  <c r="H3409" i="18"/>
  <c r="H3408" i="18"/>
  <c r="H3407" i="18"/>
  <c r="H3406" i="18"/>
  <c r="H3405" i="18"/>
  <c r="H3404" i="18"/>
  <c r="H3403" i="18"/>
  <c r="H3402" i="18"/>
  <c r="H3401" i="18"/>
  <c r="H3400" i="18"/>
  <c r="H3399" i="18"/>
  <c r="H3398" i="18"/>
  <c r="H3397" i="18"/>
  <c r="H3396" i="18"/>
  <c r="H3395" i="18"/>
  <c r="H3394" i="18"/>
  <c r="H3393" i="18"/>
  <c r="H3392" i="18"/>
  <c r="H3391" i="18"/>
  <c r="H3390" i="18"/>
  <c r="H3389" i="18"/>
  <c r="H3388" i="18"/>
  <c r="H3387" i="18"/>
  <c r="H3386" i="18"/>
  <c r="H3385" i="18"/>
  <c r="H3384" i="18"/>
  <c r="H3383" i="18"/>
  <c r="H3382" i="18"/>
  <c r="H3381" i="18"/>
  <c r="H3380" i="18"/>
  <c r="H3379" i="18"/>
  <c r="H3378" i="18"/>
  <c r="H3377" i="18"/>
  <c r="H3376" i="18"/>
  <c r="H3375" i="18"/>
  <c r="H3374" i="18"/>
  <c r="H3373" i="18"/>
  <c r="H3372" i="18"/>
  <c r="H3371" i="18"/>
  <c r="H3370" i="18"/>
  <c r="H3369" i="18"/>
  <c r="H3368" i="18"/>
  <c r="H3367" i="18"/>
  <c r="H3366" i="18"/>
  <c r="H3365" i="18"/>
  <c r="H3364" i="18"/>
  <c r="H3363" i="18"/>
  <c r="H3362" i="18"/>
  <c r="H3361" i="18"/>
  <c r="H3360" i="18"/>
  <c r="H3359" i="18"/>
  <c r="H3358" i="18"/>
  <c r="H3357" i="18"/>
  <c r="H3356" i="18"/>
  <c r="H3355" i="18"/>
  <c r="H3354" i="18"/>
  <c r="H3353" i="18"/>
  <c r="H3352" i="18"/>
  <c r="H3351" i="18"/>
  <c r="H3350" i="18"/>
  <c r="H3349" i="18"/>
  <c r="H3348" i="18"/>
  <c r="H3347" i="18"/>
  <c r="H3346" i="18"/>
  <c r="H3345" i="18"/>
  <c r="H3344" i="18"/>
  <c r="H3343" i="18"/>
  <c r="H3342" i="18"/>
  <c r="H3341" i="18"/>
  <c r="H3340" i="18"/>
  <c r="H3339" i="18"/>
  <c r="H3338" i="18"/>
  <c r="H3337" i="18"/>
  <c r="H3336" i="18"/>
  <c r="H3335" i="18"/>
  <c r="H3334" i="18"/>
  <c r="H3333" i="18"/>
  <c r="H3332" i="18"/>
  <c r="H3331" i="18"/>
  <c r="H3330" i="18"/>
  <c r="H3329" i="18"/>
  <c r="H3328" i="18"/>
  <c r="H3327" i="18"/>
  <c r="H3326" i="18"/>
  <c r="H3325" i="18"/>
  <c r="H3324" i="18"/>
  <c r="H3323" i="18"/>
  <c r="H3322" i="18"/>
  <c r="H3321" i="18"/>
  <c r="H3320" i="18"/>
  <c r="H3319" i="18"/>
  <c r="H3318" i="18"/>
  <c r="H3317" i="18"/>
  <c r="H3316" i="18"/>
  <c r="H3315" i="18"/>
  <c r="H3314" i="18"/>
  <c r="H3313" i="18"/>
  <c r="H3312" i="18"/>
  <c r="H3311" i="18"/>
  <c r="H3310" i="18"/>
  <c r="H3309" i="18"/>
  <c r="H3308" i="18"/>
  <c r="H3307" i="18"/>
  <c r="H3306" i="18"/>
  <c r="H3305" i="18"/>
  <c r="H3304" i="18"/>
  <c r="H3303" i="18"/>
  <c r="H3302" i="18"/>
  <c r="H3301" i="18"/>
  <c r="H3300" i="18"/>
  <c r="H3299" i="18"/>
  <c r="H3298" i="18"/>
  <c r="H3297" i="18"/>
  <c r="H3296" i="18"/>
  <c r="H3295" i="18"/>
  <c r="H3294" i="18"/>
  <c r="H3293" i="18"/>
  <c r="H3292" i="18"/>
  <c r="H3291" i="18"/>
  <c r="H3290" i="18"/>
  <c r="H3289" i="18"/>
  <c r="H3288" i="18"/>
  <c r="H3287" i="18"/>
  <c r="H3286" i="18"/>
  <c r="H3285" i="18"/>
  <c r="H3284" i="18"/>
  <c r="H3283" i="18"/>
  <c r="H3282" i="18"/>
  <c r="H3281" i="18"/>
  <c r="H3280" i="18"/>
  <c r="H3279" i="18"/>
  <c r="H3278" i="18"/>
  <c r="H3277" i="18"/>
  <c r="H3276" i="18"/>
  <c r="H3275" i="18"/>
  <c r="H3274" i="18"/>
  <c r="H3273" i="18"/>
  <c r="H3272" i="18"/>
  <c r="H3271" i="18"/>
  <c r="H3270" i="18"/>
  <c r="H3269" i="18"/>
  <c r="H3268" i="18"/>
  <c r="H3267" i="18"/>
  <c r="H3266" i="18"/>
  <c r="H3265" i="18"/>
  <c r="H3264" i="18"/>
  <c r="H3263" i="18"/>
  <c r="H3262" i="18"/>
  <c r="H3261" i="18"/>
  <c r="H3260" i="18"/>
  <c r="H3259" i="18"/>
  <c r="H3258" i="18"/>
  <c r="H3257" i="18"/>
  <c r="H3256" i="18"/>
  <c r="H3255" i="18"/>
  <c r="H3254" i="18"/>
  <c r="H3253" i="18"/>
  <c r="H3252" i="18"/>
  <c r="H3251" i="18"/>
  <c r="H3250" i="18"/>
  <c r="H3249" i="18"/>
  <c r="H3248" i="18"/>
  <c r="H3247" i="18"/>
  <c r="H3246" i="18"/>
  <c r="H3245" i="18"/>
  <c r="H3244" i="18"/>
  <c r="H3243" i="18"/>
  <c r="H3242" i="18"/>
  <c r="H3241" i="18"/>
  <c r="H3240" i="18"/>
  <c r="H3239" i="18"/>
  <c r="H3238" i="18"/>
  <c r="H3237" i="18"/>
  <c r="H3236" i="18"/>
  <c r="H3235" i="18"/>
  <c r="H3234" i="18"/>
  <c r="H3233" i="18"/>
  <c r="H3232" i="18"/>
  <c r="H3231" i="18"/>
  <c r="H3230" i="18"/>
  <c r="H3229" i="18"/>
  <c r="H3228" i="18"/>
  <c r="H3227" i="18"/>
  <c r="H3226" i="18"/>
  <c r="H3225" i="18"/>
  <c r="H3224" i="18"/>
  <c r="H3223" i="18"/>
  <c r="H3222" i="18"/>
  <c r="H3221" i="18"/>
  <c r="H3220" i="18"/>
  <c r="H3219" i="18"/>
  <c r="H3218" i="18"/>
  <c r="H3217" i="18"/>
  <c r="H3216" i="18"/>
  <c r="H3215" i="18"/>
  <c r="H3214" i="18"/>
  <c r="H3213" i="18"/>
  <c r="H3212" i="18"/>
  <c r="H3211" i="18"/>
  <c r="H3210" i="18"/>
  <c r="H3209" i="18"/>
  <c r="H3208" i="18"/>
  <c r="H3207" i="18"/>
  <c r="H3206" i="18"/>
  <c r="H3205" i="18"/>
  <c r="H3204" i="18"/>
  <c r="H3203" i="18"/>
  <c r="H3202" i="18"/>
  <c r="H3201" i="18"/>
  <c r="H3200" i="18"/>
  <c r="H3199" i="18"/>
  <c r="H3198" i="18"/>
  <c r="H3197" i="18"/>
  <c r="H3196" i="18"/>
  <c r="H3195" i="18"/>
  <c r="H3194" i="18"/>
  <c r="H3193" i="18"/>
  <c r="H3192" i="18"/>
  <c r="H3191" i="18"/>
  <c r="H3190" i="18"/>
  <c r="H3189" i="18"/>
  <c r="H3188" i="18"/>
  <c r="H3187" i="18"/>
  <c r="H3186" i="18"/>
  <c r="H3185" i="18"/>
  <c r="H3184" i="18"/>
  <c r="H3183" i="18"/>
  <c r="H3182" i="18"/>
  <c r="H3181" i="18"/>
  <c r="H3180" i="18"/>
  <c r="H3179" i="18"/>
  <c r="H3178" i="18"/>
  <c r="H3177" i="18"/>
  <c r="H3176" i="18"/>
  <c r="H3175" i="18"/>
  <c r="H3174" i="18"/>
  <c r="H3173" i="18"/>
  <c r="H3172" i="18"/>
  <c r="H3171" i="18"/>
  <c r="H3170" i="18"/>
  <c r="H3169" i="18"/>
  <c r="H3168" i="18"/>
  <c r="H3167" i="18"/>
  <c r="H3166" i="18"/>
  <c r="H3165" i="18"/>
  <c r="H3164" i="18"/>
  <c r="H3163" i="18"/>
  <c r="H3162" i="18"/>
  <c r="H3161" i="18"/>
  <c r="H3160" i="18"/>
  <c r="H3159" i="18"/>
  <c r="H3158" i="18"/>
  <c r="H3157" i="18"/>
  <c r="H3156" i="18"/>
  <c r="H3155" i="18"/>
  <c r="H3154" i="18"/>
  <c r="H3153" i="18"/>
  <c r="H3152" i="18"/>
  <c r="H3151" i="18"/>
  <c r="H3150" i="18"/>
  <c r="H3149" i="18"/>
  <c r="H3148" i="18"/>
  <c r="H3147" i="18"/>
  <c r="H3146" i="18"/>
  <c r="H3145" i="18"/>
  <c r="H3144" i="18"/>
  <c r="H3143" i="18"/>
  <c r="H3142" i="18"/>
  <c r="H3141" i="18"/>
  <c r="H3140" i="18"/>
  <c r="H3139" i="18"/>
  <c r="H3138" i="18"/>
  <c r="H3137" i="18"/>
  <c r="H3136" i="18"/>
  <c r="H3135" i="18"/>
  <c r="H3134" i="18"/>
  <c r="H3133" i="18"/>
  <c r="H3132" i="18"/>
  <c r="H3131" i="18"/>
  <c r="H3130" i="18"/>
  <c r="H3129" i="18"/>
  <c r="H3128" i="18"/>
  <c r="H3127" i="18"/>
  <c r="H3126" i="18"/>
  <c r="H3125" i="18"/>
  <c r="H3124" i="18"/>
  <c r="H3123" i="18"/>
  <c r="H3122" i="18"/>
  <c r="H3121" i="18"/>
  <c r="H3120" i="18"/>
  <c r="H3119" i="18"/>
  <c r="H3118" i="18"/>
  <c r="H3117" i="18"/>
  <c r="H3116" i="18"/>
  <c r="H3115" i="18"/>
  <c r="H3114" i="18"/>
  <c r="H3113" i="18"/>
  <c r="H3112" i="18"/>
  <c r="H3111" i="18"/>
  <c r="H3110" i="18"/>
  <c r="H3109" i="18"/>
  <c r="H3108" i="18"/>
  <c r="B3108" i="18" a="1"/>
  <c r="H3107" i="18"/>
  <c r="H3106" i="18"/>
  <c r="H3105" i="18"/>
  <c r="H3104" i="18"/>
  <c r="H3103" i="18"/>
  <c r="H3102" i="18"/>
  <c r="H3101" i="18"/>
  <c r="H3100" i="18"/>
  <c r="H3099" i="18"/>
  <c r="H3098" i="18"/>
  <c r="H3097" i="18"/>
  <c r="H3096" i="18"/>
  <c r="H3095" i="18"/>
  <c r="H3094" i="18"/>
  <c r="H3093" i="18"/>
  <c r="H3092" i="18"/>
  <c r="H3091" i="18"/>
  <c r="H3090" i="18"/>
  <c r="H3089" i="18"/>
  <c r="H3088" i="18"/>
  <c r="H3087" i="18"/>
  <c r="H3086" i="18"/>
  <c r="H3085" i="18"/>
  <c r="H3084" i="18"/>
  <c r="H3083" i="18"/>
  <c r="H3082" i="18"/>
  <c r="H3081" i="18"/>
  <c r="H3080" i="18"/>
  <c r="H3079" i="18"/>
  <c r="H3078" i="18"/>
  <c r="H3077" i="18"/>
  <c r="H3076" i="18"/>
  <c r="H3075" i="18"/>
  <c r="H3074" i="18"/>
  <c r="H3073" i="18"/>
  <c r="H3072" i="18"/>
  <c r="H3071" i="18"/>
  <c r="H3070" i="18"/>
  <c r="H3069" i="18"/>
  <c r="H3068" i="18"/>
  <c r="H3067" i="18"/>
  <c r="H3066" i="18"/>
  <c r="H3065" i="18"/>
  <c r="H3064" i="18"/>
  <c r="H3063" i="18"/>
  <c r="H3062" i="18"/>
  <c r="H3061" i="18"/>
  <c r="H3060" i="18"/>
  <c r="H3059" i="18"/>
  <c r="H3058" i="18"/>
  <c r="H3057" i="18"/>
  <c r="H3056" i="18"/>
  <c r="H3055" i="18"/>
  <c r="H3054" i="18"/>
  <c r="H3053" i="18"/>
  <c r="H3052" i="18"/>
  <c r="H3051" i="18"/>
  <c r="H3050" i="18"/>
  <c r="H3049" i="18"/>
  <c r="H3048" i="18"/>
  <c r="H3047" i="18"/>
  <c r="H3046" i="18"/>
  <c r="H3045" i="18"/>
  <c r="H3044" i="18"/>
  <c r="H3043" i="18"/>
  <c r="H3042" i="18"/>
  <c r="H3041" i="18"/>
  <c r="H3040" i="18"/>
  <c r="H3039" i="18"/>
  <c r="H3038" i="18"/>
  <c r="H3037" i="18"/>
  <c r="H3036" i="18"/>
  <c r="H3035" i="18"/>
  <c r="H3034" i="18"/>
  <c r="H3033" i="18"/>
  <c r="H3032" i="18"/>
  <c r="H3031" i="18"/>
  <c r="H3030" i="18"/>
  <c r="H3029" i="18"/>
  <c r="H3028" i="18"/>
  <c r="H3027" i="18"/>
  <c r="H3026" i="18"/>
  <c r="H3025" i="18"/>
  <c r="H3024" i="18"/>
  <c r="H3023" i="18"/>
  <c r="H3022" i="18"/>
  <c r="H3021" i="18"/>
  <c r="H3020" i="18"/>
  <c r="H3019" i="18"/>
  <c r="H3018" i="18"/>
  <c r="H3017" i="18"/>
  <c r="H3016" i="18"/>
  <c r="H3015" i="18"/>
  <c r="H3014" i="18"/>
  <c r="H3013" i="18"/>
  <c r="H3012" i="18"/>
  <c r="H3011" i="18"/>
  <c r="H3010" i="18"/>
  <c r="H3009" i="18"/>
  <c r="H3008" i="18"/>
  <c r="H3007" i="18"/>
  <c r="H3006" i="18"/>
  <c r="H3005" i="18"/>
  <c r="H3004" i="18"/>
  <c r="H3003" i="18"/>
  <c r="H3002" i="18"/>
  <c r="H3001" i="18"/>
  <c r="H3000" i="18"/>
  <c r="H2999" i="18"/>
  <c r="H2998" i="18"/>
  <c r="H2997" i="18"/>
  <c r="H2996" i="18"/>
  <c r="H2995" i="18"/>
  <c r="H2994" i="18"/>
  <c r="H2993" i="18"/>
  <c r="H2992" i="18"/>
  <c r="H2991" i="18"/>
  <c r="H2990" i="18"/>
  <c r="H2989" i="18"/>
  <c r="H2988" i="18"/>
  <c r="H2987" i="18"/>
  <c r="H2986" i="18"/>
  <c r="H2985" i="18"/>
  <c r="H2984" i="18"/>
  <c r="H2983" i="18"/>
  <c r="H2982" i="18"/>
  <c r="H2981" i="18"/>
  <c r="H2980" i="18"/>
  <c r="H2979" i="18"/>
  <c r="H2978" i="18"/>
  <c r="H2977" i="18"/>
  <c r="H2976" i="18"/>
  <c r="H2975" i="18"/>
  <c r="H2974" i="18"/>
  <c r="H2973" i="18"/>
  <c r="H2972" i="18"/>
  <c r="H2971" i="18"/>
  <c r="H2970" i="18"/>
  <c r="H2969" i="18"/>
  <c r="H2968" i="18"/>
  <c r="H2967" i="18"/>
  <c r="H2966" i="18"/>
  <c r="H2965" i="18"/>
  <c r="H2964" i="18"/>
  <c r="H2963" i="18"/>
  <c r="H2962" i="18"/>
  <c r="H2961" i="18"/>
  <c r="H2960" i="18"/>
  <c r="H2959" i="18"/>
  <c r="H2958" i="18"/>
  <c r="H2957" i="18"/>
  <c r="H2956" i="18"/>
  <c r="H2955" i="18"/>
  <c r="H2954" i="18"/>
  <c r="H2953" i="18"/>
  <c r="H2952" i="18"/>
  <c r="H2951" i="18"/>
  <c r="H2950" i="18"/>
  <c r="H2949" i="18"/>
  <c r="H2948" i="18"/>
  <c r="H2947" i="18"/>
  <c r="H2946" i="18"/>
  <c r="H2945" i="18"/>
  <c r="H2944" i="18"/>
  <c r="H2943" i="18"/>
  <c r="H2942" i="18"/>
  <c r="H2941" i="18"/>
  <c r="H2940" i="18"/>
  <c r="H2939" i="18"/>
  <c r="H2938" i="18"/>
  <c r="H2937" i="18"/>
  <c r="H2936" i="18"/>
  <c r="H2935" i="18"/>
  <c r="H2934" i="18"/>
  <c r="H2933" i="18"/>
  <c r="H2932" i="18"/>
  <c r="H2931" i="18"/>
  <c r="H2930" i="18"/>
  <c r="H2929" i="18"/>
  <c r="H2928" i="18"/>
  <c r="H2927" i="18"/>
  <c r="H2926" i="18"/>
  <c r="H2925" i="18"/>
  <c r="H2924" i="18"/>
  <c r="H2923" i="18"/>
  <c r="H2922" i="18"/>
  <c r="H2921" i="18"/>
  <c r="H2920" i="18"/>
  <c r="H2919" i="18"/>
  <c r="H2918" i="18"/>
  <c r="H2917" i="18"/>
  <c r="H2916" i="18"/>
  <c r="H2915" i="18"/>
  <c r="H2914" i="18"/>
  <c r="H2913" i="18"/>
  <c r="H2912" i="18"/>
  <c r="H2911" i="18"/>
  <c r="H2910" i="18"/>
  <c r="H2909" i="18"/>
  <c r="H2908" i="18"/>
  <c r="H2907" i="18"/>
  <c r="H2906" i="18"/>
  <c r="H2905" i="18"/>
  <c r="H2904" i="18"/>
  <c r="H2903" i="18"/>
  <c r="H2902" i="18"/>
  <c r="H2901" i="18"/>
  <c r="H2900" i="18"/>
  <c r="H2899" i="18"/>
  <c r="H2898" i="18"/>
  <c r="H2897" i="18"/>
  <c r="H2896" i="18"/>
  <c r="H2895" i="18"/>
  <c r="H2894" i="18"/>
  <c r="H2893" i="18"/>
  <c r="H2892" i="18"/>
  <c r="H2891" i="18"/>
  <c r="H2890" i="18"/>
  <c r="H2889" i="18"/>
  <c r="H2888" i="18"/>
  <c r="H2887" i="18"/>
  <c r="H2886" i="18"/>
  <c r="H2885" i="18"/>
  <c r="H2884" i="18"/>
  <c r="H2883" i="18"/>
  <c r="H2882" i="18"/>
  <c r="H2881" i="18"/>
  <c r="H2880" i="18"/>
  <c r="H2879" i="18"/>
  <c r="H2878" i="18"/>
  <c r="H2877" i="18"/>
  <c r="H2876" i="18"/>
  <c r="H2875" i="18"/>
  <c r="H2874" i="18"/>
  <c r="H2873" i="18"/>
  <c r="H2872" i="18"/>
  <c r="H2871" i="18"/>
  <c r="H2870" i="18"/>
  <c r="H2869" i="18"/>
  <c r="H2868" i="18"/>
  <c r="H2867" i="18"/>
  <c r="H2866" i="18"/>
  <c r="H2865" i="18"/>
  <c r="H2864" i="18"/>
  <c r="H2863" i="18"/>
  <c r="H2862" i="18"/>
  <c r="H2861" i="18"/>
  <c r="H2860" i="18"/>
  <c r="H2859" i="18"/>
  <c r="H2858" i="18"/>
  <c r="H2857" i="18"/>
  <c r="H2856" i="18"/>
  <c r="H2855" i="18"/>
  <c r="H2854" i="18"/>
  <c r="H2853" i="18"/>
  <c r="H2852" i="18"/>
  <c r="H2851" i="18"/>
  <c r="H2850" i="18"/>
  <c r="B2850" i="18" a="1"/>
  <c r="H2849" i="18"/>
  <c r="H2848" i="18"/>
  <c r="H2847" i="18"/>
  <c r="H2846" i="18"/>
  <c r="H2845" i="18"/>
  <c r="H2844" i="18"/>
  <c r="H2843" i="18"/>
  <c r="H2842" i="18"/>
  <c r="H2841" i="18"/>
  <c r="H2840" i="18"/>
  <c r="H2839" i="18"/>
  <c r="H2838" i="18"/>
  <c r="H2837" i="18"/>
  <c r="H2836" i="18"/>
  <c r="H2835" i="18"/>
  <c r="H2834" i="18"/>
  <c r="H2833" i="18"/>
  <c r="H2832" i="18"/>
  <c r="H2831" i="18"/>
  <c r="H2830" i="18"/>
  <c r="H2829" i="18"/>
  <c r="H2828" i="18"/>
  <c r="H2827" i="18"/>
  <c r="H2826" i="18"/>
  <c r="H2825" i="18"/>
  <c r="H2824" i="18"/>
  <c r="H2823" i="18"/>
  <c r="H2822" i="18"/>
  <c r="H2821" i="18"/>
  <c r="H2820" i="18"/>
  <c r="H2819" i="18"/>
  <c r="H2818" i="18"/>
  <c r="H2817" i="18"/>
  <c r="H2816" i="18"/>
  <c r="H2815" i="18"/>
  <c r="H2814" i="18"/>
  <c r="H2813" i="18"/>
  <c r="H2812" i="18"/>
  <c r="H2811" i="18"/>
  <c r="H2810" i="18"/>
  <c r="H2809" i="18"/>
  <c r="H2808" i="18"/>
  <c r="H2807" i="18"/>
  <c r="H2806" i="18"/>
  <c r="H2805" i="18"/>
  <c r="H2804" i="18"/>
  <c r="H2803" i="18"/>
  <c r="H2802" i="18"/>
  <c r="H2801" i="18"/>
  <c r="H2800" i="18"/>
  <c r="H2799" i="18"/>
  <c r="H2798" i="18"/>
  <c r="H2797" i="18"/>
  <c r="H2796" i="18"/>
  <c r="H2795" i="18"/>
  <c r="H2794" i="18"/>
  <c r="H2793" i="18"/>
  <c r="H2792" i="18"/>
  <c r="H2791" i="18"/>
  <c r="H2790" i="18"/>
  <c r="H2789" i="18"/>
  <c r="H2788" i="18"/>
  <c r="H2787" i="18"/>
  <c r="H2786" i="18"/>
  <c r="H2785" i="18"/>
  <c r="H2784" i="18"/>
  <c r="H2783" i="18"/>
  <c r="H2782" i="18"/>
  <c r="H2781" i="18"/>
  <c r="H2780" i="18"/>
  <c r="H2779" i="18"/>
  <c r="H2778" i="18"/>
  <c r="H2777" i="18"/>
  <c r="H2776" i="18"/>
  <c r="H2775" i="18"/>
  <c r="H2774" i="18"/>
  <c r="H2773" i="18"/>
  <c r="H2772" i="18"/>
  <c r="H2771" i="18"/>
  <c r="H2770" i="18"/>
  <c r="H2769" i="18"/>
  <c r="H2768" i="18"/>
  <c r="H2767" i="18"/>
  <c r="H2766" i="18"/>
  <c r="H2765" i="18"/>
  <c r="H2764" i="18"/>
  <c r="H2763" i="18"/>
  <c r="H2762" i="18"/>
  <c r="H2761" i="18"/>
  <c r="H2760" i="18"/>
  <c r="H2759" i="18"/>
  <c r="H2758" i="18"/>
  <c r="H2757" i="18"/>
  <c r="H2756" i="18"/>
  <c r="H2755" i="18"/>
  <c r="H2754" i="18"/>
  <c r="H2753" i="18"/>
  <c r="H2752" i="18"/>
  <c r="H2751" i="18"/>
  <c r="H2750" i="18"/>
  <c r="H2749" i="18"/>
  <c r="H2748" i="18"/>
  <c r="H2747" i="18"/>
  <c r="H2746" i="18"/>
  <c r="H2745" i="18"/>
  <c r="H2744" i="18"/>
  <c r="H2743" i="18"/>
  <c r="H2742" i="18"/>
  <c r="H2741" i="18"/>
  <c r="H2740" i="18"/>
  <c r="H2739" i="18"/>
  <c r="H2738" i="18"/>
  <c r="H2737" i="18"/>
  <c r="H2736" i="18"/>
  <c r="H2735" i="18"/>
  <c r="H2734" i="18"/>
  <c r="H2733" i="18"/>
  <c r="H2732" i="18"/>
  <c r="H2731" i="18"/>
  <c r="H2730" i="18"/>
  <c r="H2729" i="18"/>
  <c r="H2728" i="18"/>
  <c r="H2727" i="18"/>
  <c r="H2726" i="18"/>
  <c r="H2725" i="18"/>
  <c r="H2724" i="18"/>
  <c r="H2723" i="18"/>
  <c r="H2722" i="18"/>
  <c r="H2721" i="18"/>
  <c r="H2720" i="18"/>
  <c r="H2719" i="18"/>
  <c r="H2718" i="18"/>
  <c r="H2717" i="18"/>
  <c r="H2716" i="18"/>
  <c r="H2715" i="18"/>
  <c r="H2714" i="18"/>
  <c r="H2713" i="18"/>
  <c r="H2712" i="18"/>
  <c r="H2711" i="18"/>
  <c r="H2710" i="18"/>
  <c r="H2709" i="18"/>
  <c r="H2708" i="18"/>
  <c r="H2707" i="18"/>
  <c r="H2706" i="18"/>
  <c r="H2705" i="18"/>
  <c r="H2704" i="18"/>
  <c r="H2703" i="18"/>
  <c r="H2702" i="18"/>
  <c r="H2701" i="18"/>
  <c r="H2700" i="18"/>
  <c r="H2699" i="18"/>
  <c r="H2698" i="18"/>
  <c r="H2697" i="18"/>
  <c r="H2696" i="18"/>
  <c r="H2695" i="18"/>
  <c r="H2694" i="18"/>
  <c r="H2693" i="18"/>
  <c r="H2692" i="18"/>
  <c r="H2691" i="18"/>
  <c r="H2690" i="18"/>
  <c r="H2689" i="18"/>
  <c r="H2688" i="18"/>
  <c r="H2687" i="18"/>
  <c r="H2686" i="18"/>
  <c r="H2685" i="18"/>
  <c r="H2684" i="18"/>
  <c r="H2683" i="18"/>
  <c r="H2682" i="18"/>
  <c r="H2681" i="18"/>
  <c r="H2680" i="18"/>
  <c r="H2679" i="18"/>
  <c r="H2678" i="18"/>
  <c r="H2677" i="18"/>
  <c r="H2676" i="18"/>
  <c r="H2675" i="18"/>
  <c r="H2674" i="18"/>
  <c r="H2673" i="18"/>
  <c r="H2672" i="18"/>
  <c r="H2671" i="18"/>
  <c r="H2670" i="18"/>
  <c r="H2669" i="18"/>
  <c r="H2668" i="18"/>
  <c r="H2667" i="18"/>
  <c r="H2666" i="18"/>
  <c r="H2665" i="18"/>
  <c r="H2664" i="18"/>
  <c r="H2663" i="18"/>
  <c r="H2662" i="18"/>
  <c r="H2661" i="18"/>
  <c r="H2660" i="18"/>
  <c r="H2659" i="18"/>
  <c r="H2658" i="18"/>
  <c r="H2657" i="18"/>
  <c r="H2656" i="18"/>
  <c r="H2655" i="18"/>
  <c r="H2654" i="18"/>
  <c r="H2653" i="18"/>
  <c r="H2652" i="18"/>
  <c r="H2651" i="18"/>
  <c r="H2650" i="18"/>
  <c r="H2649" i="18"/>
  <c r="H2648" i="18"/>
  <c r="H2647" i="18"/>
  <c r="H2646" i="18"/>
  <c r="H2645" i="18"/>
  <c r="H2644" i="18"/>
  <c r="H2643" i="18"/>
  <c r="H2642" i="18"/>
  <c r="H2641" i="18"/>
  <c r="H2640" i="18"/>
  <c r="H2639" i="18"/>
  <c r="H2638" i="18"/>
  <c r="H2637" i="18"/>
  <c r="H2636" i="18"/>
  <c r="H2635" i="18"/>
  <c r="H2634" i="18"/>
  <c r="H2633" i="18"/>
  <c r="H2632" i="18"/>
  <c r="H2631" i="18"/>
  <c r="H2630" i="18"/>
  <c r="H2629" i="18"/>
  <c r="H2628" i="18"/>
  <c r="H2627" i="18"/>
  <c r="H2626" i="18"/>
  <c r="H2625" i="18"/>
  <c r="H2624" i="18"/>
  <c r="H2623" i="18"/>
  <c r="H2622" i="18"/>
  <c r="H2621" i="18"/>
  <c r="H2620" i="18"/>
  <c r="H2619" i="18"/>
  <c r="H2618" i="18"/>
  <c r="H2617" i="18"/>
  <c r="H2616" i="18"/>
  <c r="H2615" i="18"/>
  <c r="H2614" i="18"/>
  <c r="H2613" i="18"/>
  <c r="H2612" i="18"/>
  <c r="H2611" i="18"/>
  <c r="H2610" i="18"/>
  <c r="H2609" i="18"/>
  <c r="H2608" i="18"/>
  <c r="H2607" i="18"/>
  <c r="H2606" i="18"/>
  <c r="H2605" i="18"/>
  <c r="H2604" i="18"/>
  <c r="H2603" i="18"/>
  <c r="H2602" i="18"/>
  <c r="H2601" i="18"/>
  <c r="H2600" i="18"/>
  <c r="H2599" i="18"/>
  <c r="H2598" i="18"/>
  <c r="H2597" i="18"/>
  <c r="H2596" i="18"/>
  <c r="H2595" i="18"/>
  <c r="H2594" i="18"/>
  <c r="H2593" i="18"/>
  <c r="H2592" i="18"/>
  <c r="H2591" i="18"/>
  <c r="H2590" i="18"/>
  <c r="H2589" i="18"/>
  <c r="H2588" i="18"/>
  <c r="H2587" i="18"/>
  <c r="H2586" i="18"/>
  <c r="H2585" i="18"/>
  <c r="H2584" i="18"/>
  <c r="H2583" i="18"/>
  <c r="H2582" i="18"/>
  <c r="H2581" i="18"/>
  <c r="H2580" i="18"/>
  <c r="H2579" i="18"/>
  <c r="H2578" i="18"/>
  <c r="H2577" i="18"/>
  <c r="H2576" i="18"/>
  <c r="H2575" i="18"/>
  <c r="H2574" i="18"/>
  <c r="H2573" i="18"/>
  <c r="H2572" i="18"/>
  <c r="H2571" i="18"/>
  <c r="H2570" i="18"/>
  <c r="H2569" i="18"/>
  <c r="H2568" i="18"/>
  <c r="H2567" i="18"/>
  <c r="H2566" i="18"/>
  <c r="H2565" i="18"/>
  <c r="H2564" i="18"/>
  <c r="H2563" i="18"/>
  <c r="H2562" i="18"/>
  <c r="H2561" i="18"/>
  <c r="H2560" i="18"/>
  <c r="H2559" i="18"/>
  <c r="H2558" i="18"/>
  <c r="H2557" i="18"/>
  <c r="H2556" i="18"/>
  <c r="H2555" i="18"/>
  <c r="H2554" i="18"/>
  <c r="H2553" i="18"/>
  <c r="H2552" i="18"/>
  <c r="H2551" i="18"/>
  <c r="H2550" i="18"/>
  <c r="H2549" i="18"/>
  <c r="H2548" i="18"/>
  <c r="H2547" i="18"/>
  <c r="H2546" i="18"/>
  <c r="H2545" i="18"/>
  <c r="H2544" i="18"/>
  <c r="H2543" i="18"/>
  <c r="H2542" i="18"/>
  <c r="H2541" i="18"/>
  <c r="H2540" i="18"/>
  <c r="H2539" i="18"/>
  <c r="H2538" i="18"/>
  <c r="H2537" i="18"/>
  <c r="H2536" i="18"/>
  <c r="H2535" i="18"/>
  <c r="H2534" i="18"/>
  <c r="H2533" i="18"/>
  <c r="H2532" i="18"/>
  <c r="H2531" i="18"/>
  <c r="H2530" i="18"/>
  <c r="H2529" i="18"/>
  <c r="H2528" i="18"/>
  <c r="H2527" i="18"/>
  <c r="H2526" i="18"/>
  <c r="H2525" i="18"/>
  <c r="H2524" i="18"/>
  <c r="H2523" i="18"/>
  <c r="H2522" i="18"/>
  <c r="H2521" i="18"/>
  <c r="H2520" i="18"/>
  <c r="H2519" i="18"/>
  <c r="H2518" i="18"/>
  <c r="H2517" i="18"/>
  <c r="H2516" i="18"/>
  <c r="H2515" i="18"/>
  <c r="H2514" i="18"/>
  <c r="H2513" i="18"/>
  <c r="H2512" i="18"/>
  <c r="H2511" i="18"/>
  <c r="H2510" i="18"/>
  <c r="H2509" i="18"/>
  <c r="H2508" i="18"/>
  <c r="H2507" i="18"/>
  <c r="H2506" i="18"/>
  <c r="H2505" i="18"/>
  <c r="H2504" i="18"/>
  <c r="H2503" i="18"/>
  <c r="H2502" i="18"/>
  <c r="H2501" i="18"/>
  <c r="H2500" i="18"/>
  <c r="H2499" i="18"/>
  <c r="H2498" i="18"/>
  <c r="H2497" i="18"/>
  <c r="H2496" i="18"/>
  <c r="H2495" i="18"/>
  <c r="H2494" i="18"/>
  <c r="H2493" i="18"/>
  <c r="H2492" i="18"/>
  <c r="H2491" i="18"/>
  <c r="H2490" i="18"/>
  <c r="H2489" i="18"/>
  <c r="H2488" i="18"/>
  <c r="H2487" i="18"/>
  <c r="H2486" i="18"/>
  <c r="H2485" i="18"/>
  <c r="H2484" i="18"/>
  <c r="H2483" i="18"/>
  <c r="H2482" i="18"/>
  <c r="H2481" i="18"/>
  <c r="H2480" i="18"/>
  <c r="H2479" i="18"/>
  <c r="H2478" i="18"/>
  <c r="H2477" i="18"/>
  <c r="H2476" i="18"/>
  <c r="H2475" i="18"/>
  <c r="H2474" i="18"/>
  <c r="H2473" i="18"/>
  <c r="H2472" i="18"/>
  <c r="H2471" i="18"/>
  <c r="H2470" i="18"/>
  <c r="H2469" i="18"/>
  <c r="H2468" i="18"/>
  <c r="H2467" i="18"/>
  <c r="H2466" i="18"/>
  <c r="H2465" i="18"/>
  <c r="H2464" i="18"/>
  <c r="H2463" i="18"/>
  <c r="H2462" i="18"/>
  <c r="H2461" i="18"/>
  <c r="H2460" i="18"/>
  <c r="H2459" i="18"/>
  <c r="H2458" i="18"/>
  <c r="H2457" i="18"/>
  <c r="H2456" i="18"/>
  <c r="H2455" i="18"/>
  <c r="H2454" i="18"/>
  <c r="H2453" i="18"/>
  <c r="H2452" i="18"/>
  <c r="H2451" i="18"/>
  <c r="H2450" i="18"/>
  <c r="H2449" i="18"/>
  <c r="H2448" i="18"/>
  <c r="H2447" i="18"/>
  <c r="H2446" i="18"/>
  <c r="H2445" i="18"/>
  <c r="H2444" i="18"/>
  <c r="H2443" i="18"/>
  <c r="H2442" i="18"/>
  <c r="H2441" i="18"/>
  <c r="H2440" i="18"/>
  <c r="H2439" i="18"/>
  <c r="H2438" i="18"/>
  <c r="H2437" i="18"/>
  <c r="H2436" i="18"/>
  <c r="H2435" i="18"/>
  <c r="H2434" i="18"/>
  <c r="H2433" i="18"/>
  <c r="H2432" i="18"/>
  <c r="H2431" i="18"/>
  <c r="H2430" i="18"/>
  <c r="H2429" i="18"/>
  <c r="H2428" i="18"/>
  <c r="H2427" i="18"/>
  <c r="H2426" i="18"/>
  <c r="H2425" i="18"/>
  <c r="H2424" i="18"/>
  <c r="H2423" i="18"/>
  <c r="H2422" i="18"/>
  <c r="H2421" i="18"/>
  <c r="H2420" i="18"/>
  <c r="H2419" i="18"/>
  <c r="H2418" i="18"/>
  <c r="H2417" i="18"/>
  <c r="H2416" i="18"/>
  <c r="H2415" i="18"/>
  <c r="H2414" i="18"/>
  <c r="H2413" i="18"/>
  <c r="H2412" i="18"/>
  <c r="H2411" i="18"/>
  <c r="H2410" i="18"/>
  <c r="H2409" i="18"/>
  <c r="H2408" i="18"/>
  <c r="H2407" i="18"/>
  <c r="H2406" i="18"/>
  <c r="H2405" i="18"/>
  <c r="H2404" i="18"/>
  <c r="H2403" i="18"/>
  <c r="H2402" i="18"/>
  <c r="H2401" i="18"/>
  <c r="H2400" i="18"/>
  <c r="H2399" i="18"/>
  <c r="H2398" i="18"/>
  <c r="H2397" i="18"/>
  <c r="H2396" i="18"/>
  <c r="H2395" i="18"/>
  <c r="H2394" i="18"/>
  <c r="H2393" i="18"/>
  <c r="H2392" i="18"/>
  <c r="H2391" i="18"/>
  <c r="H2390" i="18"/>
  <c r="B2390" i="18" a="1"/>
  <c r="H2389" i="18"/>
  <c r="H2388" i="18"/>
  <c r="H2387" i="18"/>
  <c r="H2386" i="18"/>
  <c r="H2385" i="18"/>
  <c r="H2384" i="18"/>
  <c r="H2383" i="18"/>
  <c r="H2382" i="18"/>
  <c r="H2381" i="18"/>
  <c r="H2380" i="18"/>
  <c r="H2379" i="18"/>
  <c r="H2378" i="18"/>
  <c r="H2377" i="18"/>
  <c r="H2376" i="18"/>
  <c r="H2375" i="18"/>
  <c r="H2374" i="18"/>
  <c r="H2373" i="18"/>
  <c r="H2372" i="18"/>
  <c r="H2371" i="18"/>
  <c r="H2370" i="18"/>
  <c r="H2369" i="18"/>
  <c r="H2368" i="18"/>
  <c r="H2367" i="18"/>
  <c r="H2366" i="18"/>
  <c r="H2365" i="18"/>
  <c r="H2364" i="18"/>
  <c r="H2363" i="18"/>
  <c r="H2362" i="18"/>
  <c r="H2361" i="18"/>
  <c r="H2360" i="18"/>
  <c r="H2359" i="18"/>
  <c r="H2358" i="18"/>
  <c r="H2357" i="18"/>
  <c r="H2356" i="18"/>
  <c r="B2356" i="18" a="1"/>
  <c r="H2355" i="18"/>
  <c r="H2354" i="18"/>
  <c r="H2353" i="18"/>
  <c r="H2352" i="18"/>
  <c r="H2351" i="18"/>
  <c r="H2350" i="18"/>
  <c r="H2349" i="18"/>
  <c r="H2348" i="18"/>
  <c r="H2347" i="18"/>
  <c r="H2346" i="18"/>
  <c r="H2345" i="18"/>
  <c r="H2344" i="18"/>
  <c r="H2343" i="18"/>
  <c r="H2342" i="18"/>
  <c r="H2341" i="18"/>
  <c r="H2340" i="18"/>
  <c r="H2339" i="18"/>
  <c r="H2338" i="18"/>
  <c r="H2337" i="18"/>
  <c r="H2336" i="18"/>
  <c r="H2335" i="18"/>
  <c r="H2334" i="18"/>
  <c r="H2333" i="18"/>
  <c r="H2332" i="18"/>
  <c r="H2331" i="18"/>
  <c r="H2330" i="18"/>
  <c r="H2329" i="18"/>
  <c r="H2328" i="18"/>
  <c r="H2327" i="18"/>
  <c r="H2326" i="18"/>
  <c r="H2325" i="18"/>
  <c r="H2324" i="18"/>
  <c r="H2323" i="18"/>
  <c r="H2322" i="18"/>
  <c r="H2321" i="18"/>
  <c r="H2320" i="18"/>
  <c r="H2319" i="18"/>
  <c r="H2318" i="18"/>
  <c r="H2317" i="18"/>
  <c r="H2316" i="18"/>
  <c r="H2315" i="18"/>
  <c r="H2314" i="18"/>
  <c r="H2313" i="18"/>
  <c r="H2312" i="18"/>
  <c r="H2311" i="18"/>
  <c r="H2310" i="18"/>
  <c r="H2309" i="18"/>
  <c r="H2308" i="18"/>
  <c r="H2307" i="18"/>
  <c r="H2306" i="18"/>
  <c r="H2305" i="18"/>
  <c r="H2304" i="18"/>
  <c r="H2303" i="18"/>
  <c r="H2302" i="18"/>
  <c r="H2301" i="18"/>
  <c r="H2300" i="18"/>
  <c r="H2299" i="18"/>
  <c r="H2298" i="18"/>
  <c r="H2297" i="18"/>
  <c r="H2296" i="18"/>
  <c r="B2296" i="18" a="1"/>
  <c r="H2295" i="18"/>
  <c r="H2294" i="18"/>
  <c r="H2293" i="18"/>
  <c r="H2292" i="18"/>
  <c r="H2291" i="18"/>
  <c r="H2290" i="18"/>
  <c r="H2289" i="18"/>
  <c r="H2288" i="18"/>
  <c r="H2287" i="18"/>
  <c r="H2286" i="18"/>
  <c r="H2285" i="18"/>
  <c r="H2284" i="18"/>
  <c r="H2283" i="18"/>
  <c r="H2282" i="18"/>
  <c r="H2281" i="18"/>
  <c r="H2280" i="18"/>
  <c r="H2279" i="18"/>
  <c r="H2278" i="18"/>
  <c r="H2277" i="18"/>
  <c r="H2276" i="18"/>
  <c r="H2275" i="18"/>
  <c r="H2274" i="18"/>
  <c r="H2273" i="18"/>
  <c r="H2272" i="18"/>
  <c r="H2271" i="18"/>
  <c r="H2270" i="18"/>
  <c r="H2269" i="18"/>
  <c r="H2268" i="18"/>
  <c r="H2267" i="18"/>
  <c r="H2266" i="18"/>
  <c r="H2265" i="18"/>
  <c r="H2264" i="18"/>
  <c r="H2263" i="18"/>
  <c r="H2262" i="18"/>
  <c r="H2261" i="18"/>
  <c r="H2260" i="18"/>
  <c r="H2259" i="18"/>
  <c r="H2258" i="18"/>
  <c r="H2257" i="18"/>
  <c r="H2256" i="18"/>
  <c r="H2255" i="18"/>
  <c r="H2254" i="18"/>
  <c r="H2253" i="18"/>
  <c r="H2252" i="18"/>
  <c r="H2251" i="18"/>
  <c r="H2250" i="18"/>
  <c r="H2249" i="18"/>
  <c r="H2248" i="18"/>
  <c r="H2247" i="18"/>
  <c r="H2246" i="18"/>
  <c r="H2245" i="18"/>
  <c r="H2244" i="18"/>
  <c r="H2243" i="18"/>
  <c r="H2242" i="18"/>
  <c r="H2241" i="18"/>
  <c r="H2240" i="18"/>
  <c r="H2239" i="18"/>
  <c r="H2238" i="18"/>
  <c r="H2237" i="18"/>
  <c r="H2236" i="18"/>
  <c r="H2235" i="18"/>
  <c r="H2234" i="18"/>
  <c r="H2233" i="18"/>
  <c r="H2232" i="18"/>
  <c r="H2231" i="18"/>
  <c r="H2230" i="18"/>
  <c r="H2229" i="18"/>
  <c r="H2228" i="18"/>
  <c r="H2227" i="18"/>
  <c r="H2226" i="18"/>
  <c r="H2225" i="18"/>
  <c r="H2224" i="18"/>
  <c r="H2223" i="18"/>
  <c r="H2222" i="18"/>
  <c r="H2221" i="18"/>
  <c r="H2220" i="18"/>
  <c r="H2219" i="18"/>
  <c r="H2218" i="18"/>
  <c r="H2217" i="18"/>
  <c r="H2216" i="18"/>
  <c r="H2215" i="18"/>
  <c r="H2214" i="18"/>
  <c r="H2213" i="18"/>
  <c r="H2212" i="18"/>
  <c r="H2211" i="18"/>
  <c r="H2210" i="18"/>
  <c r="H2209" i="18"/>
  <c r="H2208" i="18"/>
  <c r="H2207" i="18"/>
  <c r="H2206" i="18"/>
  <c r="H2205" i="18"/>
  <c r="H2204" i="18"/>
  <c r="H2203" i="18"/>
  <c r="H2202" i="18"/>
  <c r="H2201" i="18"/>
  <c r="H2200" i="18"/>
  <c r="H2199" i="18"/>
  <c r="H2198" i="18"/>
  <c r="H2197" i="18"/>
  <c r="H2196" i="18"/>
  <c r="H2195" i="18"/>
  <c r="H2194" i="18"/>
  <c r="H2193" i="18"/>
  <c r="H2192" i="18"/>
  <c r="H2191" i="18"/>
  <c r="H2190" i="18"/>
  <c r="H2189" i="18"/>
  <c r="H2188" i="18"/>
  <c r="H2187" i="18"/>
  <c r="H2186" i="18"/>
  <c r="H2185" i="18"/>
  <c r="H2184" i="18"/>
  <c r="H2183" i="18"/>
  <c r="H2182" i="18"/>
  <c r="H2181" i="18"/>
  <c r="H2180" i="18"/>
  <c r="H2179" i="18"/>
  <c r="H2178" i="18"/>
  <c r="H2177" i="18"/>
  <c r="H2176" i="18"/>
  <c r="H2175" i="18"/>
  <c r="H2174" i="18"/>
  <c r="H2173" i="18"/>
  <c r="H2172" i="18"/>
  <c r="H2171" i="18"/>
  <c r="H2170" i="18"/>
  <c r="H2169" i="18"/>
  <c r="H2168" i="18"/>
  <c r="H2167" i="18"/>
  <c r="H2166" i="18"/>
  <c r="H2165" i="18"/>
  <c r="H2164" i="18"/>
  <c r="H2163" i="18"/>
  <c r="H2162" i="18"/>
  <c r="H2161" i="18"/>
  <c r="H2160" i="18"/>
  <c r="H2159" i="18"/>
  <c r="H2158" i="18"/>
  <c r="H2157" i="18"/>
  <c r="H2156" i="18"/>
  <c r="H2155" i="18"/>
  <c r="H2154" i="18"/>
  <c r="H2153" i="18"/>
  <c r="H2152" i="18"/>
  <c r="H2151" i="18"/>
  <c r="H2150" i="18"/>
  <c r="H2149" i="18"/>
  <c r="H2148" i="18"/>
  <c r="H2147" i="18"/>
  <c r="H2146" i="18"/>
  <c r="H2145" i="18"/>
  <c r="H2144" i="18"/>
  <c r="H2143" i="18"/>
  <c r="H2142" i="18"/>
  <c r="H2141" i="18"/>
  <c r="H2140" i="18"/>
  <c r="H2139" i="18"/>
  <c r="H2138" i="18"/>
  <c r="H2137" i="18"/>
  <c r="H2136" i="18"/>
  <c r="H2135" i="18"/>
  <c r="H2134" i="18"/>
  <c r="H2133" i="18"/>
  <c r="H2132" i="18"/>
  <c r="H2131" i="18"/>
  <c r="H2130" i="18"/>
  <c r="H2129" i="18"/>
  <c r="H2128" i="18"/>
  <c r="H2127" i="18"/>
  <c r="H2126" i="18"/>
  <c r="H2125" i="18"/>
  <c r="H2124" i="18"/>
  <c r="H2123" i="18"/>
  <c r="H2122" i="18"/>
  <c r="H2121" i="18"/>
  <c r="H2120" i="18"/>
  <c r="H2119" i="18"/>
  <c r="H2118" i="18"/>
  <c r="H2117" i="18"/>
  <c r="H2116" i="18"/>
  <c r="H2115" i="18"/>
  <c r="H2114" i="18"/>
  <c r="H2113" i="18"/>
  <c r="H2112" i="18"/>
  <c r="H2111" i="18"/>
  <c r="H2110" i="18"/>
  <c r="H2109" i="18"/>
  <c r="H2108" i="18"/>
  <c r="H2107" i="18"/>
  <c r="H2106" i="18"/>
  <c r="H2105" i="18"/>
  <c r="H2104" i="18"/>
  <c r="H2103" i="18"/>
  <c r="H2102" i="18"/>
  <c r="H2101" i="18"/>
  <c r="H2100" i="18"/>
  <c r="H2099" i="18"/>
  <c r="H2098" i="18"/>
  <c r="H2097" i="18"/>
  <c r="H2096" i="18"/>
  <c r="H2095" i="18"/>
  <c r="H2094" i="18"/>
  <c r="H2093" i="18"/>
  <c r="H2092" i="18"/>
  <c r="H2091" i="18"/>
  <c r="H2090" i="18"/>
  <c r="H2089" i="18"/>
  <c r="H2088" i="18"/>
  <c r="H2087" i="18"/>
  <c r="H2086" i="18"/>
  <c r="H2085" i="18"/>
  <c r="H2084" i="18"/>
  <c r="H2083" i="18"/>
  <c r="H2082" i="18"/>
  <c r="H2081" i="18"/>
  <c r="H2080" i="18"/>
  <c r="H2079" i="18"/>
  <c r="H2078" i="18"/>
  <c r="H2077" i="18"/>
  <c r="H2076" i="18"/>
  <c r="H2075" i="18"/>
  <c r="H2074" i="18"/>
  <c r="H2073" i="18"/>
  <c r="H2072" i="18"/>
  <c r="H2071" i="18"/>
  <c r="H2070" i="18"/>
  <c r="H2069" i="18"/>
  <c r="H2068" i="18"/>
  <c r="H2067" i="18"/>
  <c r="H2066" i="18"/>
  <c r="H2065" i="18"/>
  <c r="H2064" i="18"/>
  <c r="H2063" i="18"/>
  <c r="H2062" i="18"/>
  <c r="H2061" i="18"/>
  <c r="H2060" i="18"/>
  <c r="H2059" i="18"/>
  <c r="H2058" i="18"/>
  <c r="H2057" i="18"/>
  <c r="H2056" i="18"/>
  <c r="H2055" i="18"/>
  <c r="H2054" i="18"/>
  <c r="H2053" i="18"/>
  <c r="H2052" i="18"/>
  <c r="H2051" i="18"/>
  <c r="H2050" i="18"/>
  <c r="H2049" i="18"/>
  <c r="H2048" i="18"/>
  <c r="H2047" i="18"/>
  <c r="H2046" i="18"/>
  <c r="H2045" i="18"/>
  <c r="H2044" i="18"/>
  <c r="H2043" i="18"/>
  <c r="H2042" i="18"/>
  <c r="H2041" i="18"/>
  <c r="H2040" i="18"/>
  <c r="H2039" i="18"/>
  <c r="H2038" i="18"/>
  <c r="H2037" i="18"/>
  <c r="H2036" i="18"/>
  <c r="H2035" i="18"/>
  <c r="H2034" i="18"/>
  <c r="H2033" i="18"/>
  <c r="H2032" i="18"/>
  <c r="H2031" i="18"/>
  <c r="H2030" i="18"/>
  <c r="H2029" i="18"/>
  <c r="H2028" i="18"/>
  <c r="H2027" i="18"/>
  <c r="H2026" i="18"/>
  <c r="H2025" i="18"/>
  <c r="H2024" i="18"/>
  <c r="H2023" i="18"/>
  <c r="H2022" i="18"/>
  <c r="H2021" i="18"/>
  <c r="H2020" i="18"/>
  <c r="H2019" i="18"/>
  <c r="H2018" i="18"/>
  <c r="H2017" i="18"/>
  <c r="H2016" i="18"/>
  <c r="H2015" i="18"/>
  <c r="H2014" i="18"/>
  <c r="H2013" i="18"/>
  <c r="H2012" i="18"/>
  <c r="H2011" i="18"/>
  <c r="H2010" i="18"/>
  <c r="H2009" i="18"/>
  <c r="H2008" i="18"/>
  <c r="H2007" i="18"/>
  <c r="H2006" i="18"/>
  <c r="H2005" i="18"/>
  <c r="H2004" i="18"/>
  <c r="H2003" i="18"/>
  <c r="H2002" i="18"/>
  <c r="H2001" i="18"/>
  <c r="H2000" i="18"/>
  <c r="H1999" i="18"/>
  <c r="H1998" i="18"/>
  <c r="H1997" i="18"/>
  <c r="H1996" i="18"/>
  <c r="H1995" i="18"/>
  <c r="H1994" i="18"/>
  <c r="H1993" i="18"/>
  <c r="H1992" i="18"/>
  <c r="H1991" i="18"/>
  <c r="H1990" i="18"/>
  <c r="H1989" i="18"/>
  <c r="H1988" i="18"/>
  <c r="H1987" i="18"/>
  <c r="H1986" i="18"/>
  <c r="H1985" i="18"/>
  <c r="H1984" i="18"/>
  <c r="H1983" i="18"/>
  <c r="H1982" i="18"/>
  <c r="H1981" i="18"/>
  <c r="H1980" i="18"/>
  <c r="H1979" i="18"/>
  <c r="H1978" i="18"/>
  <c r="H1977" i="18"/>
  <c r="H1976" i="18"/>
  <c r="H1975" i="18"/>
  <c r="H1974" i="18"/>
  <c r="H1973" i="18"/>
  <c r="H1972" i="18"/>
  <c r="H1971" i="18"/>
  <c r="H1970" i="18"/>
  <c r="H1969" i="18"/>
  <c r="H1968" i="18"/>
  <c r="H1967" i="18"/>
  <c r="H1966" i="18"/>
  <c r="H1965" i="18"/>
  <c r="H1964" i="18"/>
  <c r="H1963" i="18"/>
  <c r="H1962" i="18"/>
  <c r="H1961" i="18"/>
  <c r="H1960" i="18"/>
  <c r="H1959" i="18"/>
  <c r="H1958" i="18"/>
  <c r="H1957" i="18"/>
  <c r="H1956" i="18"/>
  <c r="H1955" i="18"/>
  <c r="H1954" i="18"/>
  <c r="H1953" i="18"/>
  <c r="H1952" i="18"/>
  <c r="H1951" i="18"/>
  <c r="H1950" i="18"/>
  <c r="H1949" i="18"/>
  <c r="H1948" i="18"/>
  <c r="H1947" i="18"/>
  <c r="H1946" i="18"/>
  <c r="H1945" i="18"/>
  <c r="H1944" i="18"/>
  <c r="H1943" i="18"/>
  <c r="H1942" i="18"/>
  <c r="H1941" i="18"/>
  <c r="H1940" i="18"/>
  <c r="H1939" i="18"/>
  <c r="H1938" i="18"/>
  <c r="H1937" i="18"/>
  <c r="H1936" i="18"/>
  <c r="H1935" i="18"/>
  <c r="H1934" i="18"/>
  <c r="H1933" i="18"/>
  <c r="H1932" i="18"/>
  <c r="H1931" i="18"/>
  <c r="H1930" i="18"/>
  <c r="H1929" i="18"/>
  <c r="H1928" i="18"/>
  <c r="H1927" i="18"/>
  <c r="H1926" i="18"/>
  <c r="H1925" i="18"/>
  <c r="H1924" i="18"/>
  <c r="H1923" i="18"/>
  <c r="H1922" i="18"/>
  <c r="H1921" i="18"/>
  <c r="H1920" i="18"/>
  <c r="H1919" i="18"/>
  <c r="H1918" i="18"/>
  <c r="H1917" i="18"/>
  <c r="H1916" i="18"/>
  <c r="H1915" i="18"/>
  <c r="H1914" i="18"/>
  <c r="H1913" i="18"/>
  <c r="H1912" i="18"/>
  <c r="H1911" i="18"/>
  <c r="H1910" i="18"/>
  <c r="H1909" i="18"/>
  <c r="H1908" i="18"/>
  <c r="H1907" i="18"/>
  <c r="H1906" i="18"/>
  <c r="H1905" i="18"/>
  <c r="H1904" i="18"/>
  <c r="H1903" i="18"/>
  <c r="H1902" i="18"/>
  <c r="H1901" i="18"/>
  <c r="H1900" i="18"/>
  <c r="H1899" i="18"/>
  <c r="H1898" i="18"/>
  <c r="H1897" i="18"/>
  <c r="H1896" i="18"/>
  <c r="H1895" i="18"/>
  <c r="H1894" i="18"/>
  <c r="H1893" i="18"/>
  <c r="H1892" i="18"/>
  <c r="H1891" i="18"/>
  <c r="H1890" i="18"/>
  <c r="H1889" i="18"/>
  <c r="H1888" i="18"/>
  <c r="H1887" i="18"/>
  <c r="H1886" i="18"/>
  <c r="H1885" i="18"/>
  <c r="H1884" i="18"/>
  <c r="H1883" i="18"/>
  <c r="H1882" i="18"/>
  <c r="H1881" i="18"/>
  <c r="H1880" i="18"/>
  <c r="H1879" i="18"/>
  <c r="H1878" i="18"/>
  <c r="H1877" i="18"/>
  <c r="H1876" i="18"/>
  <c r="H1875" i="18"/>
  <c r="H1874" i="18"/>
  <c r="H1873" i="18"/>
  <c r="H1872" i="18"/>
  <c r="H1871" i="18"/>
  <c r="H1870" i="18"/>
  <c r="H1869" i="18"/>
  <c r="H1868" i="18"/>
  <c r="H1867" i="18"/>
  <c r="H1866" i="18"/>
  <c r="H1865" i="18"/>
  <c r="H1864" i="18"/>
  <c r="H1863" i="18"/>
  <c r="H1862" i="18"/>
  <c r="H1861" i="18"/>
  <c r="H1860" i="18"/>
  <c r="H1859" i="18"/>
  <c r="H1858" i="18"/>
  <c r="H1857" i="18"/>
  <c r="H1856" i="18"/>
  <c r="H1855" i="18"/>
  <c r="H1854" i="18"/>
  <c r="H1853" i="18"/>
  <c r="H1852" i="18"/>
  <c r="H1851" i="18"/>
  <c r="H1850" i="18"/>
  <c r="H1849" i="18"/>
  <c r="H1848" i="18"/>
  <c r="H1847" i="18"/>
  <c r="H1846" i="18"/>
  <c r="H1845" i="18"/>
  <c r="H1844" i="18"/>
  <c r="H1843" i="18"/>
  <c r="H1842" i="18"/>
  <c r="H1841" i="18"/>
  <c r="H1840" i="18"/>
  <c r="H1839" i="18"/>
  <c r="H1838" i="18"/>
  <c r="H1837" i="18"/>
  <c r="H1836" i="18"/>
  <c r="H1835" i="18"/>
  <c r="H1834" i="18"/>
  <c r="H1833" i="18"/>
  <c r="H1832" i="18"/>
  <c r="H1831" i="18"/>
  <c r="H1830" i="18"/>
  <c r="H1829" i="18"/>
  <c r="H1828" i="18"/>
  <c r="H1827" i="18"/>
  <c r="H1826" i="18"/>
  <c r="H1825" i="18"/>
  <c r="H1824" i="18"/>
  <c r="H1823" i="18"/>
  <c r="H1822" i="18"/>
  <c r="H1821" i="18"/>
  <c r="H1820" i="18"/>
  <c r="H1819" i="18"/>
  <c r="H1818" i="18"/>
  <c r="H1817" i="18"/>
  <c r="H1816" i="18"/>
  <c r="H1815" i="18"/>
  <c r="H1814" i="18"/>
  <c r="H1813" i="18"/>
  <c r="H1812" i="18"/>
  <c r="H1811" i="18"/>
  <c r="H1810" i="18"/>
  <c r="H1809" i="18"/>
  <c r="H1808" i="18"/>
  <c r="H1807" i="18"/>
  <c r="H1806" i="18"/>
  <c r="H1805" i="18"/>
  <c r="H1804" i="18"/>
  <c r="H1803" i="18"/>
  <c r="H1802" i="18"/>
  <c r="H1801" i="18"/>
  <c r="H1800" i="18"/>
  <c r="H1799" i="18"/>
  <c r="H1798" i="18"/>
  <c r="H1797" i="18"/>
  <c r="H1796" i="18"/>
  <c r="H1795" i="18"/>
  <c r="H1794" i="18"/>
  <c r="H1793" i="18"/>
  <c r="H1792" i="18"/>
  <c r="H1791" i="18"/>
  <c r="H1790" i="18"/>
  <c r="H1789" i="18"/>
  <c r="H1788" i="18"/>
  <c r="H1787" i="18"/>
  <c r="H1786" i="18"/>
  <c r="H1785" i="18"/>
  <c r="H1784" i="18"/>
  <c r="H1783" i="18"/>
  <c r="H1782" i="18"/>
  <c r="H1781" i="18"/>
  <c r="H1780" i="18"/>
  <c r="H1779" i="18"/>
  <c r="H1778" i="18"/>
  <c r="H1777" i="18"/>
  <c r="H1776" i="18"/>
  <c r="H1775" i="18"/>
  <c r="H1774" i="18"/>
  <c r="H1773" i="18"/>
  <c r="H1772" i="18"/>
  <c r="H1771" i="18"/>
  <c r="H1770" i="18"/>
  <c r="H1769" i="18"/>
  <c r="H1768" i="18"/>
  <c r="H1767" i="18"/>
  <c r="H1766" i="18"/>
  <c r="H1765" i="18"/>
  <c r="H1764" i="18"/>
  <c r="H1763" i="18"/>
  <c r="H1762" i="18"/>
  <c r="H1761" i="18"/>
  <c r="H1760" i="18"/>
  <c r="H1759" i="18"/>
  <c r="H1758" i="18"/>
  <c r="H1757" i="18"/>
  <c r="H1756" i="18"/>
  <c r="H1755" i="18"/>
  <c r="H1754" i="18"/>
  <c r="H1753" i="18"/>
  <c r="H1752" i="18"/>
  <c r="H1751" i="18"/>
  <c r="H1750" i="18"/>
  <c r="H1749" i="18"/>
  <c r="H1748" i="18"/>
  <c r="H1747" i="18"/>
  <c r="H1746" i="18"/>
  <c r="H1745" i="18"/>
  <c r="H1744" i="18"/>
  <c r="H1743" i="18"/>
  <c r="H1742" i="18"/>
  <c r="H1741" i="18"/>
  <c r="H1740" i="18"/>
  <c r="H1739" i="18"/>
  <c r="H1738" i="18"/>
  <c r="H1737" i="18"/>
  <c r="H1736" i="18"/>
  <c r="H1735" i="18"/>
  <c r="H1734" i="18"/>
  <c r="H1733" i="18"/>
  <c r="H1732" i="18"/>
  <c r="H1731" i="18"/>
  <c r="H1730" i="18"/>
  <c r="H1729" i="18"/>
  <c r="H1728" i="18"/>
  <c r="H1727" i="18"/>
  <c r="H1726" i="18"/>
  <c r="H1725" i="18"/>
  <c r="H1724" i="18"/>
  <c r="H1723" i="18"/>
  <c r="H1722" i="18"/>
  <c r="H1721" i="18"/>
  <c r="H1720" i="18"/>
  <c r="H1719" i="18"/>
  <c r="H1718" i="18"/>
  <c r="H1717" i="18"/>
  <c r="H1716" i="18"/>
  <c r="H1715" i="18"/>
  <c r="H1714" i="18"/>
  <c r="H1713" i="18"/>
  <c r="H1712" i="18"/>
  <c r="H1711" i="18"/>
  <c r="H1710" i="18"/>
  <c r="H1709" i="18"/>
  <c r="H1708" i="18"/>
  <c r="H1707" i="18"/>
  <c r="H1706" i="18"/>
  <c r="H1705" i="18"/>
  <c r="H1704" i="18"/>
  <c r="H1703" i="18"/>
  <c r="H1702" i="18"/>
  <c r="H1701" i="18"/>
  <c r="H1700" i="18"/>
  <c r="H1699" i="18"/>
  <c r="H1698" i="18"/>
  <c r="H1697" i="18"/>
  <c r="H1696" i="18"/>
  <c r="H1695" i="18"/>
  <c r="H1694" i="18"/>
  <c r="H1693" i="18"/>
  <c r="H1692" i="18"/>
  <c r="H1691" i="18"/>
  <c r="H1690" i="18"/>
  <c r="H1689" i="18"/>
  <c r="H1688" i="18"/>
  <c r="H1687" i="18"/>
  <c r="H1686" i="18"/>
  <c r="H1685" i="18"/>
  <c r="H1684" i="18"/>
  <c r="H1683" i="18"/>
  <c r="H1682" i="18"/>
  <c r="H1681" i="18"/>
  <c r="H1680" i="18"/>
  <c r="H1679" i="18"/>
  <c r="H1678" i="18"/>
  <c r="H1677" i="18"/>
  <c r="H1676" i="18"/>
  <c r="H1675" i="18"/>
  <c r="H1674" i="18"/>
  <c r="H1673" i="18"/>
  <c r="H1672" i="18"/>
  <c r="H1671" i="18"/>
  <c r="H1670" i="18"/>
  <c r="H1669" i="18"/>
  <c r="H1668" i="18"/>
  <c r="H1667" i="18"/>
  <c r="H1666" i="18"/>
  <c r="H1665" i="18"/>
  <c r="H1664" i="18"/>
  <c r="H1663" i="18"/>
  <c r="H1662" i="18"/>
  <c r="H1661" i="18"/>
  <c r="H1660" i="18"/>
  <c r="H1659" i="18"/>
  <c r="H1658" i="18"/>
  <c r="H1657" i="18"/>
  <c r="H1656" i="18"/>
  <c r="H1655" i="18"/>
  <c r="H1654" i="18"/>
  <c r="H1653" i="18"/>
  <c r="H1652" i="18"/>
  <c r="H1651" i="18"/>
  <c r="H1650" i="18"/>
  <c r="H1649" i="18"/>
  <c r="H1648" i="18"/>
  <c r="H1647" i="18"/>
  <c r="H1646" i="18"/>
  <c r="H1645" i="18"/>
  <c r="H1644" i="18"/>
  <c r="H1643" i="18"/>
  <c r="H1642" i="18"/>
  <c r="H1641" i="18"/>
  <c r="H1640" i="18"/>
  <c r="H1639" i="18"/>
  <c r="H1638" i="18"/>
  <c r="H1637" i="18"/>
  <c r="H1636" i="18"/>
  <c r="H1635" i="18"/>
  <c r="H1634" i="18"/>
  <c r="H1633" i="18"/>
  <c r="H1632" i="18"/>
  <c r="H1631" i="18"/>
  <c r="H1630" i="18"/>
  <c r="H1629" i="18"/>
  <c r="H1628" i="18"/>
  <c r="H1627" i="18"/>
  <c r="H1626" i="18"/>
  <c r="H1625" i="18"/>
  <c r="H1624" i="18"/>
  <c r="H1623" i="18"/>
  <c r="H1622" i="18"/>
  <c r="H1621" i="18"/>
  <c r="H1620" i="18"/>
  <c r="H1619" i="18"/>
  <c r="H1618" i="18"/>
  <c r="H1617" i="18"/>
  <c r="H1616" i="18"/>
  <c r="H1615" i="18"/>
  <c r="H1614" i="18"/>
  <c r="H1613" i="18"/>
  <c r="H1612" i="18"/>
  <c r="H1611" i="18"/>
  <c r="H1610" i="18"/>
  <c r="H1609" i="18"/>
  <c r="H1608" i="18"/>
  <c r="H1607" i="18"/>
  <c r="H1606" i="18"/>
  <c r="H1605" i="18"/>
  <c r="H1604" i="18"/>
  <c r="H1603" i="18"/>
  <c r="H1602" i="18"/>
  <c r="H1601" i="18"/>
  <c r="H1600" i="18"/>
  <c r="H1599" i="18"/>
  <c r="H1598" i="18"/>
  <c r="H1597" i="18"/>
  <c r="H1596" i="18"/>
  <c r="H1595" i="18"/>
  <c r="H1594" i="18"/>
  <c r="H1593" i="18"/>
  <c r="H1592" i="18"/>
  <c r="H1591" i="18"/>
  <c r="H1590" i="18"/>
  <c r="H1589" i="18"/>
  <c r="H1588" i="18"/>
  <c r="H1587" i="18"/>
  <c r="H1586" i="18"/>
  <c r="H1585" i="18"/>
  <c r="H1584" i="18"/>
  <c r="H1583" i="18"/>
  <c r="H1582" i="18"/>
  <c r="H1581" i="18"/>
  <c r="H1580" i="18"/>
  <c r="H1579" i="18"/>
  <c r="H1578" i="18"/>
  <c r="H1577" i="18"/>
  <c r="H1576" i="18"/>
  <c r="H1575" i="18"/>
  <c r="H1574" i="18"/>
  <c r="H1573" i="18"/>
  <c r="H1572" i="18"/>
  <c r="H1571" i="18"/>
  <c r="H1570" i="18"/>
  <c r="H1569" i="18"/>
  <c r="H1568" i="18"/>
  <c r="H1567" i="18"/>
  <c r="H1566" i="18"/>
  <c r="H1565" i="18"/>
  <c r="H1564" i="18"/>
  <c r="H1563" i="18"/>
  <c r="H1562" i="18"/>
  <c r="H1561" i="18"/>
  <c r="H1560" i="18"/>
  <c r="H1559" i="18"/>
  <c r="H1558" i="18"/>
  <c r="H1557" i="18"/>
  <c r="H1556" i="18"/>
  <c r="H1555" i="18"/>
  <c r="H1554" i="18"/>
  <c r="H1553" i="18"/>
  <c r="H1552" i="18"/>
  <c r="H1551" i="18"/>
  <c r="H1550" i="18"/>
  <c r="H1549" i="18"/>
  <c r="H1548" i="18"/>
  <c r="H1547" i="18"/>
  <c r="H1546" i="18"/>
  <c r="H1545" i="18"/>
  <c r="H1544" i="18"/>
  <c r="H1543" i="18"/>
  <c r="H1542" i="18"/>
  <c r="H1541" i="18"/>
  <c r="H1540" i="18"/>
  <c r="H1539" i="18"/>
  <c r="H1538" i="18"/>
  <c r="H1537" i="18"/>
  <c r="H1536" i="18"/>
  <c r="H1535" i="18"/>
  <c r="H1534" i="18"/>
  <c r="H1533" i="18"/>
  <c r="H1532" i="18"/>
  <c r="H1531" i="18"/>
  <c r="H1530" i="18"/>
  <c r="H1529" i="18"/>
  <c r="H1528" i="18"/>
  <c r="H1527" i="18"/>
  <c r="H1526" i="18"/>
  <c r="H1525" i="18"/>
  <c r="H1524" i="18"/>
  <c r="H1523" i="18"/>
  <c r="H1522" i="18"/>
  <c r="H1521" i="18"/>
  <c r="H1520" i="18"/>
  <c r="H1519" i="18"/>
  <c r="H1518" i="18"/>
  <c r="H1517" i="18"/>
  <c r="H1516" i="18"/>
  <c r="H1515" i="18"/>
  <c r="H1514" i="18"/>
  <c r="H1513" i="18"/>
  <c r="H1512" i="18"/>
  <c r="H1511" i="18"/>
  <c r="H1510" i="18"/>
  <c r="H1509" i="18"/>
  <c r="H1508" i="18"/>
  <c r="H1507" i="18"/>
  <c r="H1506" i="18"/>
  <c r="H1505" i="18"/>
  <c r="H1504" i="18"/>
  <c r="H1503" i="18"/>
  <c r="H1502" i="18"/>
  <c r="H1501" i="18"/>
  <c r="H1500" i="18"/>
  <c r="H1499" i="18"/>
  <c r="H1498" i="18"/>
  <c r="H1497" i="18"/>
  <c r="H1496" i="18"/>
  <c r="H1495" i="18"/>
  <c r="H1494" i="18"/>
  <c r="H1493" i="18"/>
  <c r="H1492" i="18"/>
  <c r="H1491" i="18"/>
  <c r="H1490" i="18"/>
  <c r="H1489" i="18"/>
  <c r="H1488" i="18"/>
  <c r="H1487" i="18"/>
  <c r="H1486" i="18"/>
  <c r="H1485" i="18"/>
  <c r="H1484" i="18"/>
  <c r="H1483" i="18"/>
  <c r="H1482" i="18"/>
  <c r="H1481" i="18"/>
  <c r="H1480" i="18"/>
  <c r="H1479" i="18"/>
  <c r="H1478" i="18"/>
  <c r="H1477" i="18"/>
  <c r="H1476" i="18"/>
  <c r="H1475" i="18"/>
  <c r="H1474" i="18"/>
  <c r="H1473" i="18"/>
  <c r="H1472" i="18"/>
  <c r="H1471" i="18"/>
  <c r="H1470" i="18"/>
  <c r="H1469" i="18"/>
  <c r="H1468" i="18"/>
  <c r="H1467" i="18"/>
  <c r="H1466" i="18"/>
  <c r="H1465" i="18"/>
  <c r="H1464" i="18"/>
  <c r="H1463" i="18"/>
  <c r="H1462" i="18"/>
  <c r="H1461" i="18"/>
  <c r="H1460" i="18"/>
  <c r="H1459" i="18"/>
  <c r="H1458" i="18"/>
  <c r="H1457" i="18"/>
  <c r="H1456" i="18"/>
  <c r="H1455" i="18"/>
  <c r="H1454" i="18"/>
  <c r="H1453" i="18"/>
  <c r="H1452" i="18"/>
  <c r="H1451" i="18"/>
  <c r="H1450" i="18"/>
  <c r="H1449" i="18"/>
  <c r="H1448" i="18"/>
  <c r="H1447" i="18"/>
  <c r="H1446" i="18"/>
  <c r="H1445" i="18"/>
  <c r="H1444" i="18"/>
  <c r="H1443" i="18"/>
  <c r="H1442" i="18"/>
  <c r="H1441" i="18"/>
  <c r="H1440" i="18"/>
  <c r="H1439" i="18"/>
  <c r="H1438" i="18"/>
  <c r="H1437" i="18"/>
  <c r="H1436" i="18"/>
  <c r="H1435" i="18"/>
  <c r="H1434" i="18"/>
  <c r="H1433" i="18"/>
  <c r="H1432" i="18"/>
  <c r="H1431" i="18"/>
  <c r="H1430" i="18"/>
  <c r="H1429" i="18"/>
  <c r="H1428" i="18"/>
  <c r="H1427" i="18"/>
  <c r="H1426" i="18"/>
  <c r="H1425" i="18"/>
  <c r="H1424" i="18"/>
  <c r="H1423" i="18"/>
  <c r="H1422" i="18"/>
  <c r="H1421" i="18"/>
  <c r="H1420" i="18"/>
  <c r="H1419" i="18"/>
  <c r="H1418" i="18"/>
  <c r="H1417" i="18"/>
  <c r="H1416" i="18"/>
  <c r="H1415" i="18"/>
  <c r="H1414" i="18"/>
  <c r="H1413" i="18"/>
  <c r="H1412" i="18"/>
  <c r="H1411" i="18"/>
  <c r="H1410" i="18"/>
  <c r="H1409" i="18"/>
  <c r="H1408" i="18"/>
  <c r="H1407" i="18"/>
  <c r="H1406" i="18"/>
  <c r="H1405" i="18"/>
  <c r="H1404" i="18"/>
  <c r="H1403" i="18"/>
  <c r="H1402" i="18"/>
  <c r="H1401" i="18"/>
  <c r="H1400" i="18"/>
  <c r="H1399" i="18"/>
  <c r="H1398" i="18"/>
  <c r="H1397" i="18"/>
  <c r="H1396" i="18"/>
  <c r="H1395" i="18"/>
  <c r="H1394" i="18"/>
  <c r="H1393" i="18"/>
  <c r="H1392" i="18"/>
  <c r="H1391" i="18"/>
  <c r="H1390" i="18"/>
  <c r="H1389" i="18"/>
  <c r="H1388" i="18"/>
  <c r="H1387" i="18"/>
  <c r="H1386" i="18"/>
  <c r="H1385" i="18"/>
  <c r="H1384" i="18"/>
  <c r="H1383" i="18"/>
  <c r="H1382" i="18"/>
  <c r="H1381" i="18"/>
  <c r="H1380" i="18"/>
  <c r="H1379" i="18"/>
  <c r="H1378" i="18"/>
  <c r="H1377" i="18"/>
  <c r="H1376" i="18"/>
  <c r="H1375" i="18"/>
  <c r="H1374" i="18"/>
  <c r="H1373" i="18"/>
  <c r="H1372" i="18"/>
  <c r="H1371" i="18"/>
  <c r="H1370" i="18"/>
  <c r="H1369" i="18"/>
  <c r="H1368" i="18"/>
  <c r="H1367" i="18"/>
  <c r="H1366" i="18"/>
  <c r="H1365" i="18"/>
  <c r="H1364" i="18"/>
  <c r="H1363" i="18"/>
  <c r="H1362" i="18"/>
  <c r="H1361" i="18"/>
  <c r="H1360" i="18"/>
  <c r="H1359" i="18"/>
  <c r="H1358" i="18"/>
  <c r="H1357" i="18"/>
  <c r="H1356" i="18"/>
  <c r="H1355" i="18"/>
  <c r="H1354" i="18"/>
  <c r="H1353" i="18"/>
  <c r="H1352" i="18"/>
  <c r="H1351" i="18"/>
  <c r="H1350" i="18"/>
  <c r="H1349" i="18"/>
  <c r="H1348" i="18"/>
  <c r="H1347" i="18"/>
  <c r="H1346" i="18"/>
  <c r="H1345" i="18"/>
  <c r="H1344" i="18"/>
  <c r="H1343" i="18"/>
  <c r="H1342" i="18"/>
  <c r="H1341" i="18"/>
  <c r="H1340" i="18"/>
  <c r="H1339" i="18"/>
  <c r="H1338" i="18"/>
  <c r="H1337" i="18"/>
  <c r="H1336" i="18"/>
  <c r="H1335" i="18"/>
  <c r="H1334" i="18"/>
  <c r="H1333" i="18"/>
  <c r="H1332" i="18"/>
  <c r="H1331" i="18"/>
  <c r="H1330" i="18"/>
  <c r="H1329" i="18"/>
  <c r="H1328" i="18"/>
  <c r="H1327" i="18"/>
  <c r="H1326" i="18"/>
  <c r="H1325" i="18"/>
  <c r="H1324" i="18"/>
  <c r="H1323" i="18"/>
  <c r="H1322" i="18"/>
  <c r="H1321" i="18"/>
  <c r="H1320" i="18"/>
  <c r="H1319" i="18"/>
  <c r="H1318" i="18"/>
  <c r="H1317" i="18"/>
  <c r="H1316" i="18"/>
  <c r="H1315" i="18"/>
  <c r="H1314" i="18"/>
  <c r="H1313" i="18"/>
  <c r="H1312" i="18"/>
  <c r="H1311" i="18"/>
  <c r="H1310" i="18"/>
  <c r="H1309" i="18"/>
  <c r="H1308" i="18"/>
  <c r="H1307" i="18"/>
  <c r="H1306" i="18"/>
  <c r="B1306" i="18" a="1"/>
  <c r="H1305" i="18"/>
  <c r="H1304" i="18"/>
  <c r="H1303" i="18"/>
  <c r="H1302" i="18"/>
  <c r="H1301" i="18"/>
  <c r="H1300" i="18"/>
  <c r="H1299" i="18"/>
  <c r="H1298" i="18"/>
  <c r="H1297" i="18"/>
  <c r="H1296" i="18"/>
  <c r="H1295" i="18"/>
  <c r="H1294" i="18"/>
  <c r="H1293" i="18"/>
  <c r="H1292" i="18"/>
  <c r="H1291" i="18"/>
  <c r="H1290" i="18"/>
  <c r="H1289" i="18"/>
  <c r="H1288" i="18"/>
  <c r="H1287" i="18"/>
  <c r="H1286" i="18"/>
  <c r="H1285" i="18"/>
  <c r="H1284" i="18"/>
  <c r="H1283" i="18"/>
  <c r="H1282" i="18"/>
  <c r="H1281" i="18"/>
  <c r="H1280" i="18"/>
  <c r="H1279" i="18"/>
  <c r="H1278" i="18"/>
  <c r="H1277" i="18"/>
  <c r="H1276" i="18"/>
  <c r="H1275" i="18"/>
  <c r="H1274" i="18"/>
  <c r="H1273" i="18"/>
  <c r="H1272" i="18"/>
  <c r="H1271" i="18"/>
  <c r="H1270" i="18"/>
  <c r="H1269" i="18"/>
  <c r="H1268" i="18"/>
  <c r="H1267" i="18"/>
  <c r="H1266" i="18"/>
  <c r="H1265" i="18"/>
  <c r="H1264" i="18"/>
  <c r="H1263" i="18"/>
  <c r="H1262" i="18"/>
  <c r="H1261" i="18"/>
  <c r="H1260" i="18"/>
  <c r="H1259" i="18"/>
  <c r="H1258" i="18"/>
  <c r="H1257" i="18"/>
  <c r="H1256" i="18"/>
  <c r="H1255" i="18"/>
  <c r="H1254" i="18"/>
  <c r="H1253" i="18"/>
  <c r="H1252" i="18"/>
  <c r="H1251" i="18"/>
  <c r="H1250" i="18"/>
  <c r="H1249" i="18"/>
  <c r="H1248" i="18"/>
  <c r="H1247" i="18"/>
  <c r="H1246" i="18"/>
  <c r="H1245" i="18"/>
  <c r="H1244" i="18"/>
  <c r="H1243" i="18"/>
  <c r="H1242" i="18"/>
  <c r="H1241" i="18"/>
  <c r="H1240" i="18"/>
  <c r="H1239" i="18"/>
  <c r="H1238" i="18"/>
  <c r="H1237" i="18"/>
  <c r="H1236" i="18"/>
  <c r="H1235" i="18"/>
  <c r="H1234" i="18"/>
  <c r="H1233" i="18"/>
  <c r="H1232" i="18"/>
  <c r="H1231" i="18"/>
  <c r="H1230" i="18"/>
  <c r="H1229" i="18"/>
  <c r="H1228" i="18"/>
  <c r="H1227" i="18"/>
  <c r="H1226" i="18"/>
  <c r="H1225" i="18"/>
  <c r="H1224" i="18"/>
  <c r="H1223" i="18"/>
  <c r="H1222" i="18"/>
  <c r="H1221" i="18"/>
  <c r="H1220" i="18"/>
  <c r="H1219" i="18"/>
  <c r="H1218" i="18"/>
  <c r="H1217" i="18"/>
  <c r="H1216" i="18"/>
  <c r="H1215" i="18"/>
  <c r="H1214" i="18"/>
  <c r="H1213" i="18"/>
  <c r="H1212" i="18"/>
  <c r="H1211" i="18"/>
  <c r="H1210" i="18"/>
  <c r="H1209" i="18"/>
  <c r="H1208" i="18"/>
  <c r="H1207" i="18"/>
  <c r="H1206" i="18"/>
  <c r="H1205" i="18"/>
  <c r="H1204" i="18"/>
  <c r="H1203" i="18"/>
  <c r="H1202" i="18"/>
  <c r="H1201" i="18"/>
  <c r="H1200" i="18"/>
  <c r="H1199" i="18"/>
  <c r="H1198" i="18"/>
  <c r="H1197" i="18"/>
  <c r="H1196" i="18"/>
  <c r="H1195" i="18"/>
  <c r="H1194" i="18"/>
  <c r="H1193" i="18"/>
  <c r="H1192" i="18"/>
  <c r="H1191" i="18"/>
  <c r="H1190" i="18"/>
  <c r="H1189" i="18"/>
  <c r="H1188" i="18"/>
  <c r="H1187" i="18"/>
  <c r="H1186" i="18"/>
  <c r="H1185" i="18"/>
  <c r="H1184" i="18"/>
  <c r="H1183" i="18"/>
  <c r="H1182" i="18"/>
  <c r="H1181" i="18"/>
  <c r="H1180" i="18"/>
  <c r="H1179" i="18"/>
  <c r="H1178" i="18"/>
  <c r="H1177" i="18"/>
  <c r="H1176" i="18"/>
  <c r="H1175" i="18"/>
  <c r="H1174" i="18"/>
  <c r="H1173" i="18"/>
  <c r="H1172" i="18"/>
  <c r="H1171" i="18"/>
  <c r="H1170" i="18"/>
  <c r="H1169" i="18"/>
  <c r="H1168" i="18"/>
  <c r="H1167" i="18"/>
  <c r="H1166" i="18"/>
  <c r="H1165" i="18"/>
  <c r="H1164" i="18"/>
  <c r="H1163" i="18"/>
  <c r="H1162" i="18"/>
  <c r="H1161" i="18"/>
  <c r="H1160" i="18"/>
  <c r="H1159" i="18"/>
  <c r="H1158" i="18"/>
  <c r="H1157" i="18"/>
  <c r="H1156" i="18"/>
  <c r="H1155" i="18"/>
  <c r="H1154" i="18"/>
  <c r="H1153" i="18"/>
  <c r="H1152" i="18"/>
  <c r="H1151" i="18"/>
  <c r="H1150" i="18"/>
  <c r="H1149" i="18"/>
  <c r="H1148" i="18"/>
  <c r="H1147" i="18"/>
  <c r="H1146" i="18"/>
  <c r="H1145" i="18"/>
  <c r="H1144" i="18"/>
  <c r="H1143" i="18"/>
  <c r="H1142" i="18"/>
  <c r="H1141" i="18"/>
  <c r="H1140" i="18"/>
  <c r="H1139" i="18"/>
  <c r="H1138" i="18"/>
  <c r="H1137" i="18"/>
  <c r="H1136" i="18"/>
  <c r="H1135" i="18"/>
  <c r="H1134" i="18"/>
  <c r="H1133" i="18"/>
  <c r="H1132" i="18"/>
  <c r="H1131" i="18"/>
  <c r="H1130" i="18"/>
  <c r="H1129" i="18"/>
  <c r="H1128" i="18"/>
  <c r="H1127" i="18"/>
  <c r="H1126" i="18"/>
  <c r="H1125" i="18"/>
  <c r="H1124" i="18"/>
  <c r="H1123" i="18"/>
  <c r="H1122" i="18"/>
  <c r="H1121" i="18"/>
  <c r="H1120" i="18"/>
  <c r="H1119" i="18"/>
  <c r="H1118" i="18"/>
  <c r="H1117" i="18"/>
  <c r="H1116" i="18"/>
  <c r="H1115" i="18"/>
  <c r="H1114" i="18"/>
  <c r="H1113" i="18"/>
  <c r="H1112" i="18"/>
  <c r="H1111" i="18"/>
  <c r="H1110" i="18"/>
  <c r="H1109" i="18"/>
  <c r="H1108" i="18"/>
  <c r="H1107" i="18"/>
  <c r="H1106" i="18"/>
  <c r="H1105" i="18"/>
  <c r="H1104" i="18"/>
  <c r="H1103" i="18"/>
  <c r="H1102" i="18"/>
  <c r="H1101" i="18"/>
  <c r="H1100" i="18"/>
  <c r="H1099" i="18"/>
  <c r="H1098" i="18"/>
  <c r="H1097" i="18"/>
  <c r="H1096" i="18"/>
  <c r="H1095" i="18"/>
  <c r="H1094" i="18"/>
  <c r="H1093" i="18"/>
  <c r="H1092" i="18"/>
  <c r="H1091" i="18"/>
  <c r="H1090" i="18"/>
  <c r="H1089" i="18"/>
  <c r="H1088" i="18"/>
  <c r="H1087" i="18"/>
  <c r="H1086" i="18"/>
  <c r="H1085" i="18"/>
  <c r="H1084" i="18"/>
  <c r="H1083" i="18"/>
  <c r="H1082" i="18"/>
  <c r="H1081" i="18"/>
  <c r="H1080" i="18"/>
  <c r="H1079" i="18"/>
  <c r="H1078" i="18"/>
  <c r="H1077" i="18"/>
  <c r="H1076" i="18"/>
  <c r="H1075" i="18"/>
  <c r="H1074" i="18"/>
  <c r="H1073" i="18"/>
  <c r="H1072" i="18"/>
  <c r="H1071" i="18"/>
  <c r="H1070" i="18"/>
  <c r="H1069" i="18"/>
  <c r="H1068" i="18"/>
  <c r="H1067" i="18"/>
  <c r="H1066" i="18"/>
  <c r="H1065" i="18"/>
  <c r="H1064" i="18"/>
  <c r="H1063" i="18"/>
  <c r="H1062" i="18"/>
  <c r="H1061" i="18"/>
  <c r="H1060" i="18"/>
  <c r="H1059" i="18"/>
  <c r="H1058" i="18"/>
  <c r="H1057" i="18"/>
  <c r="H1056" i="18"/>
  <c r="H1055" i="18"/>
  <c r="H1054" i="18"/>
  <c r="H1053" i="18"/>
  <c r="H1052" i="18"/>
  <c r="H1051" i="18"/>
  <c r="H1050" i="18"/>
  <c r="H1049" i="18"/>
  <c r="H1048" i="18"/>
  <c r="H1047" i="18"/>
  <c r="H1046" i="18"/>
  <c r="H1045" i="18"/>
  <c r="H1044" i="18"/>
  <c r="H1043" i="18"/>
  <c r="H1042" i="18"/>
  <c r="H1041" i="18"/>
  <c r="H1040" i="18"/>
  <c r="H1039" i="18"/>
  <c r="H1038" i="18"/>
  <c r="H1037" i="18"/>
  <c r="H1036" i="18"/>
  <c r="H1035" i="18"/>
  <c r="H1034" i="18"/>
  <c r="H1033" i="18"/>
  <c r="H1032" i="18"/>
  <c r="H1031" i="18"/>
  <c r="H1030" i="18"/>
  <c r="H1029" i="18"/>
  <c r="H1028" i="18"/>
  <c r="H1027" i="18"/>
  <c r="H1026" i="18"/>
  <c r="H1025" i="18"/>
  <c r="H1024" i="18"/>
  <c r="H1023" i="18"/>
  <c r="H1022" i="18"/>
  <c r="H1021" i="18"/>
  <c r="H1020" i="18"/>
  <c r="H1019" i="18"/>
  <c r="H1018" i="18"/>
  <c r="H1017" i="18"/>
  <c r="H1016" i="18"/>
  <c r="H1015" i="18"/>
  <c r="H1014" i="18"/>
  <c r="H1013" i="18"/>
  <c r="H1012" i="18"/>
  <c r="H1011" i="18"/>
  <c r="H1010" i="18"/>
  <c r="H1009" i="18"/>
  <c r="H1008" i="18"/>
  <c r="H1007" i="18"/>
  <c r="H1006" i="18"/>
  <c r="H1005" i="18"/>
  <c r="H1004" i="18"/>
  <c r="H1003" i="18"/>
  <c r="H1002" i="18"/>
  <c r="H1001" i="18"/>
  <c r="H1000" i="18"/>
  <c r="H999" i="18"/>
  <c r="H998" i="18"/>
  <c r="H997" i="18"/>
  <c r="H996" i="18"/>
  <c r="H995" i="18"/>
  <c r="H994" i="18"/>
  <c r="H993" i="18"/>
  <c r="H992" i="18"/>
  <c r="H991" i="18"/>
  <c r="H990" i="18"/>
  <c r="H989" i="18"/>
  <c r="H988" i="18"/>
  <c r="H987" i="18"/>
  <c r="H986" i="18"/>
  <c r="H985" i="18"/>
  <c r="H984" i="18"/>
  <c r="H983" i="18"/>
  <c r="H982" i="18"/>
  <c r="H981" i="18"/>
  <c r="H980" i="18"/>
  <c r="H979" i="18"/>
  <c r="H978" i="18"/>
  <c r="H977" i="18"/>
  <c r="H976" i="18"/>
  <c r="H975" i="18"/>
  <c r="H974" i="18"/>
  <c r="H973" i="18"/>
  <c r="H972" i="18"/>
  <c r="H971" i="18"/>
  <c r="H970" i="18"/>
  <c r="H969" i="18"/>
  <c r="H968" i="18"/>
  <c r="H967" i="18"/>
  <c r="H966" i="18"/>
  <c r="H965" i="18"/>
  <c r="H964" i="18"/>
  <c r="H963" i="18"/>
  <c r="H962" i="18"/>
  <c r="H961" i="18"/>
  <c r="H960" i="18"/>
  <c r="H959" i="18"/>
  <c r="H958" i="18"/>
  <c r="H957" i="18"/>
  <c r="H956" i="18"/>
  <c r="H955" i="18"/>
  <c r="H954" i="18"/>
  <c r="H953" i="18"/>
  <c r="H952" i="18"/>
  <c r="H951" i="18"/>
  <c r="H950" i="18"/>
  <c r="H949" i="18"/>
  <c r="H948" i="18"/>
  <c r="H947" i="18"/>
  <c r="H946" i="18"/>
  <c r="H945" i="18"/>
  <c r="H944" i="18"/>
  <c r="H943" i="18"/>
  <c r="H942" i="18"/>
  <c r="H941" i="18"/>
  <c r="H940" i="18"/>
  <c r="H939" i="18"/>
  <c r="H938" i="18"/>
  <c r="H937" i="18"/>
  <c r="H936" i="18"/>
  <c r="H935" i="18"/>
  <c r="H934" i="18"/>
  <c r="H933" i="18"/>
  <c r="H932" i="18"/>
  <c r="H931" i="18"/>
  <c r="H930" i="18"/>
  <c r="H929" i="18"/>
  <c r="H928" i="18"/>
  <c r="H927" i="18"/>
  <c r="H926" i="18"/>
  <c r="H925" i="18"/>
  <c r="H924" i="18"/>
  <c r="H923" i="18"/>
  <c r="H922" i="18"/>
  <c r="H921" i="18"/>
  <c r="H920" i="18"/>
  <c r="H919" i="18"/>
  <c r="H918" i="18"/>
  <c r="H917" i="18"/>
  <c r="H916" i="18"/>
  <c r="H915" i="18"/>
  <c r="H914" i="18"/>
  <c r="H913" i="18"/>
  <c r="H912" i="18"/>
  <c r="H911" i="18"/>
  <c r="H910" i="18"/>
  <c r="H909" i="18"/>
  <c r="H908" i="18"/>
  <c r="H907" i="18"/>
  <c r="H906" i="18"/>
  <c r="H905" i="18"/>
  <c r="H904" i="18"/>
  <c r="H903" i="18"/>
  <c r="H902" i="18"/>
  <c r="H901" i="18"/>
  <c r="H900" i="18"/>
  <c r="H899" i="18"/>
  <c r="H898" i="18"/>
  <c r="H897" i="18"/>
  <c r="H896" i="18"/>
  <c r="B896" i="18" a="1"/>
  <c r="H895" i="18"/>
  <c r="H894" i="18"/>
  <c r="H893" i="18"/>
  <c r="H892" i="18"/>
  <c r="H891" i="18"/>
  <c r="H890" i="18"/>
  <c r="H889" i="18"/>
  <c r="H888" i="18"/>
  <c r="H887" i="18"/>
  <c r="H886" i="18"/>
  <c r="H885" i="18"/>
  <c r="H884" i="18"/>
  <c r="H883" i="18"/>
  <c r="H882" i="18"/>
  <c r="H881" i="18"/>
  <c r="H880" i="18"/>
  <c r="H879" i="18"/>
  <c r="H878" i="18"/>
  <c r="H877" i="18"/>
  <c r="H876" i="18"/>
  <c r="H875" i="18"/>
  <c r="H874" i="18"/>
  <c r="H873" i="18"/>
  <c r="H872" i="18"/>
  <c r="H871" i="18"/>
  <c r="H870" i="18"/>
  <c r="H869" i="18"/>
  <c r="H868" i="18"/>
  <c r="H867" i="18"/>
  <c r="H866" i="18"/>
  <c r="H865" i="18"/>
  <c r="H864" i="18"/>
  <c r="H863" i="18"/>
  <c r="H862" i="18"/>
  <c r="H861" i="18"/>
  <c r="H860" i="18"/>
  <c r="H859" i="18"/>
  <c r="H858" i="18"/>
  <c r="H857" i="18"/>
  <c r="H856" i="18"/>
  <c r="H855" i="18"/>
  <c r="H854" i="18"/>
  <c r="H853" i="18"/>
  <c r="H852" i="18"/>
  <c r="H851" i="18"/>
  <c r="H850" i="18"/>
  <c r="H849" i="18"/>
  <c r="H848" i="18"/>
  <c r="H847" i="18"/>
  <c r="H846" i="18"/>
  <c r="H845" i="18"/>
  <c r="H844" i="18"/>
  <c r="H843" i="18"/>
  <c r="H842" i="18"/>
  <c r="H841" i="18"/>
  <c r="H840" i="18"/>
  <c r="H839" i="18"/>
  <c r="H838" i="18"/>
  <c r="H837" i="18"/>
  <c r="H836" i="18"/>
  <c r="H835" i="18"/>
  <c r="H834" i="18"/>
  <c r="H833" i="18"/>
  <c r="H832" i="18"/>
  <c r="H831" i="18"/>
  <c r="H830" i="18"/>
  <c r="H829" i="18"/>
  <c r="H828" i="18"/>
  <c r="H827" i="18"/>
  <c r="H826" i="18"/>
  <c r="H825" i="18"/>
  <c r="H824" i="18"/>
  <c r="H823" i="18"/>
  <c r="H822" i="18"/>
  <c r="H821" i="18"/>
  <c r="H820" i="18"/>
  <c r="H819" i="18"/>
  <c r="H818" i="18"/>
  <c r="H817" i="18"/>
  <c r="H816" i="18"/>
  <c r="H815" i="18"/>
  <c r="H814" i="18"/>
  <c r="H813" i="18"/>
  <c r="H812" i="18"/>
  <c r="H811" i="18"/>
  <c r="H810" i="18"/>
  <c r="H809" i="18"/>
  <c r="H808" i="18"/>
  <c r="H807" i="18"/>
  <c r="H806" i="18"/>
  <c r="H805" i="18"/>
  <c r="H804" i="18"/>
  <c r="H803" i="18"/>
  <c r="H802" i="18"/>
  <c r="H801" i="18"/>
  <c r="H800" i="18"/>
  <c r="H799" i="18"/>
  <c r="H798" i="18"/>
  <c r="H797" i="18"/>
  <c r="H796" i="18"/>
  <c r="H795" i="18"/>
  <c r="H794" i="18"/>
  <c r="H793" i="18"/>
  <c r="H792" i="18"/>
  <c r="H791" i="18"/>
  <c r="H790" i="18"/>
  <c r="H789" i="18"/>
  <c r="H788" i="18"/>
  <c r="H787" i="18"/>
  <c r="H786" i="18"/>
  <c r="H785" i="18"/>
  <c r="H784" i="18"/>
  <c r="H783" i="18"/>
  <c r="H782" i="18"/>
  <c r="H781" i="18"/>
  <c r="H780" i="18"/>
  <c r="H779" i="18"/>
  <c r="H778" i="18"/>
  <c r="H777" i="18"/>
  <c r="H776" i="18"/>
  <c r="H775" i="18"/>
  <c r="H774" i="18"/>
  <c r="H773" i="18"/>
  <c r="H772" i="18"/>
  <c r="H771" i="18"/>
  <c r="H770" i="18"/>
  <c r="H769" i="18"/>
  <c r="H768" i="18"/>
  <c r="H767" i="18"/>
  <c r="H766" i="18"/>
  <c r="H765" i="18"/>
  <c r="H764" i="18"/>
  <c r="H763" i="18"/>
  <c r="H762" i="18"/>
  <c r="H761" i="18"/>
  <c r="H760" i="18"/>
  <c r="H759" i="18"/>
  <c r="H758" i="18"/>
  <c r="H757" i="18"/>
  <c r="H756" i="18"/>
  <c r="H755" i="18"/>
  <c r="H754" i="18"/>
  <c r="H753" i="18"/>
  <c r="H752" i="18"/>
  <c r="H751" i="18"/>
  <c r="H750" i="18"/>
  <c r="H749" i="18"/>
  <c r="H748" i="18"/>
  <c r="H747" i="18"/>
  <c r="H746" i="18"/>
  <c r="H745" i="18"/>
  <c r="H744" i="18"/>
  <c r="H743" i="18"/>
  <c r="H742" i="18"/>
  <c r="H741" i="18"/>
  <c r="H740" i="18"/>
  <c r="H739" i="18"/>
  <c r="H738" i="18"/>
  <c r="H737" i="18"/>
  <c r="H736" i="18"/>
  <c r="H735" i="18"/>
  <c r="H734" i="18"/>
  <c r="H733" i="18"/>
  <c r="H732" i="18"/>
  <c r="H731" i="18"/>
  <c r="H730" i="18"/>
  <c r="H729" i="18"/>
  <c r="H728" i="18"/>
  <c r="H727" i="18"/>
  <c r="H726" i="18"/>
  <c r="H725" i="18"/>
  <c r="H724" i="18"/>
  <c r="H723" i="18"/>
  <c r="H722" i="18"/>
  <c r="H721" i="18"/>
  <c r="H720" i="18"/>
  <c r="H719" i="18"/>
  <c r="H718" i="18"/>
  <c r="H717" i="18"/>
  <c r="H716" i="18"/>
  <c r="H715" i="18"/>
  <c r="H714" i="18"/>
  <c r="H713" i="18"/>
  <c r="H712" i="18"/>
  <c r="H711" i="18"/>
  <c r="H710" i="18"/>
  <c r="H709" i="18"/>
  <c r="H708" i="18"/>
  <c r="H707" i="18"/>
  <c r="H706" i="18"/>
  <c r="H705" i="18"/>
  <c r="H704" i="18"/>
  <c r="H703" i="18"/>
  <c r="H702" i="18"/>
  <c r="H701" i="18"/>
  <c r="H700" i="18"/>
  <c r="H699" i="18"/>
  <c r="H698" i="18"/>
  <c r="H697" i="18"/>
  <c r="H696" i="18"/>
  <c r="H695" i="18"/>
  <c r="H694" i="18"/>
  <c r="H693" i="18"/>
  <c r="H692" i="18"/>
  <c r="H691" i="18"/>
  <c r="H690" i="18"/>
  <c r="H689" i="18"/>
  <c r="H688" i="18"/>
  <c r="H687" i="18"/>
  <c r="H686" i="18"/>
  <c r="H685" i="18"/>
  <c r="H684" i="18"/>
  <c r="H683" i="18"/>
  <c r="H682" i="18"/>
  <c r="H681" i="18"/>
  <c r="H680" i="18"/>
  <c r="H679" i="18"/>
  <c r="H678" i="18"/>
  <c r="H677" i="18"/>
  <c r="H676" i="18"/>
  <c r="H675" i="18"/>
  <c r="H674" i="18"/>
  <c r="H673" i="18"/>
  <c r="H672" i="18"/>
  <c r="H671" i="18"/>
  <c r="H670" i="18"/>
  <c r="H669" i="18"/>
  <c r="H668" i="18"/>
  <c r="H667" i="18"/>
  <c r="H666" i="18"/>
  <c r="H665" i="18"/>
  <c r="H664" i="18"/>
  <c r="H663" i="18"/>
  <c r="H662" i="18"/>
  <c r="H661" i="18"/>
  <c r="H660" i="18"/>
  <c r="H659" i="18"/>
  <c r="H658" i="18"/>
  <c r="H657" i="18"/>
  <c r="H656" i="18"/>
  <c r="H655" i="18"/>
  <c r="H654" i="18"/>
  <c r="H653" i="18"/>
  <c r="H652" i="18"/>
  <c r="H651" i="18"/>
  <c r="H650" i="18"/>
  <c r="H649" i="18"/>
  <c r="H648" i="18"/>
  <c r="H647" i="18"/>
  <c r="H646" i="18"/>
  <c r="H645" i="18"/>
  <c r="H644" i="18"/>
  <c r="H643" i="18"/>
  <c r="H642" i="18"/>
  <c r="H641" i="18"/>
  <c r="H640" i="18"/>
  <c r="H639" i="18"/>
  <c r="H638" i="18"/>
  <c r="H637" i="18"/>
  <c r="H636" i="18"/>
  <c r="H635" i="18"/>
  <c r="H634" i="18"/>
  <c r="H633" i="18"/>
  <c r="H632" i="18"/>
  <c r="H631" i="18"/>
  <c r="H630" i="18"/>
  <c r="H629" i="18"/>
  <c r="H628" i="18"/>
  <c r="H627" i="18"/>
  <c r="H626" i="18"/>
  <c r="H625" i="18"/>
  <c r="H624" i="18"/>
  <c r="H623" i="18"/>
  <c r="H622" i="18"/>
  <c r="H621" i="18"/>
  <c r="H620" i="18"/>
  <c r="H619" i="18"/>
  <c r="H618" i="18"/>
  <c r="H617" i="18"/>
  <c r="H616" i="18"/>
  <c r="H615" i="18"/>
  <c r="H614" i="18"/>
  <c r="H613" i="18"/>
  <c r="H612" i="18"/>
  <c r="H611" i="18"/>
  <c r="H610" i="18"/>
  <c r="H609" i="18"/>
  <c r="H608" i="18"/>
  <c r="H607" i="18"/>
  <c r="H606" i="18"/>
  <c r="H605" i="18"/>
  <c r="H604" i="18"/>
  <c r="H603" i="18"/>
  <c r="H602" i="18"/>
  <c r="H601" i="18"/>
  <c r="H600" i="18"/>
  <c r="H599" i="18"/>
  <c r="H598" i="18"/>
  <c r="H597" i="18"/>
  <c r="H596" i="18"/>
  <c r="H595" i="18"/>
  <c r="H594" i="18"/>
  <c r="H593" i="18"/>
  <c r="H592" i="18"/>
  <c r="H591" i="18"/>
  <c r="H590" i="18"/>
  <c r="H589" i="18"/>
  <c r="H588" i="18"/>
  <c r="H587" i="18"/>
  <c r="H586" i="18"/>
  <c r="H585" i="18"/>
  <c r="H584" i="18"/>
  <c r="H583" i="18"/>
  <c r="H582" i="18"/>
  <c r="H581" i="18"/>
  <c r="H580" i="18"/>
  <c r="H579" i="18"/>
  <c r="H578" i="18"/>
  <c r="H577" i="18"/>
  <c r="H576" i="18"/>
  <c r="H575" i="18"/>
  <c r="H574" i="18"/>
  <c r="H573" i="18"/>
  <c r="H572" i="18"/>
  <c r="H571" i="18"/>
  <c r="H570" i="18"/>
  <c r="H569" i="18"/>
  <c r="H568" i="18"/>
  <c r="H567" i="18"/>
  <c r="H566" i="18"/>
  <c r="H565" i="18"/>
  <c r="H564" i="18"/>
  <c r="H563" i="18"/>
  <c r="H562" i="18"/>
  <c r="H561" i="18"/>
  <c r="H560" i="18"/>
  <c r="H559" i="18"/>
  <c r="H558" i="18"/>
  <c r="H557" i="18"/>
  <c r="H556" i="18"/>
  <c r="H555" i="18"/>
  <c r="H554" i="18"/>
  <c r="H553" i="18"/>
  <c r="H552" i="18"/>
  <c r="H551" i="18"/>
  <c r="H550" i="18"/>
  <c r="H549" i="18"/>
  <c r="H548" i="18"/>
  <c r="H547" i="18"/>
  <c r="H546" i="18"/>
  <c r="H545" i="18"/>
  <c r="H544" i="18"/>
  <c r="H543" i="18"/>
  <c r="H542" i="18"/>
  <c r="H541" i="18"/>
  <c r="H540" i="18"/>
  <c r="H539" i="18"/>
  <c r="H538" i="18"/>
  <c r="H537" i="18"/>
  <c r="H536" i="18"/>
  <c r="H535" i="18"/>
  <c r="H534" i="18"/>
  <c r="H533" i="18"/>
  <c r="H532" i="18"/>
  <c r="H531" i="18"/>
  <c r="H530" i="18"/>
  <c r="H529" i="18"/>
  <c r="H528" i="18"/>
  <c r="H527" i="18"/>
  <c r="H526" i="18"/>
  <c r="H525" i="18"/>
  <c r="H524" i="18"/>
  <c r="H523" i="18"/>
  <c r="H522" i="18"/>
  <c r="H521" i="18"/>
  <c r="H520" i="18"/>
  <c r="H519" i="18"/>
  <c r="H518" i="18"/>
  <c r="H517" i="18"/>
  <c r="H516" i="18"/>
  <c r="H515" i="18"/>
  <c r="H514" i="18"/>
  <c r="H513" i="18"/>
  <c r="H512" i="18"/>
  <c r="H511" i="18"/>
  <c r="H510" i="18"/>
  <c r="H509" i="18"/>
  <c r="H508" i="18"/>
  <c r="H507" i="18"/>
  <c r="H506" i="18"/>
  <c r="H505" i="18"/>
  <c r="H504" i="18"/>
  <c r="H503" i="18"/>
  <c r="H502" i="18"/>
  <c r="H501" i="18"/>
  <c r="H500" i="18"/>
  <c r="H499" i="18"/>
  <c r="H498" i="18"/>
  <c r="H497" i="18"/>
  <c r="H496" i="18"/>
  <c r="H495" i="18"/>
  <c r="H494" i="18"/>
  <c r="H493" i="18"/>
  <c r="H492" i="18"/>
  <c r="H491" i="18"/>
  <c r="H490" i="18"/>
  <c r="H489" i="18"/>
  <c r="H488" i="18"/>
  <c r="H487" i="18"/>
  <c r="H486" i="18"/>
  <c r="H485" i="18"/>
  <c r="H484" i="18"/>
  <c r="H483" i="18"/>
  <c r="H482" i="18"/>
  <c r="H481" i="18"/>
  <c r="H480" i="18"/>
  <c r="H479" i="18"/>
  <c r="H478" i="18"/>
  <c r="H477" i="18"/>
  <c r="H476" i="18"/>
  <c r="H475" i="18"/>
  <c r="H474" i="18"/>
  <c r="H473" i="18"/>
  <c r="H472" i="18"/>
  <c r="H471" i="18"/>
  <c r="H470" i="18"/>
  <c r="H469" i="18"/>
  <c r="H468" i="18"/>
  <c r="H467" i="18"/>
  <c r="H466" i="18"/>
  <c r="H465" i="18"/>
  <c r="H464" i="18"/>
  <c r="H463" i="18"/>
  <c r="H462" i="18"/>
  <c r="H461" i="18"/>
  <c r="H460" i="18"/>
  <c r="H459" i="18"/>
  <c r="H458" i="18"/>
  <c r="H457" i="18"/>
  <c r="H456" i="18"/>
  <c r="H455" i="18"/>
  <c r="H454" i="18"/>
  <c r="H453" i="18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J3" i="18"/>
  <c r="H3" i="18"/>
  <c r="J2" i="18"/>
  <c r="H2" i="18"/>
  <c r="B14" i="4"/>
  <c r="F9" i="4"/>
  <c r="F7" i="4"/>
  <c r="Y8" i="20" l="1"/>
  <c r="Y2" i="20"/>
  <c r="I42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<sst xmlns="http://schemas.openxmlformats.org/spreadsheetml/2006/main" count="7501" uniqueCount="5475">
  <si>
    <r>
      <t xml:space="preserve">  [t_dat] </t>
    </r>
    <r>
      <rPr>
        <sz val="9"/>
        <color rgb="FF008000"/>
        <rFont val="Cascadia Mono"/>
        <family val="3"/>
      </rPr>
      <t>--transaction date</t>
    </r>
  </si>
  <si>
    <r>
      <t xml:space="preserve">  [customer_id] </t>
    </r>
    <r>
      <rPr>
        <sz val="9"/>
        <color rgb="FF008000"/>
        <rFont val="Cascadia Mono"/>
        <family val="3"/>
      </rPr>
      <t>-- customer id FK to the hm_customer table (M:1)</t>
    </r>
  </si>
  <si>
    <r>
      <t xml:space="preserve">  [article_id] </t>
    </r>
    <r>
      <rPr>
        <sz val="9"/>
        <color rgb="FF008000"/>
        <rFont val="Cascadia Mono"/>
        <family val="3"/>
      </rPr>
      <t>-- production id FK to the hm_articiles table (M:1)</t>
    </r>
  </si>
  <si>
    <r>
      <t xml:space="preserve">  [price] </t>
    </r>
    <r>
      <rPr>
        <sz val="9"/>
        <color rgb="FF008000"/>
        <rFont val="Cascadia Mono"/>
        <family val="3"/>
      </rPr>
      <t>-- the price of the sales product</t>
    </r>
  </si>
  <si>
    <r>
      <t xml:space="preserve">  [sales_channel_id] </t>
    </r>
    <r>
      <rPr>
        <sz val="9"/>
        <color rgb="FF008000"/>
        <rFont val="Cascadia Mono"/>
        <family val="3"/>
      </rPr>
      <t>-- the channel that the customer placed the order</t>
    </r>
  </si>
  <si>
    <t>Assumption:</t>
  </si>
  <si>
    <t>[hm_transactions]</t>
  </si>
  <si>
    <t>if customer_id, t_dat, article_id, price are the same &gt; assume the same customer buy the same product with quanity &gt; 1 instead of duplications (total: 16472, ratio: 1.6%)</t>
  </si>
  <si>
    <t>if customer_id, t_dat, article_id are the same but price is different &gt; assume extra discount applied instead of invalid data  (total: 1645, 0.16%)</t>
  </si>
  <si>
    <t>if customer_id, t_dat are the same &gt; assume the same customer gets more than one items in one transaction (total: 292663, 27.9%)</t>
  </si>
  <si>
    <t>[hm_customer]</t>
  </si>
  <si>
    <t>[customer_id]</t>
  </si>
  <si>
    <t>[FN]</t>
  </si>
  <si>
    <t>[Active]</t>
  </si>
  <si>
    <t>[club_member_status]</t>
  </si>
  <si>
    <t>[fashion_news_frequency]</t>
  </si>
  <si>
    <t>[age]</t>
  </si>
  <si>
    <t>the membership status of the customer (ACTIVE, PRE-CREATE, LEFT CLUB)</t>
  </si>
  <si>
    <t>the fashion news subscription type of the customer (NONE, Regularly, Monthly)</t>
  </si>
  <si>
    <t>the age of the customer</t>
  </si>
  <si>
    <t>(PK) customer unique id</t>
  </si>
  <si>
    <t>whether the customer has subscribed to the Fashion news (1: YES, 0: NO)</t>
  </si>
  <si>
    <t>whether the customer status is active (1: Active, 0: Inactive)</t>
  </si>
  <si>
    <t>[hm_articles]</t>
  </si>
  <si>
    <t>[article_id]</t>
  </si>
  <si>
    <t>[product_code]</t>
  </si>
  <si>
    <t>[prod_name]</t>
  </si>
  <si>
    <t>[product_type_no]</t>
  </si>
  <si>
    <t>[product_type_name]</t>
  </si>
  <si>
    <t>[product_group_name]</t>
  </si>
  <si>
    <t>[graphical_appearance_no]</t>
  </si>
  <si>
    <t>[graphical_appearance_name]</t>
  </si>
  <si>
    <t>[colour_group_code]</t>
  </si>
  <si>
    <t>[colour_group_name]</t>
  </si>
  <si>
    <t>[perceived_colour_value_id]</t>
  </si>
  <si>
    <t>[perceived_colour_value_name]</t>
  </si>
  <si>
    <t>[perceived_colour_master_id]</t>
  </si>
  <si>
    <t>[perceived_colour_master_name]</t>
  </si>
  <si>
    <t>[department_no]</t>
  </si>
  <si>
    <t>[department_name]</t>
  </si>
  <si>
    <t>[index_code]</t>
  </si>
  <si>
    <t>[index_name]</t>
  </si>
  <si>
    <t>[index_group_no]</t>
  </si>
  <si>
    <t>[index_group_name]</t>
  </si>
  <si>
    <t>[section_no]</t>
  </si>
  <si>
    <t>[section_name]</t>
  </si>
  <si>
    <t>[garment_group_no]</t>
  </si>
  <si>
    <t>[garment_group_name]</t>
  </si>
  <si>
    <t>[detail_desc]</t>
  </si>
  <si>
    <t>unique product id</t>
  </si>
  <si>
    <t>product code</t>
  </si>
  <si>
    <t>product description</t>
  </si>
  <si>
    <t>product type</t>
  </si>
  <si>
    <t>product type in full name</t>
  </si>
  <si>
    <t>product in full name</t>
  </si>
  <si>
    <t>product group in full name</t>
  </si>
  <si>
    <t>month</t>
  </si>
  <si>
    <t>monthly_aov</t>
  </si>
  <si>
    <t>avg_orders_per_customer</t>
  </si>
  <si>
    <t>sales_month</t>
  </si>
  <si>
    <t>product_rank</t>
  </si>
  <si>
    <t>total_units_sold</t>
  </si>
  <si>
    <t>total_revenue</t>
  </si>
  <si>
    <t>2019-01</t>
  </si>
  <si>
    <t>Timeless Sports Top</t>
  </si>
  <si>
    <t>2019-02</t>
  </si>
  <si>
    <t>Jade HW Skinny Denim TRS</t>
  </si>
  <si>
    <t>2019-03</t>
  </si>
  <si>
    <t>2019-04</t>
  </si>
  <si>
    <t>Kanta slacks RW</t>
  </si>
  <si>
    <t>2019-05</t>
  </si>
  <si>
    <t>Cornelia Thong LP</t>
  </si>
  <si>
    <t>Simple as That Triangle Top</t>
  </si>
  <si>
    <t>2019-06</t>
  </si>
  <si>
    <t>2019-07</t>
  </si>
  <si>
    <t>Cat Tee.</t>
  </si>
  <si>
    <t>Timeless Midrise Brief</t>
  </si>
  <si>
    <t>2019-08</t>
  </si>
  <si>
    <t>CAMILLA OL OFFER</t>
  </si>
  <si>
    <t>Pluto RW slacks (1)</t>
  </si>
  <si>
    <t>Mona polo</t>
  </si>
  <si>
    <t>2019-09</t>
  </si>
  <si>
    <t>Henry polo. (1)</t>
  </si>
  <si>
    <t>2019-10</t>
  </si>
  <si>
    <t>2019-11</t>
  </si>
  <si>
    <t>2019-12</t>
  </si>
  <si>
    <t>Month</t>
  </si>
  <si>
    <t>Grand Total</t>
  </si>
  <si>
    <t>Row Labels</t>
  </si>
  <si>
    <t>product_code</t>
  </si>
  <si>
    <t>product_name</t>
  </si>
  <si>
    <t>Luna skinny RW</t>
  </si>
  <si>
    <t>Tilly (1)</t>
  </si>
  <si>
    <t>SUPREME tights</t>
  </si>
  <si>
    <t>Kelso HW fancy</t>
  </si>
  <si>
    <t>Shake it in Balconette_</t>
  </si>
  <si>
    <t>Baraboom (1)</t>
  </si>
  <si>
    <t>Madison skinny HW (1)</t>
  </si>
  <si>
    <t>Product Name</t>
  </si>
  <si>
    <t>Sold Units</t>
  </si>
  <si>
    <t>Rank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</si>
  <si>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</si>
  <si>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</si>
  <si>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</si>
  <si>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</si>
  <si>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</si>
  <si>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</si>
  <si>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</si>
  <si>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</si>
  <si>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</si>
  <si>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</si>
  <si>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</si>
  <si>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</si>
  <si>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</si>
  <si>
    <t>Shaping Skinny H.W</t>
  </si>
  <si>
    <t>Gyda blouse</t>
  </si>
  <si>
    <t>Sorrel(1)</t>
  </si>
  <si>
    <t>Iris Linen Jogger R.W TVP</t>
  </si>
  <si>
    <t>Mariette Blazer</t>
  </si>
  <si>
    <t>L Lilo Pile Coat</t>
  </si>
  <si>
    <t>Femme (1)</t>
  </si>
  <si>
    <t>prod_name</t>
  </si>
  <si>
    <t>&amp;DENIM Embrace denim shorts</t>
  </si>
  <si>
    <t>&amp;Denim Embrace HW Trash</t>
  </si>
  <si>
    <t>&amp;denim festive HW ankle</t>
  </si>
  <si>
    <t>&amp;DENIM Jeggings HW</t>
  </si>
  <si>
    <t>&amp;DENIM jen bermuda shorts</t>
  </si>
  <si>
    <t>&amp;DENIM Lou shirtdress</t>
  </si>
  <si>
    <t>&amp;Denim Lou shirtdress.</t>
  </si>
  <si>
    <t>&amp;DENIM Shaping bootcut</t>
  </si>
  <si>
    <t>&amp;Denim Shaping Ultra HW Ankle</t>
  </si>
  <si>
    <t>&amp;denim Shping skinny RW Petite</t>
  </si>
  <si>
    <t>&amp;denim skinny ankle HW</t>
  </si>
  <si>
    <t>&amp;DENIM Skinny HW Ancle Vanessa</t>
  </si>
  <si>
    <t>&amp;DENIM Skinny RW Chic</t>
  </si>
  <si>
    <t>&amp;DENIM Skinny RW Chic(1)</t>
  </si>
  <si>
    <t>&amp;DENIM Skinny Shaping HW</t>
  </si>
  <si>
    <t>&amp;DENIM Skinny shaping HW.</t>
  </si>
  <si>
    <t>&amp;DENIM Skinny shaping RW</t>
  </si>
  <si>
    <t>&amp;Denim+ Lou shirtdress.</t>
  </si>
  <si>
    <t>&amp;DENIM+ Skinny Shaping HW</t>
  </si>
  <si>
    <t>&amp;DENIM+ Skinny shaping RW</t>
  </si>
  <si>
    <t>10 pk fancy</t>
  </si>
  <si>
    <t>10p Basic Socks</t>
  </si>
  <si>
    <t>10pk basic R socks</t>
  </si>
  <si>
    <t>1pk Fun 1</t>
  </si>
  <si>
    <t>1pk fun/expressive</t>
  </si>
  <si>
    <t>2- PACK</t>
  </si>
  <si>
    <t>20 den 2p Tights</t>
  </si>
  <si>
    <t>2p OP Hipster Cheeky Low</t>
  </si>
  <si>
    <t>2p Samantha Brazilian (Acacia)</t>
  </si>
  <si>
    <t>3p Sneaker Socks</t>
  </si>
  <si>
    <t>40 den 2p Tights</t>
  </si>
  <si>
    <t>40 den 2p Tights Conscious</t>
  </si>
  <si>
    <t>5p Plastic Terry</t>
  </si>
  <si>
    <t>5pk basic R socks</t>
  </si>
  <si>
    <t>5pk invisble sock</t>
  </si>
  <si>
    <t>5pk regular fancy</t>
  </si>
  <si>
    <t>7p Basic Shaftless</t>
  </si>
  <si>
    <t>7pk basic R sneaker socks</t>
  </si>
  <si>
    <t>7pk sneaker fancy</t>
  </si>
  <si>
    <t>90s l/s top</t>
  </si>
  <si>
    <t>Abby dress V5</t>
  </si>
  <si>
    <t>Abby jumpsuit</t>
  </si>
  <si>
    <t>Abby Jumpsuit j</t>
  </si>
  <si>
    <t>Abia Dress</t>
  </si>
  <si>
    <t>Abigail</t>
  </si>
  <si>
    <t>Abilo espadrille</t>
  </si>
  <si>
    <t>Acacia</t>
  </si>
  <si>
    <t>Acai</t>
  </si>
  <si>
    <t>Acerola jumpsuit</t>
  </si>
  <si>
    <t>Ada dress</t>
  </si>
  <si>
    <t>Ada tunic</t>
  </si>
  <si>
    <t>Adan sneaker</t>
  </si>
  <si>
    <t>Addison belted waist trs R.W</t>
  </si>
  <si>
    <t>Adele Body</t>
  </si>
  <si>
    <t>Adele Body Glitter</t>
  </si>
  <si>
    <t>Adelia bralette</t>
  </si>
  <si>
    <t>Adelia cropped top</t>
  </si>
  <si>
    <t>Adeline linen longsleeve</t>
  </si>
  <si>
    <t>Adhesive Bra</t>
  </si>
  <si>
    <t>Adhesive Lacing Bra</t>
  </si>
  <si>
    <t>Adhesive lacing bra 1 (1)</t>
  </si>
  <si>
    <t>Adhesive push bra</t>
  </si>
  <si>
    <t>Adina dress</t>
  </si>
  <si>
    <t>Adore strapless push</t>
  </si>
  <si>
    <t>Adria tunic</t>
  </si>
  <si>
    <t>Adrian Blouse</t>
  </si>
  <si>
    <t>Adriana mini dress</t>
  </si>
  <si>
    <t>Affair dress</t>
  </si>
  <si>
    <t>After Beach Highwaist</t>
  </si>
  <si>
    <t>Agave Coat</t>
  </si>
  <si>
    <t>AGNES isw 45</t>
  </si>
  <si>
    <t>Agnes LS R-neck</t>
  </si>
  <si>
    <t>Aguilera maxidress</t>
  </si>
  <si>
    <t>Air mockneck jumper</t>
  </si>
  <si>
    <t>Aisle Body - repaet</t>
  </si>
  <si>
    <t>AK LL COOL Jeans RW</t>
  </si>
  <si>
    <t>AK Nickel denim jkt D3</t>
  </si>
  <si>
    <t>AK SATAY jeans HW</t>
  </si>
  <si>
    <t>Alabama Dress</t>
  </si>
  <si>
    <t>ALASKA BIB ski trs</t>
  </si>
  <si>
    <t>ALASKA ski trousers</t>
  </si>
  <si>
    <t>Alaya</t>
  </si>
  <si>
    <t>Alba</t>
  </si>
  <si>
    <t>Alba Push-Up Biker HW FS</t>
  </si>
  <si>
    <t>Alcazar strap dress</t>
  </si>
  <si>
    <t>Aleksandra</t>
  </si>
  <si>
    <t>Alessa cat sunglasses</t>
  </si>
  <si>
    <t>Alessandria</t>
  </si>
  <si>
    <t>Alex Jogger (J)</t>
  </si>
  <si>
    <t>Alex Shorts</t>
  </si>
  <si>
    <t>Alex shorts</t>
  </si>
  <si>
    <t>Alex sweater</t>
  </si>
  <si>
    <t>Alex tee</t>
  </si>
  <si>
    <t>Alex Trs (J)</t>
  </si>
  <si>
    <t>Alexa</t>
  </si>
  <si>
    <t>ALEXA COMPONENT BAG</t>
  </si>
  <si>
    <t>Alexa Dress AOP</t>
  </si>
  <si>
    <t>Alexia blouse</t>
  </si>
  <si>
    <t>Alexis skirt</t>
  </si>
  <si>
    <t>Alfi L/S</t>
  </si>
  <si>
    <t>Alfi Mockneck LS</t>
  </si>
  <si>
    <t>Alfie paletot</t>
  </si>
  <si>
    <t>Alfred top</t>
  </si>
  <si>
    <t>Alhambra skirt</t>
  </si>
  <si>
    <t>ALICE knot headband</t>
  </si>
  <si>
    <t>Alice Lace Bandeau 2p</t>
  </si>
  <si>
    <t>Alice lace top</t>
  </si>
  <si>
    <t>Alice Twill Shorts</t>
  </si>
  <si>
    <t>Alicia</t>
  </si>
  <si>
    <t>Alicia wrap skirt</t>
  </si>
  <si>
    <t>Alisha Blouse</t>
  </si>
  <si>
    <t>Alisha blouse</t>
  </si>
  <si>
    <t>Alison shirt dress</t>
  </si>
  <si>
    <t>Alison shirt dress w</t>
  </si>
  <si>
    <t>Alison utility dress</t>
  </si>
  <si>
    <t>All in sweater</t>
  </si>
  <si>
    <t>Allie WL boot</t>
  </si>
  <si>
    <t>ALLINGTON slim fit tee TVP</t>
  </si>
  <si>
    <t>Ally Blazer</t>
  </si>
  <si>
    <t>ALLY COZY SKIRT</t>
  </si>
  <si>
    <t>ALLY PINNAFORE</t>
  </si>
  <si>
    <t>Ally trousers</t>
  </si>
  <si>
    <t>Ally TU</t>
  </si>
  <si>
    <t>Ally Twill Pinafore</t>
  </si>
  <si>
    <t>Alm Trench</t>
  </si>
  <si>
    <t>Alma low shaft</t>
  </si>
  <si>
    <t>Alma Sneaker</t>
  </si>
  <si>
    <t>Almost famous</t>
  </si>
  <si>
    <t>Almost famous romper</t>
  </si>
  <si>
    <t>ALOE turtleneck ls</t>
  </si>
  <si>
    <t>Alpaca tunic</t>
  </si>
  <si>
    <t>Alpaca Tunic</t>
  </si>
  <si>
    <t>Alpaca tunic.</t>
  </si>
  <si>
    <t>Alpha essential top</t>
  </si>
  <si>
    <t>Alpha top</t>
  </si>
  <si>
    <t>Alva HW wide trousers</t>
  </si>
  <si>
    <t>ALYSSA TEE OL</t>
  </si>
  <si>
    <t>Amalfi</t>
  </si>
  <si>
    <t>Amanda cat sunglasse</t>
  </si>
  <si>
    <t>Amanda jumper</t>
  </si>
  <si>
    <t>Amanda Rib</t>
  </si>
  <si>
    <t>Amanda Tank</t>
  </si>
  <si>
    <t>Amazing  Dress</t>
  </si>
  <si>
    <t>Amber</t>
  </si>
  <si>
    <t>Amber sandalette</t>
  </si>
  <si>
    <t>Amelia popover</t>
  </si>
  <si>
    <t>Amelie crewneck</t>
  </si>
  <si>
    <t>Amelie pump</t>
  </si>
  <si>
    <t>America dress or selling</t>
  </si>
  <si>
    <t>Amigo</t>
  </si>
  <si>
    <t>Amore strapless push bra</t>
  </si>
  <si>
    <t>Amore Top</t>
  </si>
  <si>
    <t>Amy Dress</t>
  </si>
  <si>
    <t>Amy dress</t>
  </si>
  <si>
    <t>Amy dress.</t>
  </si>
  <si>
    <t>AMY OTS TOP</t>
  </si>
  <si>
    <t>Amy Skinny Check Trs</t>
  </si>
  <si>
    <t>AMY TSHIRT</t>
  </si>
  <si>
    <t>Anabella</t>
  </si>
  <si>
    <t>Anais.</t>
  </si>
  <si>
    <t>Ananas</t>
  </si>
  <si>
    <t>Anders Super Push Bra</t>
  </si>
  <si>
    <t>Anders Tie Brief</t>
  </si>
  <si>
    <t>Andie Hood</t>
  </si>
  <si>
    <t>Andrea jumpsuit</t>
  </si>
  <si>
    <t>Andreas</t>
  </si>
  <si>
    <t>Andy chichago mould</t>
  </si>
  <si>
    <t>Andy skirt</t>
  </si>
  <si>
    <t>Andy SP Andes</t>
  </si>
  <si>
    <t>Angela</t>
  </si>
  <si>
    <t>Angela hipster</t>
  </si>
  <si>
    <t>Angela M-gown (J)</t>
  </si>
  <si>
    <t>Angelica</t>
  </si>
  <si>
    <t>ANGELICA S.0</t>
  </si>
  <si>
    <t>ANGELICA S.9</t>
  </si>
  <si>
    <t>Ania paperbag trousers</t>
  </si>
  <si>
    <t>Anika</t>
  </si>
  <si>
    <t>Anil shirtjacket</t>
  </si>
  <si>
    <t>Anita</t>
  </si>
  <si>
    <t>Anita Tank</t>
  </si>
  <si>
    <t>Anita Tank (1)</t>
  </si>
  <si>
    <t>Anka dress</t>
  </si>
  <si>
    <t>Ann Trousers</t>
  </si>
  <si>
    <t>Anna</t>
  </si>
  <si>
    <t>ANNA SLUB</t>
  </si>
  <si>
    <t>Anna-Belle sandalette</t>
  </si>
  <si>
    <t>Annelien Hoodie Dress</t>
  </si>
  <si>
    <t>Annette</t>
  </si>
  <si>
    <t>Annie fur</t>
  </si>
  <si>
    <t>Annie fur jacket</t>
  </si>
  <si>
    <t>Annie Glove Touch</t>
  </si>
  <si>
    <t>Annie Oversized Hood</t>
  </si>
  <si>
    <t>Anok campaign PQ boot</t>
  </si>
  <si>
    <t>Ansi jumpsuit</t>
  </si>
  <si>
    <t>ANTELOPE LS OL</t>
  </si>
  <si>
    <t>ANTELOPE SS</t>
  </si>
  <si>
    <t>Antelope ss</t>
  </si>
  <si>
    <t>Anthony 3pk  Fancy</t>
  </si>
  <si>
    <t>Anthony 3pk Basic</t>
  </si>
  <si>
    <t>Anthony 3pk basic short trunks</t>
  </si>
  <si>
    <t>Antibes Swimsuit</t>
  </si>
  <si>
    <t>Anton blouse</t>
  </si>
  <si>
    <t>Antoni top</t>
  </si>
  <si>
    <t>ANYA SHIRT</t>
  </si>
  <si>
    <t>AOP Leggings</t>
  </si>
  <si>
    <t>Aperol Dress</t>
  </si>
  <si>
    <t>APOLLO HW SEAMLESS CROPPED</t>
  </si>
  <si>
    <t>APOLLO HW seamless tights</t>
  </si>
  <si>
    <t>APOLLO seamless tights</t>
  </si>
  <si>
    <t>Apple</t>
  </si>
  <si>
    <t>Apple buckle dressed</t>
  </si>
  <si>
    <t>apri skirt</t>
  </si>
  <si>
    <t>Apricot PU shirt</t>
  </si>
  <si>
    <t>April</t>
  </si>
  <si>
    <t>April skirt</t>
  </si>
  <si>
    <t>AQUARIOUS OR ECLIPSE</t>
  </si>
  <si>
    <t>Ariana dress</t>
  </si>
  <si>
    <t>Ariel blazer</t>
  </si>
  <si>
    <t>Ariel boat neck</t>
  </si>
  <si>
    <t>Ariel hip belt (1)</t>
  </si>
  <si>
    <t>Ariel playsuit</t>
  </si>
  <si>
    <t>Ariel PRICE ITEM</t>
  </si>
  <si>
    <t>Ariella blazer</t>
  </si>
  <si>
    <t>Ariticia jumpsuit</t>
  </si>
  <si>
    <t>Arjen</t>
  </si>
  <si>
    <t>Arjen or Trey</t>
  </si>
  <si>
    <t>Arnica Padded</t>
  </si>
  <si>
    <t>Arnica Padded Jacket</t>
  </si>
  <si>
    <t>Arnie chunky sneaker</t>
  </si>
  <si>
    <t>Arthur Jacket</t>
  </si>
  <si>
    <t>Arthur slim fit shirt</t>
  </si>
  <si>
    <t>ARTICHOKE SLIM FIT POLO</t>
  </si>
  <si>
    <t>Aruba denim jacket</t>
  </si>
  <si>
    <t>Arya frill skirt</t>
  </si>
  <si>
    <t>Arya plissé dress</t>
  </si>
  <si>
    <t>Asa top</t>
  </si>
  <si>
    <t>Asap HW wide</t>
  </si>
  <si>
    <t>Ashanti Cardigan</t>
  </si>
  <si>
    <t>Asher</t>
  </si>
  <si>
    <t>Ashley</t>
  </si>
  <si>
    <t>Ashley Denim TRS</t>
  </si>
  <si>
    <t>Ashley espadrille</t>
  </si>
  <si>
    <t>Ashley linen</t>
  </si>
  <si>
    <t>Ashley r-neck structure</t>
  </si>
  <si>
    <t>Ashley sleeveless polo</t>
  </si>
  <si>
    <t>Asolo trouser</t>
  </si>
  <si>
    <t>Aspen fleece jacket</t>
  </si>
  <si>
    <t>Aspen winter parka</t>
  </si>
  <si>
    <t>Asta (1)</t>
  </si>
  <si>
    <t>Aston color block hood</t>
  </si>
  <si>
    <t>Astoria Biker</t>
  </si>
  <si>
    <t>Astoria Biker Jacket</t>
  </si>
  <si>
    <t>Astrid shirt</t>
  </si>
  <si>
    <t>Athena</t>
  </si>
  <si>
    <t>Athena shopper</t>
  </si>
  <si>
    <t>Atlanta fancy dress</t>
  </si>
  <si>
    <t>Atlantic</t>
  </si>
  <si>
    <t>Atlantic hoodie</t>
  </si>
  <si>
    <t>Attractive Trousers</t>
  </si>
  <si>
    <t>Atwood</t>
  </si>
  <si>
    <t>AUDREY tanktop knot detail</t>
  </si>
  <si>
    <t>Audrina dress</t>
  </si>
  <si>
    <t>August HW wide trousers</t>
  </si>
  <si>
    <t>Austen Cord Jumpsuit</t>
  </si>
  <si>
    <t>Austin basic leather hip belt</t>
  </si>
  <si>
    <t>AUTUMN STRAP</t>
  </si>
  <si>
    <t>Autun frill dress</t>
  </si>
  <si>
    <t>Ava knitted top</t>
  </si>
  <si>
    <t>Ava tee</t>
  </si>
  <si>
    <t>Avril Cardigan</t>
  </si>
  <si>
    <t>Axel fancy denim shorts (1)</t>
  </si>
  <si>
    <t>Ayana dress</t>
  </si>
  <si>
    <t>Azalea V5</t>
  </si>
  <si>
    <t>B August Lace Beach Dress</t>
  </si>
  <si>
    <t>B David Kaftan</t>
  </si>
  <si>
    <t>B Hudson Sarong</t>
  </si>
  <si>
    <t>B Leila Sarong</t>
  </si>
  <si>
    <t>B Luca Pareo</t>
  </si>
  <si>
    <t>B Sassy Sarong</t>
  </si>
  <si>
    <t>B Sibylla Kaftan</t>
  </si>
  <si>
    <t>B SIBYLLA LACE KAFTAN NEW</t>
  </si>
  <si>
    <t>B Wow Kaftan</t>
  </si>
  <si>
    <t>B Zsa Zsa Pareo</t>
  </si>
  <si>
    <t>Babe HW slim Pants</t>
  </si>
  <si>
    <t>Babe L/S</t>
  </si>
  <si>
    <t>Babe skirt J</t>
  </si>
  <si>
    <t>Babette long</t>
  </si>
  <si>
    <t>Baby Lock Me Up Push Triangle</t>
  </si>
  <si>
    <t>Baby Lock Me Up SP</t>
  </si>
  <si>
    <t>Baby Lock Me Up Tie Tanga</t>
  </si>
  <si>
    <t>Baby Love Cheeky Brief</t>
  </si>
  <si>
    <t>Baby Love Tri. Top</t>
  </si>
  <si>
    <t>Babylock Me Up Push</t>
  </si>
  <si>
    <t>BACCHUS STRUCTURE ROLLNECK</t>
  </si>
  <si>
    <t>Back Everlacing love Top</t>
  </si>
  <si>
    <t>Baek Tunic</t>
  </si>
  <si>
    <t>Bagira andes SP back detail</t>
  </si>
  <si>
    <t>Bagira bari wireless push</t>
  </si>
  <si>
    <t>Bagira Bikini Lotus</t>
  </si>
  <si>
    <t>Bagira malta pull on bandeau</t>
  </si>
  <si>
    <t>Bagira Padded Soft Bra Mia</t>
  </si>
  <si>
    <t>Bagira Push Balconette Ferrara</t>
  </si>
  <si>
    <t>Bagira Push Melbourne</t>
  </si>
  <si>
    <t>Bagira SP with cradle</t>
  </si>
  <si>
    <t>Bagira Thong Mynta 2p</t>
  </si>
  <si>
    <t>Bahama dress</t>
  </si>
  <si>
    <t>Bahamas jumpsuit</t>
  </si>
  <si>
    <t>Bailey</t>
  </si>
  <si>
    <t>Baldwin</t>
  </si>
  <si>
    <t>Bali tapered trouser</t>
  </si>
  <si>
    <t>ballet</t>
  </si>
  <si>
    <t>ballet blouse</t>
  </si>
  <si>
    <t>Baloo Hood Padded</t>
  </si>
  <si>
    <t>Baltimore dress</t>
  </si>
  <si>
    <t>Baltimore highshaft</t>
  </si>
  <si>
    <t>Bam Bam Belted Twill TRS</t>
  </si>
  <si>
    <t>Bama</t>
  </si>
  <si>
    <t>Bama fluff</t>
  </si>
  <si>
    <t>Bama(1)</t>
  </si>
  <si>
    <t>BamBam DNM</t>
  </si>
  <si>
    <t>Bambi</t>
  </si>
  <si>
    <t>BAMBI OL OFFER</t>
  </si>
  <si>
    <t>Bambini Jaquard</t>
  </si>
  <si>
    <t>Banana Blouse</t>
  </si>
  <si>
    <t>Banana dress</t>
  </si>
  <si>
    <t>Bananas jumpsuit</t>
  </si>
  <si>
    <t>Band leggings</t>
  </si>
  <si>
    <t>Bandit Babe Swimsuit</t>
  </si>
  <si>
    <t>Bandit Swimsuit</t>
  </si>
  <si>
    <t>Banjo dress</t>
  </si>
  <si>
    <t>Banks</t>
  </si>
  <si>
    <t>Banoffe</t>
  </si>
  <si>
    <t>Banoffee bodycon dress</t>
  </si>
  <si>
    <t>Bansky dress</t>
  </si>
  <si>
    <t>bap t-shirt</t>
  </si>
  <si>
    <t>Baraboom</t>
  </si>
  <si>
    <t>Baraboom Jacquard</t>
  </si>
  <si>
    <t>Barbados dress</t>
  </si>
  <si>
    <t>Barbie</t>
  </si>
  <si>
    <t>Barcelona jumpsuit</t>
  </si>
  <si>
    <t>Barcelona tunic dress</t>
  </si>
  <si>
    <t>Bari</t>
  </si>
  <si>
    <t>Barker</t>
  </si>
  <si>
    <t>Barley</t>
  </si>
  <si>
    <t>Barley tee</t>
  </si>
  <si>
    <t>Barley tee party</t>
  </si>
  <si>
    <t>Barmcake top</t>
  </si>
  <si>
    <t>Barnacle Lace-Up LS</t>
  </si>
  <si>
    <t>Barrel HW tapered denim</t>
  </si>
  <si>
    <t>Barry cardigan</t>
  </si>
  <si>
    <t>Barry cardigan (1)</t>
  </si>
  <si>
    <t>Barrymore Curly Sweater</t>
  </si>
  <si>
    <t>Barrymore jumpsuit</t>
  </si>
  <si>
    <t>Bartolomeo espadrille</t>
  </si>
  <si>
    <t>Barton midi skirt</t>
  </si>
  <si>
    <t>Barza</t>
  </si>
  <si>
    <t>Basic 7p Shaftless</t>
  </si>
  <si>
    <t>Basic 7p shaftless pattern</t>
  </si>
  <si>
    <t>Basic Gigi necklace</t>
  </si>
  <si>
    <t>BASIC HOOD</t>
  </si>
  <si>
    <t>Basic Rollerbuckle belt</t>
  </si>
  <si>
    <t>Basic sweatpants</t>
  </si>
  <si>
    <t>Basic sweatpants 1</t>
  </si>
  <si>
    <t>Basil Coat</t>
  </si>
  <si>
    <t>Bayonne long dress</t>
  </si>
  <si>
    <t>BB Frans  parka</t>
  </si>
  <si>
    <t>BB Sture softshell TP</t>
  </si>
  <si>
    <t>BB Timm parka TP</t>
  </si>
  <si>
    <t>Bea Conscious Pull- on TRS</t>
  </si>
  <si>
    <t>Bea Woven TRS</t>
  </si>
  <si>
    <t>Beach straight dressed trs</t>
  </si>
  <si>
    <t>Beast all over lace softbra</t>
  </si>
  <si>
    <t>Beast C&amp;S body</t>
  </si>
  <si>
    <t>Beast leo lace hw bottom</t>
  </si>
  <si>
    <t>Beast padded soft bra</t>
  </si>
  <si>
    <t>Beast Push Melbourne</t>
  </si>
  <si>
    <t>Beast soft bra galloon lace</t>
  </si>
  <si>
    <t>Beast SP Bralette</t>
  </si>
  <si>
    <t>Beast wireless push chicago</t>
  </si>
  <si>
    <t>Beata aliceband</t>
  </si>
  <si>
    <t>Beauty Small Cross Bag</t>
  </si>
  <si>
    <t>Bebe SL-set (J)</t>
  </si>
  <si>
    <t>Bebe Sl-set s.9 repeat (J)</t>
  </si>
  <si>
    <t>Becca denim</t>
  </si>
  <si>
    <t>Becca skirt</t>
  </si>
  <si>
    <t>Becka hoodie</t>
  </si>
  <si>
    <t>BECKY DENIM SKIRT S.0</t>
  </si>
  <si>
    <t>Becky softpant</t>
  </si>
  <si>
    <t>Beetle beanie new</t>
  </si>
  <si>
    <t>Beetroot jumpsuit.</t>
  </si>
  <si>
    <t>Beldade Body</t>
  </si>
  <si>
    <t>Belinda</t>
  </si>
  <si>
    <t>Belinda jumpsuit</t>
  </si>
  <si>
    <t>Bell</t>
  </si>
  <si>
    <t>Bell saddle bag</t>
  </si>
  <si>
    <t>Bella</t>
  </si>
  <si>
    <t>Bella Biker Leggings</t>
  </si>
  <si>
    <t>Bella dobby skirt</t>
  </si>
  <si>
    <t>Bella l/s</t>
  </si>
  <si>
    <t>Bella Push Ctn 2p</t>
  </si>
  <si>
    <t>Bella skirt</t>
  </si>
  <si>
    <t>BELLA SS SHIRT S9</t>
  </si>
  <si>
    <t>Bella waistbelt</t>
  </si>
  <si>
    <t>Bellagio body</t>
  </si>
  <si>
    <t>Bellatrix</t>
  </si>
  <si>
    <t>Belle jumpsuit</t>
  </si>
  <si>
    <t>Bellini price CF</t>
  </si>
  <si>
    <t>Bellora</t>
  </si>
  <si>
    <t>Bellora(1)</t>
  </si>
  <si>
    <t>Belter Highw Brazilian xcheeky</t>
  </si>
  <si>
    <t>Belter Padded Swimsuit</t>
  </si>
  <si>
    <t>Ben s/s polo TP</t>
  </si>
  <si>
    <t>BENDELA LS</t>
  </si>
  <si>
    <t>Bengal Scarf</t>
  </si>
  <si>
    <t>Benita</t>
  </si>
  <si>
    <t>Benjamin HW tapered trousers</t>
  </si>
  <si>
    <t>Benji leather jacket</t>
  </si>
  <si>
    <t>Bennett lace top</t>
  </si>
  <si>
    <t>Benny</t>
  </si>
  <si>
    <t>Benny fur coat</t>
  </si>
  <si>
    <t>Benny hip belt (1)</t>
  </si>
  <si>
    <t>Benny Shorts</t>
  </si>
  <si>
    <t>Beno wow skirt</t>
  </si>
  <si>
    <t>Bermuda</t>
  </si>
  <si>
    <t>Bermuda embroidery</t>
  </si>
  <si>
    <t>Bernhard tencel shirt</t>
  </si>
  <si>
    <t>Bernie</t>
  </si>
  <si>
    <t>Bernie (1)</t>
  </si>
  <si>
    <t>Bess</t>
  </si>
  <si>
    <t>Bess tee</t>
  </si>
  <si>
    <t>BETH JERSEY WRAP BLOUSE</t>
  </si>
  <si>
    <t>Beth round bag</t>
  </si>
  <si>
    <t>Bethany sneaker</t>
  </si>
  <si>
    <t>Betsy oversize v-neck</t>
  </si>
  <si>
    <t>Bettina</t>
  </si>
  <si>
    <t>Betty</t>
  </si>
  <si>
    <t>Betty cardigan</t>
  </si>
  <si>
    <t>Betty jumper trooper</t>
  </si>
  <si>
    <t>Beverly Hills brazilian cheeky</t>
  </si>
  <si>
    <t>Beverly Hills Tie Tanga</t>
  </si>
  <si>
    <t>Beverly Hills Wire Bra</t>
  </si>
  <si>
    <t>Beverly HW Loose Mom Fit Dnm</t>
  </si>
  <si>
    <t>Bianca</t>
  </si>
  <si>
    <t>Bianca blazer</t>
  </si>
  <si>
    <t>Bianca blouse</t>
  </si>
  <si>
    <t>Bianca body</t>
  </si>
  <si>
    <t>Bianca linen</t>
  </si>
  <si>
    <t>Bianca linen(1)</t>
  </si>
  <si>
    <t>Bianca longsleeve</t>
  </si>
  <si>
    <t>BIANCA SQUARE NECK BLOUSE</t>
  </si>
  <si>
    <t>Bianca strapless BIG</t>
  </si>
  <si>
    <t>Biarritz</t>
  </si>
  <si>
    <t>Big Arjuna crossbag</t>
  </si>
  <si>
    <t>Big Ringo hip belt</t>
  </si>
  <si>
    <t>Bigg pull-on shorts</t>
  </si>
  <si>
    <t>BIGGIE bomber</t>
  </si>
  <si>
    <t>Biker dress</t>
  </si>
  <si>
    <t>Biker Dress LS</t>
  </si>
  <si>
    <t>Biker dress Pinafore</t>
  </si>
  <si>
    <t>Biker HW Slim pants</t>
  </si>
  <si>
    <t>Biker pinafore Dress</t>
  </si>
  <si>
    <t>Bill</t>
  </si>
  <si>
    <t>Billie</t>
  </si>
  <si>
    <t>Billie Boot</t>
  </si>
  <si>
    <t>Billie high</t>
  </si>
  <si>
    <t>Billie high 2-pack</t>
  </si>
  <si>
    <t>BILLIE STRAW HAT</t>
  </si>
  <si>
    <t>Billie.</t>
  </si>
  <si>
    <t>Billy Cargo Pant</t>
  </si>
  <si>
    <t>Billy cargo pants</t>
  </si>
  <si>
    <t>Bimbette Coat</t>
  </si>
  <si>
    <t>Bingo</t>
  </si>
  <si>
    <t>Bird skirt</t>
  </si>
  <si>
    <t>Bird ss</t>
  </si>
  <si>
    <t>BIRD TANK</t>
  </si>
  <si>
    <t>Bird tee</t>
  </si>
  <si>
    <t>BIRD TEE</t>
  </si>
  <si>
    <t>Bird Top</t>
  </si>
  <si>
    <t>Birdie Jumpsuit (J)</t>
  </si>
  <si>
    <t>Birdie LL PJ (J)</t>
  </si>
  <si>
    <t>Birdy HW</t>
  </si>
  <si>
    <t>Birgit Tunic</t>
  </si>
  <si>
    <t>Bisbee</t>
  </si>
  <si>
    <t>Bitten trousers</t>
  </si>
  <si>
    <t>Blackjack top</t>
  </si>
  <si>
    <t>Blake</t>
  </si>
  <si>
    <t>Blake Slim fit trs</t>
  </si>
  <si>
    <t>Blake Slim LInen Blz</t>
  </si>
  <si>
    <t>Blanca</t>
  </si>
  <si>
    <t>Blanche fancy XMAS</t>
  </si>
  <si>
    <t>Blazer Dress</t>
  </si>
  <si>
    <t>Bling bling</t>
  </si>
  <si>
    <t>Bling dress</t>
  </si>
  <si>
    <t>Bliss Ch Hipster(Petunia)L  3p</t>
  </si>
  <si>
    <t>Bliss micro ch Hipster L 3p</t>
  </si>
  <si>
    <t>Bliss thong (Mynta) Low 3p</t>
  </si>
  <si>
    <t>BLIXEN tights</t>
  </si>
  <si>
    <t>Blondie Dress</t>
  </si>
  <si>
    <t>Bloom</t>
  </si>
  <si>
    <t>Bloom (1)</t>
  </si>
  <si>
    <t>Blouse on Fire</t>
  </si>
  <si>
    <t>Blue</t>
  </si>
  <si>
    <t>Bluebell Coat</t>
  </si>
  <si>
    <t>Blueberry</t>
  </si>
  <si>
    <t>BO basic OH BB</t>
  </si>
  <si>
    <t>Bo Puff Sleeve</t>
  </si>
  <si>
    <t>BOB PRINT</t>
  </si>
  <si>
    <t>BOB set</t>
  </si>
  <si>
    <t>BOB SOLID</t>
  </si>
  <si>
    <t>Bob V-neck</t>
  </si>
  <si>
    <t>Bob v-neck 2-pack</t>
  </si>
  <si>
    <t>Boba jardigan</t>
  </si>
  <si>
    <t>Bobby cut out boot</t>
  </si>
  <si>
    <t>Bobby skirt</t>
  </si>
  <si>
    <t>BOBBY SKIRT S.0</t>
  </si>
  <si>
    <t>Bobo Blouse</t>
  </si>
  <si>
    <t>Bodil Poncho</t>
  </si>
  <si>
    <t>Bohwalli boot</t>
  </si>
  <si>
    <t>Boilersuit need new PN</t>
  </si>
  <si>
    <t>Bolivar espadrille</t>
  </si>
  <si>
    <t>Bolton trousers RW</t>
  </si>
  <si>
    <t>Bon boot</t>
  </si>
  <si>
    <t>Bon cardigan</t>
  </si>
  <si>
    <t>Bon Jovi follow up</t>
  </si>
  <si>
    <t>Bondi Babe Padded Swimsuit</t>
  </si>
  <si>
    <t>Bondi Babe Price Swimsuit</t>
  </si>
  <si>
    <t>Bones paperbag waist HW</t>
  </si>
  <si>
    <t>Boneta WL boot</t>
  </si>
  <si>
    <t>BONGO CONCIOUS</t>
  </si>
  <si>
    <t>BONGO LS TVP</t>
  </si>
  <si>
    <t>Bonita WH tapered</t>
  </si>
  <si>
    <t>Bonnie</t>
  </si>
  <si>
    <t>Bonnie denim shorts</t>
  </si>
  <si>
    <t>Bonnie flowy blouse</t>
  </si>
  <si>
    <t>Bonnie Woven Slacks</t>
  </si>
  <si>
    <t>Bono hip belt</t>
  </si>
  <si>
    <t>Bono NW slim denim</t>
  </si>
  <si>
    <t>Bonus</t>
  </si>
  <si>
    <t>Bonus(1)</t>
  </si>
  <si>
    <t>Boo boot</t>
  </si>
  <si>
    <t>Boo Coat</t>
  </si>
  <si>
    <t>Bootcut R.W</t>
  </si>
  <si>
    <t>Booty Jean RW Denim</t>
  </si>
  <si>
    <t>Bootylicious Top</t>
  </si>
  <si>
    <t>Bora Bora</t>
  </si>
  <si>
    <t>Bora Bora Rtw dress</t>
  </si>
  <si>
    <t>Borat Sweatpants</t>
  </si>
  <si>
    <t>BORIS</t>
  </si>
  <si>
    <t>Borrow Wedding dress</t>
  </si>
  <si>
    <t>Boston rodeo</t>
  </si>
  <si>
    <t>BOULEVARD TEE TVP</t>
  </si>
  <si>
    <t>Boulevard- TVP- TM</t>
  </si>
  <si>
    <t>Bounty</t>
  </si>
  <si>
    <t>BOUNTY</t>
  </si>
  <si>
    <t>Bow buckle HW</t>
  </si>
  <si>
    <t>Bow HW paperwaist</t>
  </si>
  <si>
    <t>Bow paperwaist</t>
  </si>
  <si>
    <t>Bow PU trouser</t>
  </si>
  <si>
    <t>Bowie</t>
  </si>
  <si>
    <t>Bowie premium blouse</t>
  </si>
  <si>
    <t>Bowie section speed</t>
  </si>
  <si>
    <t>BowWow Padded Bandeau</t>
  </si>
  <si>
    <t>Bowy</t>
  </si>
  <si>
    <t>Box 4p Tights</t>
  </si>
  <si>
    <t>Boxer</t>
  </si>
  <si>
    <t>Boxholm</t>
  </si>
  <si>
    <t>Boy Denim Shorts</t>
  </si>
  <si>
    <t>Boyfriend L.W</t>
  </si>
  <si>
    <t>Boyfriend L.W FEL</t>
  </si>
  <si>
    <t>Boyfriend L.W Petite</t>
  </si>
  <si>
    <t>Boyfriend L.W.</t>
  </si>
  <si>
    <t>Boyfriend LW</t>
  </si>
  <si>
    <t>Boyfriend Short</t>
  </si>
  <si>
    <t>Boyfriend Shorts</t>
  </si>
  <si>
    <t>Boyfriend Shorts NEW PN</t>
  </si>
  <si>
    <t>Brad LW BF Denim TRS</t>
  </si>
  <si>
    <t>Bradley</t>
  </si>
  <si>
    <t>Bradley top</t>
  </si>
  <si>
    <t>Bradley trousers</t>
  </si>
  <si>
    <t>Bradley.</t>
  </si>
  <si>
    <t>Braid dress</t>
  </si>
  <si>
    <t>Brandy Party Denim</t>
  </si>
  <si>
    <t>Brandy Printed Twill</t>
  </si>
  <si>
    <t>Bravura dress</t>
  </si>
  <si>
    <t>Brazil</t>
  </si>
  <si>
    <t>Brazil Trousers</t>
  </si>
  <si>
    <t>Breadwinner Cheeky Brief</t>
  </si>
  <si>
    <t>Breadwinner Top</t>
  </si>
  <si>
    <t>Bree Bandana 3</t>
  </si>
  <si>
    <t>Brenda elastic(1)</t>
  </si>
  <si>
    <t>BRENDA LACE UP</t>
  </si>
  <si>
    <t>Brenda lace up</t>
  </si>
  <si>
    <t>Brett jumper</t>
  </si>
  <si>
    <t>Brian cargo (1)</t>
  </si>
  <si>
    <t>Bricka plisse</t>
  </si>
  <si>
    <t>BRIDGET Sweater</t>
  </si>
  <si>
    <t>Bridget Sweater TVP</t>
  </si>
  <si>
    <t>Brie boot</t>
  </si>
  <si>
    <t>Brienne parka</t>
  </si>
  <si>
    <t>Brighton wrap dress</t>
  </si>
  <si>
    <t>Bristol</t>
  </si>
  <si>
    <t>Bristol jersey blz</t>
  </si>
  <si>
    <t>Brit Baby Tee</t>
  </si>
  <si>
    <t>Britney</t>
  </si>
  <si>
    <t>Britney baguette cross</t>
  </si>
  <si>
    <t>Brittany LS</t>
  </si>
  <si>
    <t>Brix skirt</t>
  </si>
  <si>
    <t>BROADWAY S.0</t>
  </si>
  <si>
    <t>BROADWAY S.9</t>
  </si>
  <si>
    <t>BROADWAY SHIRT S.1</t>
  </si>
  <si>
    <t>Brody</t>
  </si>
  <si>
    <t>Bronn culotte jumpsuit</t>
  </si>
  <si>
    <t>BRONTE ankle HW tights</t>
  </si>
  <si>
    <t>Brooke raw cut ss</t>
  </si>
  <si>
    <t>Brooke Shorts R.W</t>
  </si>
  <si>
    <t>Brooklyn</t>
  </si>
  <si>
    <t>Brooklyn cargo trousers TP</t>
  </si>
  <si>
    <t>Bros PQ pump</t>
  </si>
  <si>
    <t>Brownie</t>
  </si>
  <si>
    <t>Bruce skinny 5 pkt fancy</t>
  </si>
  <si>
    <t>Bruce Skinny 5-pkt Trs</t>
  </si>
  <si>
    <t>Bruce Skinny Denim</t>
  </si>
  <si>
    <t>Bruce Skinny Denim Trs</t>
  </si>
  <si>
    <t>Bruna tencel</t>
  </si>
  <si>
    <t>Bruno Hood</t>
  </si>
  <si>
    <t>Bruno Scarf</t>
  </si>
  <si>
    <t>Brussels trenchcoat</t>
  </si>
  <si>
    <t>Bubble Bum Bandeau (1)</t>
  </si>
  <si>
    <t>Bubble Bum Cheeky Brief</t>
  </si>
  <si>
    <t>Bubble fur</t>
  </si>
  <si>
    <t>Bubble Trench Coat</t>
  </si>
  <si>
    <t>BUBBLE WRAP TOP</t>
  </si>
  <si>
    <t>Buckingham Blouse</t>
  </si>
  <si>
    <t>Buckingham cardigan</t>
  </si>
  <si>
    <t>Buckle Roo Triangle Top</t>
  </si>
  <si>
    <t>Buckle Up Cheeky Brief</t>
  </si>
  <si>
    <t>Buckle Up Triangle Top</t>
  </si>
  <si>
    <t>Bueno top</t>
  </si>
  <si>
    <t>Buffalo party dress</t>
  </si>
  <si>
    <t>Buffe Padded</t>
  </si>
  <si>
    <t>Bugg (2)</t>
  </si>
  <si>
    <t>Bugg blazer</t>
  </si>
  <si>
    <t>Bullfinch</t>
  </si>
  <si>
    <t>Bun t-shirt</t>
  </si>
  <si>
    <t>Bunny Button Tank</t>
  </si>
  <si>
    <t>Bunny fur cardigan ISW46</t>
  </si>
  <si>
    <t>Bunny fur jacket</t>
  </si>
  <si>
    <t>Burbank pull on skirt</t>
  </si>
  <si>
    <t>Burma</t>
  </si>
  <si>
    <t>Burmilla (1)</t>
  </si>
  <si>
    <t>Burmilla blazer</t>
  </si>
  <si>
    <t>Burt Boot (bunny)</t>
  </si>
  <si>
    <t>Buzz Bikini</t>
  </si>
  <si>
    <t>Buzz padded soft bra back det</t>
  </si>
  <si>
    <t>Buzz SP Bralette</t>
  </si>
  <si>
    <t>Buzz strappy brazilian</t>
  </si>
  <si>
    <t>Buzz strappy padded abeline</t>
  </si>
  <si>
    <t>Buzz thong</t>
  </si>
  <si>
    <t>BYN Vishnu dress</t>
  </si>
  <si>
    <t>BYRON</t>
  </si>
  <si>
    <t>BYRON ankletights HW</t>
  </si>
  <si>
    <t>Byron cashmere trs</t>
  </si>
  <si>
    <t>Byron maxi dress</t>
  </si>
  <si>
    <t>BYRON STRUCTURE SWEATER</t>
  </si>
  <si>
    <t>C Antibes Tie Tanga</t>
  </si>
  <si>
    <t>C Antibes Triangle</t>
  </si>
  <si>
    <t>C Jackpot Swimsuit</t>
  </si>
  <si>
    <t>C Montauk Bandeau</t>
  </si>
  <si>
    <t>C Montauk Highwaist Brazilian</t>
  </si>
  <si>
    <t>CA Berlin</t>
  </si>
  <si>
    <t>CA Gustavsberg TVP</t>
  </si>
  <si>
    <t>CA Hugh Linen shirt TVP R</t>
  </si>
  <si>
    <t>Cabomba Mock Neck Tank</t>
  </si>
  <si>
    <t>Cactus Coat</t>
  </si>
  <si>
    <t>Cake Top</t>
  </si>
  <si>
    <t>Cala dress</t>
  </si>
  <si>
    <t>Cala WL</t>
  </si>
  <si>
    <t>Calamare Blazer</t>
  </si>
  <si>
    <t>Calamare Pants</t>
  </si>
  <si>
    <t>CALEXICO</t>
  </si>
  <si>
    <t>Calgary Cardigan</t>
  </si>
  <si>
    <t>Calgary Long Cardigan</t>
  </si>
  <si>
    <t>CALI OFF SHOULDER</t>
  </si>
  <si>
    <t>Cali PU</t>
  </si>
  <si>
    <t>Cali Wide HW</t>
  </si>
  <si>
    <t>California King Push Up</t>
  </si>
  <si>
    <t>California King Tanga</t>
  </si>
  <si>
    <t>Calista (1)</t>
  </si>
  <si>
    <t>Calista Cable</t>
  </si>
  <si>
    <t>Calista cardigan.</t>
  </si>
  <si>
    <t>Calista dress</t>
  </si>
  <si>
    <t>Calista.</t>
  </si>
  <si>
    <t>Call me  low rise brief</t>
  </si>
  <si>
    <t>Call Me Triangle Top</t>
  </si>
  <si>
    <t>CALLISTO ski jkt</t>
  </si>
  <si>
    <t>Calvi short sleeve dress</t>
  </si>
  <si>
    <t>Cambridge dress</t>
  </si>
  <si>
    <t>Camden s/s tee</t>
  </si>
  <si>
    <t>Camilla dress</t>
  </si>
  <si>
    <t>Camilla Dress</t>
  </si>
  <si>
    <t>Camille</t>
  </si>
  <si>
    <t>Camille cardigan</t>
  </si>
  <si>
    <t>Camille Cardigan</t>
  </si>
  <si>
    <t>CAMP Etienne Sl-set (W)</t>
  </si>
  <si>
    <t>Camp HW trouser</t>
  </si>
  <si>
    <t>CAMP Ines Sl-set (W)</t>
  </si>
  <si>
    <t>CAMP Twain  n-slip (W)</t>
  </si>
  <si>
    <t>CAMP Twain LL pj (W)</t>
  </si>
  <si>
    <t>CAMP Twain Sl-set (W)</t>
  </si>
  <si>
    <t>Campaign Boliersuit Utility</t>
  </si>
  <si>
    <t>Campari</t>
  </si>
  <si>
    <t>Campolina</t>
  </si>
  <si>
    <t>Canada Cardigan</t>
  </si>
  <si>
    <t>CANARY RW shorts</t>
  </si>
  <si>
    <t>Candy chain cross</t>
  </si>
  <si>
    <t>Candy Cross</t>
  </si>
  <si>
    <t>Capone</t>
  </si>
  <si>
    <t>Cappuccino</t>
  </si>
  <si>
    <t>Capri blazer</t>
  </si>
  <si>
    <t>Capri cardigan</t>
  </si>
  <si>
    <t>Capri tencel shirt dress</t>
  </si>
  <si>
    <t>Captain Body</t>
  </si>
  <si>
    <t>Cara top</t>
  </si>
  <si>
    <t>Caracas</t>
  </si>
  <si>
    <t>Cardamom Balconette</t>
  </si>
  <si>
    <t>Cardamom Hipster</t>
  </si>
  <si>
    <t>Cardamom push bralette</t>
  </si>
  <si>
    <t>Cardamom Push Valencia</t>
  </si>
  <si>
    <t>Cardamom SP Andes Back Detail</t>
  </si>
  <si>
    <t>Cardamom thong</t>
  </si>
  <si>
    <t>Cardeo</t>
  </si>
  <si>
    <t>CARINA bra</t>
  </si>
  <si>
    <t>Carina Dress</t>
  </si>
  <si>
    <t>CARINA HIGH SUPPORT BRA</t>
  </si>
  <si>
    <t>Carina high support bra</t>
  </si>
  <si>
    <t>Carina skirt</t>
  </si>
  <si>
    <t>Carino</t>
  </si>
  <si>
    <t>Carl Padded Jacket</t>
  </si>
  <si>
    <t>Carla cropped parka</t>
  </si>
  <si>
    <t>Carla culotte</t>
  </si>
  <si>
    <t>Carla longleg</t>
  </si>
  <si>
    <t>Carla parka</t>
  </si>
  <si>
    <t>Carley off-shoulder dress</t>
  </si>
  <si>
    <t>Carly cabel knitted jumper</t>
  </si>
  <si>
    <t>Carly Dress</t>
  </si>
  <si>
    <t>Carly longleg jumpsuit</t>
  </si>
  <si>
    <t>carly v-neck</t>
  </si>
  <si>
    <t>carly v-neck(1)</t>
  </si>
  <si>
    <t>Carmen top</t>
  </si>
  <si>
    <t>Carmencita ss dress j</t>
  </si>
  <si>
    <t>Carmensita dress j</t>
  </si>
  <si>
    <t>Carmensita l/s dress</t>
  </si>
  <si>
    <t>Carola boot</t>
  </si>
  <si>
    <t>Carola sweater</t>
  </si>
  <si>
    <t>Carola Thong micro (maple) 3p</t>
  </si>
  <si>
    <t>Carole Dress</t>
  </si>
  <si>
    <t>Carolina ankle</t>
  </si>
  <si>
    <t>Carolina Chelsea boot.</t>
  </si>
  <si>
    <t>Caroline lace jumpsuit</t>
  </si>
  <si>
    <t>Carrie Kaftan.</t>
  </si>
  <si>
    <t>Carrie Twisted Back Tee</t>
  </si>
  <si>
    <t>Cartier (1)</t>
  </si>
  <si>
    <t>Casa Amor</t>
  </si>
  <si>
    <t>Casablanca wd blazer</t>
  </si>
  <si>
    <t>Case tote</t>
  </si>
  <si>
    <t>Casey HW straight trousers</t>
  </si>
  <si>
    <t>Cash jumpsuit</t>
  </si>
  <si>
    <t>Cash Padded Balconette</t>
  </si>
  <si>
    <t>Cash Padded StraplessBody</t>
  </si>
  <si>
    <t>Cash Thong Malva Low 2p</t>
  </si>
  <si>
    <t>Cashew HW straight denim</t>
  </si>
  <si>
    <t>Cashie Boot(1)</t>
  </si>
  <si>
    <t>Casino Dress</t>
  </si>
  <si>
    <t>Casper c&amp;s push</t>
  </si>
  <si>
    <t>Casper push bralette straps</t>
  </si>
  <si>
    <t>Cassie Ch. Hipster (Poppy) 3pk</t>
  </si>
  <si>
    <t>Cassie tank</t>
  </si>
  <si>
    <t>CASSIM ROLLNECK</t>
  </si>
  <si>
    <t>CASSIM ROLLNECK MERINO</t>
  </si>
  <si>
    <t>CASSIM SLIM ROLLNECK</t>
  </si>
  <si>
    <t>Cassis</t>
  </si>
  <si>
    <t>Castle Black paper bag skirt</t>
  </si>
  <si>
    <t>Castle maxi dress</t>
  </si>
  <si>
    <t>Cat Tee</t>
  </si>
  <si>
    <t>Cava Dress (1)</t>
  </si>
  <si>
    <t>Cava Shirt dress</t>
  </si>
  <si>
    <t>Cavalier lace top</t>
  </si>
  <si>
    <t>Cavalier top</t>
  </si>
  <si>
    <t>Cavalier top Crepe</t>
  </si>
  <si>
    <t>Cayenne</t>
  </si>
  <si>
    <t>Cayenne balconette</t>
  </si>
  <si>
    <t>Cayenne highwaist (1)</t>
  </si>
  <si>
    <t>CE Fluorite dress</t>
  </si>
  <si>
    <t>CE Infinity coat</t>
  </si>
  <si>
    <t>CE Moonstone dress</t>
  </si>
  <si>
    <t>CE Sapphire dress</t>
  </si>
  <si>
    <t>CE Serpent dress</t>
  </si>
  <si>
    <t>CE Session dress</t>
  </si>
  <si>
    <t>CE Sodalite dress</t>
  </si>
  <si>
    <t>CE Topaz dress</t>
  </si>
  <si>
    <t>Cecilia 2 p shorts (W)</t>
  </si>
  <si>
    <t>Cecilia jumpsuit (W)</t>
  </si>
  <si>
    <t>Cecilia Kimono (W)</t>
  </si>
  <si>
    <t>Cecilia maxi</t>
  </si>
  <si>
    <t>Cecilia Skirt</t>
  </si>
  <si>
    <t>Cecilia top</t>
  </si>
  <si>
    <t>Ceder Coat</t>
  </si>
  <si>
    <t>Celeste Shirt Dress</t>
  </si>
  <si>
    <t>Celine shearling</t>
  </si>
  <si>
    <t>CERISE top</t>
  </si>
  <si>
    <t>Chain reaction dress</t>
  </si>
  <si>
    <t>Chaka linnen</t>
  </si>
  <si>
    <t>Champagne</t>
  </si>
  <si>
    <t>Chandler dress</t>
  </si>
  <si>
    <t>Chandler long V-neck TVP</t>
  </si>
  <si>
    <t>Chantei</t>
  </si>
  <si>
    <t>Charlene cardigan</t>
  </si>
  <si>
    <t>Charles</t>
  </si>
  <si>
    <t>Charli hood</t>
  </si>
  <si>
    <t>Charlie dress</t>
  </si>
  <si>
    <t>CHARLIE SKIRT</t>
  </si>
  <si>
    <t>Charlie Skirt</t>
  </si>
  <si>
    <t>Charlie Top</t>
  </si>
  <si>
    <t>Charlie top</t>
  </si>
  <si>
    <t>Charlott 2pk padded bra</t>
  </si>
  <si>
    <t>Charlotte Bikini Lotus Low</t>
  </si>
  <si>
    <t>Charlotte Body Push Melbourne</t>
  </si>
  <si>
    <t>Charlotte bralette laguna opt2</t>
  </si>
  <si>
    <t>Charlotte Brazilian Aza.Low 2p</t>
  </si>
  <si>
    <t>Charlotte chicago</t>
  </si>
  <si>
    <t>Charlotte cut padding (1)</t>
  </si>
  <si>
    <t>Charlotte highwaist hipster</t>
  </si>
  <si>
    <t>Charlotte Kimono</t>
  </si>
  <si>
    <t>Charlotte Padded Milano Cradle</t>
  </si>
  <si>
    <t>Charlotte Padded Rio Wireless</t>
  </si>
  <si>
    <t>Charlotte Padded Soft Bra H&amp;E</t>
  </si>
  <si>
    <t>Charlotte Padded Wire</t>
  </si>
  <si>
    <t>Charlotte Pull On Soft Bra</t>
  </si>
  <si>
    <t>Charlotte Push Back Detail</t>
  </si>
  <si>
    <t>Charlotte Push Body Micro</t>
  </si>
  <si>
    <t>Charlotte Push Melbourne</t>
  </si>
  <si>
    <t>Charlotte PushMelbourne</t>
  </si>
  <si>
    <t>Charlotte Soft  Body</t>
  </si>
  <si>
    <t>Charlotte SP Andes</t>
  </si>
  <si>
    <t>Charlotte SP body Andes 1</t>
  </si>
  <si>
    <t>Charlotte SP N-Slip Andes</t>
  </si>
  <si>
    <t>Charlotte SP Straps Andes</t>
  </si>
  <si>
    <t>Charlotte strappy thong</t>
  </si>
  <si>
    <t>Charlotte Suspenderbelt waist</t>
  </si>
  <si>
    <t>Charlotte Unpadded Wire</t>
  </si>
  <si>
    <t>Charlotte Wireless Abeline</t>
  </si>
  <si>
    <t>Charmaine Coat</t>
  </si>
  <si>
    <t>charmed shorts</t>
  </si>
  <si>
    <t>Chase leather skirt</t>
  </si>
  <si>
    <t>CHEERY SKIRT S.0</t>
  </si>
  <si>
    <t>Chelsea wd blazer TP</t>
  </si>
  <si>
    <t>Chenille 2p Lounge sock</t>
  </si>
  <si>
    <t>Cher Jumpsuit 1</t>
  </si>
  <si>
    <t>CHER PU SKIRT</t>
  </si>
  <si>
    <t>Cher skirt</t>
  </si>
  <si>
    <t>Cheri knitted jumper</t>
  </si>
  <si>
    <t>Cherie knitted dress</t>
  </si>
  <si>
    <t>Cherry HW Tapered</t>
  </si>
  <si>
    <t>CHERRY JRSY SKIRT</t>
  </si>
  <si>
    <t>Cherry playsuit</t>
  </si>
  <si>
    <t>Cherry playsuit(1)</t>
  </si>
  <si>
    <t>Chestnut strap top</t>
  </si>
  <si>
    <t>Cheval</t>
  </si>
  <si>
    <t>Chia Seamless HW Tights</t>
  </si>
  <si>
    <t>Chiara</t>
  </si>
  <si>
    <t>Chiara body</t>
  </si>
  <si>
    <t>Chiba</t>
  </si>
  <si>
    <t>Chiba Dress</t>
  </si>
  <si>
    <t>Chica</t>
  </si>
  <si>
    <t>Chicago</t>
  </si>
  <si>
    <t>Chicago dress</t>
  </si>
  <si>
    <t>Chicago Twill Trousers</t>
  </si>
  <si>
    <t>Chickadee Jumpsuit</t>
  </si>
  <si>
    <t>Chicken jumpsuit</t>
  </si>
  <si>
    <t>Chihuhua</t>
  </si>
  <si>
    <t>Chili blazer</t>
  </si>
  <si>
    <t>Chilli shorts</t>
  </si>
  <si>
    <t>Chinchilla</t>
  </si>
  <si>
    <t>Chip</t>
  </si>
  <si>
    <t>Chive Jacket</t>
  </si>
  <si>
    <t>Chloe</t>
  </si>
  <si>
    <t>CHLOE S.0</t>
  </si>
  <si>
    <t>Chloe sweatshirt</t>
  </si>
  <si>
    <t>Choc wide HW trousers</t>
  </si>
  <si>
    <t>Chocolatechip dress</t>
  </si>
  <si>
    <t>Chopin HW</t>
  </si>
  <si>
    <t>Chore Jacket</t>
  </si>
  <si>
    <t>Chris 3pk  Fancy</t>
  </si>
  <si>
    <t>Chris 3pk Fancy new</t>
  </si>
  <si>
    <t>Chris 3pk R basic mid trunks</t>
  </si>
  <si>
    <t>Chris crepe shoe</t>
  </si>
  <si>
    <t>Chrissie Padded Soft Bra Opt.2</t>
  </si>
  <si>
    <t>Christel knitted jumper</t>
  </si>
  <si>
    <t>Christian sunglasses</t>
  </si>
  <si>
    <t>Christie Dress</t>
  </si>
  <si>
    <t>Christina boot(1)</t>
  </si>
  <si>
    <t>Christina mid</t>
  </si>
  <si>
    <t>CHROME CREWNECK PROGRAM</t>
  </si>
  <si>
    <t>CHUTNEY SHIRT</t>
  </si>
  <si>
    <t>Chutney sleeveless</t>
  </si>
  <si>
    <t>Cia</t>
  </si>
  <si>
    <t>Cia skirt</t>
  </si>
  <si>
    <t>Ciara wide cropped HW</t>
  </si>
  <si>
    <t>Cilantro</t>
  </si>
  <si>
    <t>Cinderella</t>
  </si>
  <si>
    <t>Cinderella 1</t>
  </si>
  <si>
    <t>Cinderella fold</t>
  </si>
  <si>
    <t>Cinderella fold fluff</t>
  </si>
  <si>
    <t>Cindy blouse</t>
  </si>
  <si>
    <t>Cindy Jumpsuit TRIS</t>
  </si>
  <si>
    <t>Cindy Shimmer Body</t>
  </si>
  <si>
    <t>CINNA BAKERBOY CAP</t>
  </si>
  <si>
    <t>Cinnamon jumpsuit</t>
  </si>
  <si>
    <t>CINNAMON tight yoga strap top</t>
  </si>
  <si>
    <t>Cissel jersey trs flared RW</t>
  </si>
  <si>
    <t>Cissi tube top</t>
  </si>
  <si>
    <t>Citrus</t>
  </si>
  <si>
    <t>CLARA TEE</t>
  </si>
  <si>
    <t>Clara wedge</t>
  </si>
  <si>
    <t>Clarence back detail Melbourne</t>
  </si>
  <si>
    <t>Clarence back detail Valencia</t>
  </si>
  <si>
    <t>Clarence hipster (1)</t>
  </si>
  <si>
    <t>Clarence Push Wireless Farg</t>
  </si>
  <si>
    <t>Clarita wedge</t>
  </si>
  <si>
    <t>Clash HW PU</t>
  </si>
  <si>
    <t>Class Amelie necklace</t>
  </si>
  <si>
    <t>Class Carol hoop pk RT</t>
  </si>
  <si>
    <t>Class Cassie hoop pk</t>
  </si>
  <si>
    <t>Class Judit necklace</t>
  </si>
  <si>
    <t>Class Monica necklace</t>
  </si>
  <si>
    <t>Classic Boilersuit</t>
  </si>
  <si>
    <t>Classic Pilot sunglasses</t>
  </si>
  <si>
    <t>claudine</t>
  </si>
  <si>
    <t>Claudine</t>
  </si>
  <si>
    <t>Claudine (1)</t>
  </si>
  <si>
    <t>Claudine rib</t>
  </si>
  <si>
    <t>Claudine t-shirt</t>
  </si>
  <si>
    <t>CLAY slim selvedge</t>
  </si>
  <si>
    <t>CLAY TEE</t>
  </si>
  <si>
    <t>Clement</t>
  </si>
  <si>
    <t>Clementine dress</t>
  </si>
  <si>
    <t>CLEMENTINE SKIRT</t>
  </si>
  <si>
    <t>Clemenza push bralette</t>
  </si>
  <si>
    <t>Clemenza soft bra</t>
  </si>
  <si>
    <t>Cleo</t>
  </si>
  <si>
    <t>Clingy Dress</t>
  </si>
  <si>
    <t>Clivy Blouse</t>
  </si>
  <si>
    <t>Clubba sunglasses</t>
  </si>
  <si>
    <t>cluedo tank</t>
  </si>
  <si>
    <t>Cluny boho dress</t>
  </si>
  <si>
    <t>Cobra Constructed</t>
  </si>
  <si>
    <t>Cobra Fluff</t>
  </si>
  <si>
    <t>Cobra HW slim PU</t>
  </si>
  <si>
    <t>Coco</t>
  </si>
  <si>
    <t>Coco crinkle</t>
  </si>
  <si>
    <t>Coco dress</t>
  </si>
  <si>
    <t>Coco skirt</t>
  </si>
  <si>
    <t>Coco utility</t>
  </si>
  <si>
    <t>Coco(1)</t>
  </si>
  <si>
    <t>COCONUT S.0</t>
  </si>
  <si>
    <t>Cocos (1)</t>
  </si>
  <si>
    <t>Cocos sh/slv rib cashmere</t>
  </si>
  <si>
    <t>Coin HW tapered</t>
  </si>
  <si>
    <t>Cold Shoulder Top</t>
  </si>
  <si>
    <t>COLETTE PUSH UP BRA</t>
  </si>
  <si>
    <t>COLETTE push up sport bra</t>
  </si>
  <si>
    <t>Colibri</t>
  </si>
  <si>
    <t>Colombia sandalette</t>
  </si>
  <si>
    <t>Colosseum</t>
  </si>
  <si>
    <t>Columbine Padded Soft Bra</t>
  </si>
  <si>
    <t>Columbine Push Melbourne</t>
  </si>
  <si>
    <t>Columbine SP Andes</t>
  </si>
  <si>
    <t>Come Clean X-Cheeky V-brief</t>
  </si>
  <si>
    <t>Common</t>
  </si>
  <si>
    <t>Common(1)</t>
  </si>
  <si>
    <t>Como dress</t>
  </si>
  <si>
    <t>Como knitted jumper</t>
  </si>
  <si>
    <t>Como shorts</t>
  </si>
  <si>
    <t>CONNIE CULOTTE</t>
  </si>
  <si>
    <t>Connie l/s dress</t>
  </si>
  <si>
    <t>Conny</t>
  </si>
  <si>
    <t>Contrast</t>
  </si>
  <si>
    <t>Contrast blouse</t>
  </si>
  <si>
    <t>Control Lt 40 den 2p Tights</t>
  </si>
  <si>
    <t>Control Top 100 den 1p Tights</t>
  </si>
  <si>
    <t>Control Top 15 den 1p Tights</t>
  </si>
  <si>
    <t>Control Top 200 den 1p Tights</t>
  </si>
  <si>
    <t>Control Top 30 den 1p Tights</t>
  </si>
  <si>
    <t>Control Top 50 den 1p Tights</t>
  </si>
  <si>
    <t>Cookie Dough Dress</t>
  </si>
  <si>
    <t>Cool Bella necklace</t>
  </si>
  <si>
    <t>Cool Bree Bandana 2</t>
  </si>
  <si>
    <t>Cool Edith 2p headband</t>
  </si>
  <si>
    <t>Cool Mia hoop pk</t>
  </si>
  <si>
    <t>Cool tiebelt dressed</t>
  </si>
  <si>
    <t>Cool Vesper watch</t>
  </si>
  <si>
    <t>Coolio sandal</t>
  </si>
  <si>
    <t>Coolio sunglasses</t>
  </si>
  <si>
    <t>Copenhagen</t>
  </si>
  <si>
    <t>Copenhagen Fur</t>
  </si>
  <si>
    <t>Cora</t>
  </si>
  <si>
    <t>Cora Cross</t>
  </si>
  <si>
    <t>Cora Dress</t>
  </si>
  <si>
    <t>Cora sh/slv cashmere top</t>
  </si>
  <si>
    <t>Coral jumpsuit</t>
  </si>
  <si>
    <t>Cordelia skirt</t>
  </si>
  <si>
    <t>Cornelia Bandeau LP</t>
  </si>
  <si>
    <t>Cornelia Push Melbourne LP</t>
  </si>
  <si>
    <t>Cornelia softbra</t>
  </si>
  <si>
    <t>Coronado Lace</t>
  </si>
  <si>
    <t>Coronado Lace V-Neck</t>
  </si>
  <si>
    <t>Correy Muscle Fit Tee</t>
  </si>
  <si>
    <t>Correy tee.</t>
  </si>
  <si>
    <t>Cosy Cardigan</t>
  </si>
  <si>
    <t>Cosy mini shopper</t>
  </si>
  <si>
    <t>Cover Girl Shape Hipster</t>
  </si>
  <si>
    <t>Cow skirt</t>
  </si>
  <si>
    <t>COZY DORRI TOP</t>
  </si>
  <si>
    <t>COZY PIETER JOGGER</t>
  </si>
  <si>
    <t>COZY PIETER JOGGER(1)</t>
  </si>
  <si>
    <t>COZY TÄBY</t>
  </si>
  <si>
    <t>COZY TÄBY TIE</t>
  </si>
  <si>
    <t>COZY WRAP TOP LS</t>
  </si>
  <si>
    <t>Cranberry</t>
  </si>
  <si>
    <t>Crawford CK Sweater</t>
  </si>
  <si>
    <t>Crema lace insert</t>
  </si>
  <si>
    <t>CREW 19</t>
  </si>
  <si>
    <t>Cricket</t>
  </si>
  <si>
    <t>Crispy</t>
  </si>
  <si>
    <t>Croco knitted cardigan</t>
  </si>
  <si>
    <t>Croix wrap dress CS</t>
  </si>
  <si>
    <t>Croquette</t>
  </si>
  <si>
    <t>CROW RIB STRAP TOP</t>
  </si>
  <si>
    <t>Crown jersey trousers flare HW</t>
  </si>
  <si>
    <t>Crue blouse</t>
  </si>
  <si>
    <t>Cruella Fur Coat</t>
  </si>
  <si>
    <t>CRYSTAL soft sport tights</t>
  </si>
  <si>
    <t>CS Astrid</t>
  </si>
  <si>
    <t>CS Bengal</t>
  </si>
  <si>
    <t>CS Berlin</t>
  </si>
  <si>
    <t>CS Bonjour</t>
  </si>
  <si>
    <t>CS December</t>
  </si>
  <si>
    <t>CS DT Ginger Top</t>
  </si>
  <si>
    <t>CS Dunce Top</t>
  </si>
  <si>
    <t>CS EGRET BOHO BLOUSE</t>
  </si>
  <si>
    <t>CS Elephant</t>
  </si>
  <si>
    <t>CS Hawk smock dress</t>
  </si>
  <si>
    <t>CS Lana del ray</t>
  </si>
  <si>
    <t>CS MAGPIE WRAP BLOUSE</t>
  </si>
  <si>
    <t>CS Michelle</t>
  </si>
  <si>
    <t>CS Winehouse</t>
  </si>
  <si>
    <t>CS Zingo</t>
  </si>
  <si>
    <t>CSP Agneta Jump Suit</t>
  </si>
  <si>
    <t>CSP Alexis skirt</t>
  </si>
  <si>
    <t>CSP Alexis top</t>
  </si>
  <si>
    <t>CSP Alicia</t>
  </si>
  <si>
    <t>CSP Becker</t>
  </si>
  <si>
    <t>CSP BROWN BODY OL</t>
  </si>
  <si>
    <t>CSP Coronado lace sweater</t>
  </si>
  <si>
    <t>CSP Dina body</t>
  </si>
  <si>
    <t>CSP Eva</t>
  </si>
  <si>
    <t>CSP Grace body</t>
  </si>
  <si>
    <t>CSP Jolene</t>
  </si>
  <si>
    <t>CSP Jules top</t>
  </si>
  <si>
    <t>CSP Karolina</t>
  </si>
  <si>
    <t>CSP Malin Cardigan</t>
  </si>
  <si>
    <t>CSP Marre</t>
  </si>
  <si>
    <t>CSP Palace</t>
  </si>
  <si>
    <t>CSP VENUS</t>
  </si>
  <si>
    <t>CSS DAZZLE tee</t>
  </si>
  <si>
    <t>CSS PERLA loose tank</t>
  </si>
  <si>
    <t>Culotte</t>
  </si>
  <si>
    <t>Culotte H.W</t>
  </si>
  <si>
    <t>Culotte H.W Ankle Utility</t>
  </si>
  <si>
    <t>Curtis hood</t>
  </si>
  <si>
    <t>Curved PU Biker</t>
  </si>
  <si>
    <t>Curvy Jeggings HW Ankle</t>
  </si>
  <si>
    <t>Cusco Embroided Sweater</t>
  </si>
  <si>
    <t>Cusco PU</t>
  </si>
  <si>
    <t>Cycling Shorts</t>
  </si>
  <si>
    <t>Cymric linen blz</t>
  </si>
  <si>
    <t>Cypress cardigan</t>
  </si>
  <si>
    <t>D ED ELIN SKIRT EQ</t>
  </si>
  <si>
    <t>D. Kurt Denim (1)</t>
  </si>
  <si>
    <t>D. Kurt Pile Jacket</t>
  </si>
  <si>
    <t>D1 PE BELLE TRS</t>
  </si>
  <si>
    <t>D1 PE LISA JOGGER</t>
  </si>
  <si>
    <t>D1 PE LITTLE JACKET</t>
  </si>
  <si>
    <t>D1 PE NORI HIGHWAIST DENIM</t>
  </si>
  <si>
    <t>D1 PE PRINGLE KNIT</t>
  </si>
  <si>
    <t>D1 PE RAMLEY KNIT</t>
  </si>
  <si>
    <t>D1 PE VALERIE KNIT</t>
  </si>
  <si>
    <t>D2 PE - MARGOT BEANIE2</t>
  </si>
  <si>
    <t>D2 PE GARLAND TRS</t>
  </si>
  <si>
    <t>D2 PE KLUM KNIT</t>
  </si>
  <si>
    <t>D2 PE NORI STRETCH DENIM</t>
  </si>
  <si>
    <t>D2 PE PEACE KNIT</t>
  </si>
  <si>
    <t>D2 PE RUTH WOOL JERSEY</t>
  </si>
  <si>
    <t>D2 PE Valerie Knit</t>
  </si>
  <si>
    <t>Daffodil top</t>
  </si>
  <si>
    <t>Dag shoulder tote</t>
  </si>
  <si>
    <t>Dahlia Brazilian Azalea Low</t>
  </si>
  <si>
    <t>Dahlia high apex push kahlua</t>
  </si>
  <si>
    <t>Dahlia Padded Soft Body</t>
  </si>
  <si>
    <t>Dahlia Padded Soft Bra</t>
  </si>
  <si>
    <t>Dahlia Push Bralette</t>
  </si>
  <si>
    <t>Daiquiri</t>
  </si>
  <si>
    <t>Daiquiri Pull- On TRS</t>
  </si>
  <si>
    <t>Daisy Blouse</t>
  </si>
  <si>
    <t>Daisy tencel dress</t>
  </si>
  <si>
    <t>Dakar HW tapered</t>
  </si>
  <si>
    <t>Dalia hip belt</t>
  </si>
  <si>
    <t>Dalila dress</t>
  </si>
  <si>
    <t>Dalila sweater</t>
  </si>
  <si>
    <t>Dallas</t>
  </si>
  <si>
    <t>Dallas Slim HW PU TRS</t>
  </si>
  <si>
    <t>Dalle</t>
  </si>
  <si>
    <t>Dalle (1)</t>
  </si>
  <si>
    <t>Dalmatin plisse skirt</t>
  </si>
  <si>
    <t>Dalmatiner</t>
  </si>
  <si>
    <t>Dalston blazer</t>
  </si>
  <si>
    <t>Dalston dress</t>
  </si>
  <si>
    <t>Dame</t>
  </si>
  <si>
    <t>Danae jeans</t>
  </si>
  <si>
    <t>Dancer v-neck jumper</t>
  </si>
  <si>
    <t>Danderyd polo</t>
  </si>
  <si>
    <t>Daniel Shorts</t>
  </si>
  <si>
    <t>Daniel sweater</t>
  </si>
  <si>
    <t>Danja Sweater</t>
  </si>
  <si>
    <t>Danja Sweater TVP</t>
  </si>
  <si>
    <t>Danny Cheeky Tie Brief</t>
  </si>
  <si>
    <t>Danny Push up bra</t>
  </si>
  <si>
    <t>Danny Tie Brief</t>
  </si>
  <si>
    <t>Danny Top</t>
  </si>
  <si>
    <t>Dante</t>
  </si>
  <si>
    <t>Dante jumpsuit</t>
  </si>
  <si>
    <t>Daquiri</t>
  </si>
  <si>
    <t>Darby</t>
  </si>
  <si>
    <t>Darby blouse</t>
  </si>
  <si>
    <t>Dare</t>
  </si>
  <si>
    <t>Darko Sandal</t>
  </si>
  <si>
    <t>Darla dress</t>
  </si>
  <si>
    <t>Darling</t>
  </si>
  <si>
    <t>Darwin</t>
  </si>
  <si>
    <t>DASHA seamless low support bra</t>
  </si>
  <si>
    <t>Dave waistcoat</t>
  </si>
  <si>
    <t>David Kaftan</t>
  </si>
  <si>
    <t>Davos paper-bag waist shorts</t>
  </si>
  <si>
    <t>Davos tencel paper-bag shorts</t>
  </si>
  <si>
    <t>Dawn deco dress</t>
  </si>
  <si>
    <t>Dawn fur coat</t>
  </si>
  <si>
    <t>DAY seamless ls</t>
  </si>
  <si>
    <t>Day tote</t>
  </si>
  <si>
    <t>Daybyday HW</t>
  </si>
  <si>
    <t>Dayzy</t>
  </si>
  <si>
    <t>Dayzy linen</t>
  </si>
  <si>
    <t>Deana</t>
  </si>
  <si>
    <t>Debra Tee</t>
  </si>
  <si>
    <t>Deena</t>
  </si>
  <si>
    <t>Deidre jacket</t>
  </si>
  <si>
    <t>Delfi LS</t>
  </si>
  <si>
    <t>Delhi</t>
  </si>
  <si>
    <t>Delilah Plisse Dress</t>
  </si>
  <si>
    <t>DeLuca pull on TVP RW</t>
  </si>
  <si>
    <t>DeLuca pull on TVP RW TVP</t>
  </si>
  <si>
    <t>DeLuca pull-on jogger RW</t>
  </si>
  <si>
    <t>Demi l/s</t>
  </si>
  <si>
    <t>Demy Mockneck Dress</t>
  </si>
  <si>
    <t>DENISE S.8</t>
  </si>
  <si>
    <t>DENISE SHIRT S.0</t>
  </si>
  <si>
    <t>DENISE SHIRT S.9</t>
  </si>
  <si>
    <t>Denize cord</t>
  </si>
  <si>
    <t>Desert Highline Braz. Cheeky</t>
  </si>
  <si>
    <t>Desert Sport Top</t>
  </si>
  <si>
    <t>Desert Top</t>
  </si>
  <si>
    <t>Desert TRS</t>
  </si>
  <si>
    <t>Desiree off shoulder dress</t>
  </si>
  <si>
    <t>Despacito</t>
  </si>
  <si>
    <t>Despacito 1</t>
  </si>
  <si>
    <t>Despacito Riveria</t>
  </si>
  <si>
    <t>Devon</t>
  </si>
  <si>
    <t>Devon basic sweater</t>
  </si>
  <si>
    <t>Dexter fancy tank top</t>
  </si>
  <si>
    <t>Dexter long linenshirt</t>
  </si>
  <si>
    <t>DEXTER LOOSE TANK TOP</t>
  </si>
  <si>
    <t>Dexter Rib Tank</t>
  </si>
  <si>
    <t>DEXTER TANK</t>
  </si>
  <si>
    <t>Dia skirt</t>
  </si>
  <si>
    <t>Diana</t>
  </si>
  <si>
    <t>DIANA BRALETT S.0</t>
  </si>
  <si>
    <t>Diana jumpsuit</t>
  </si>
  <si>
    <t>Diana Maxi</t>
  </si>
  <si>
    <t>Didi HW Skinny denim</t>
  </si>
  <si>
    <t>Diego Blouse</t>
  </si>
  <si>
    <t>Diego denim shorts</t>
  </si>
  <si>
    <t>Dill skirt</t>
  </si>
  <si>
    <t>Dimanche shorts</t>
  </si>
  <si>
    <t>Dime HW</t>
  </si>
  <si>
    <t>Dina</t>
  </si>
  <si>
    <t>Dinara</t>
  </si>
  <si>
    <t>Dinara(1)</t>
  </si>
  <si>
    <t>Dingo tee</t>
  </si>
  <si>
    <t>DINGO TEE</t>
  </si>
  <si>
    <t>Dion coat</t>
  </si>
  <si>
    <t>Dionne Dress</t>
  </si>
  <si>
    <t>Dionne Jacquard Sweater</t>
  </si>
  <si>
    <t>Direction coat</t>
  </si>
  <si>
    <t>Disa</t>
  </si>
  <si>
    <t>Disa jacket</t>
  </si>
  <si>
    <t>Disco</t>
  </si>
  <si>
    <t>Dita dress</t>
  </si>
  <si>
    <t>Dita dress plus size</t>
  </si>
  <si>
    <t>Dita Slip Dress</t>
  </si>
  <si>
    <t>DIV Babe LS</t>
  </si>
  <si>
    <t>DIV Blossom PU biker</t>
  </si>
  <si>
    <t>DIV Carla Parka (1)</t>
  </si>
  <si>
    <t>DIV Fancy pants</t>
  </si>
  <si>
    <t>DIV Flora maxi</t>
  </si>
  <si>
    <t>DIV Jade HW trash</t>
  </si>
  <si>
    <t>DIV Jade HW Trash</t>
  </si>
  <si>
    <t>DIV Jersey blazer (1)</t>
  </si>
  <si>
    <t>DIV Karenia biker jkt</t>
  </si>
  <si>
    <t>DIV Kim dress</t>
  </si>
  <si>
    <t>DIV Lee Long Parka</t>
  </si>
  <si>
    <t>DIV Livia tee</t>
  </si>
  <si>
    <t>DIV Luve jumper</t>
  </si>
  <si>
    <t>DIV Lydon cardigan</t>
  </si>
  <si>
    <t>DIV Nora cardigan</t>
  </si>
  <si>
    <t>DIV Riviera dress LS</t>
  </si>
  <si>
    <t>DIV Tess tee</t>
  </si>
  <si>
    <t>DIV Wanda dress</t>
  </si>
  <si>
    <t>Dixie</t>
  </si>
  <si>
    <t>Dixie crossbag</t>
  </si>
  <si>
    <t>Dixie tee 9.99</t>
  </si>
  <si>
    <t>Django</t>
  </si>
  <si>
    <t>Dodo Button Tank</t>
  </si>
  <si>
    <t>Dogtooth</t>
  </si>
  <si>
    <t>Dollar HW Tapered</t>
  </si>
  <si>
    <t>Dolly dress</t>
  </si>
  <si>
    <t>Dolly hood</t>
  </si>
  <si>
    <t>DOLLY PQ sandal</t>
  </si>
  <si>
    <t>Dolly SL set (W)</t>
  </si>
  <si>
    <t>Dolores</t>
  </si>
  <si>
    <t>Dolphin LS</t>
  </si>
  <si>
    <t>Dolphine dress</t>
  </si>
  <si>
    <t>DOMINIC SWEATPANT</t>
  </si>
  <si>
    <t>Dominican dress</t>
  </si>
  <si>
    <t>Don Vito moulded triangle</t>
  </si>
  <si>
    <t>Donatella</t>
  </si>
  <si>
    <t>Donatella dress</t>
  </si>
  <si>
    <t>DONT USE ROLAND HOOD</t>
  </si>
  <si>
    <t>Doors</t>
  </si>
  <si>
    <t>Dopey Fur</t>
  </si>
  <si>
    <t>Dora Dress (1)</t>
  </si>
  <si>
    <t>Dores long hoodie</t>
  </si>
  <si>
    <t>Doris</t>
  </si>
  <si>
    <t>DORIS CREW</t>
  </si>
  <si>
    <t>DORIS DECO TEE</t>
  </si>
  <si>
    <t>Doris dress</t>
  </si>
  <si>
    <t>Doris jumpsuit</t>
  </si>
  <si>
    <t>Doris L/S</t>
  </si>
  <si>
    <t>Doris sandal new</t>
  </si>
  <si>
    <t>Doris sweater</t>
  </si>
  <si>
    <t>DORIS TWIST</t>
  </si>
  <si>
    <t>Dorotea knitted jumper</t>
  </si>
  <si>
    <t>Dorothy</t>
  </si>
  <si>
    <t>Dorri linen shorts</t>
  </si>
  <si>
    <t>Dorsia dress</t>
  </si>
  <si>
    <t>Dottie</t>
  </si>
  <si>
    <t>Douglas</t>
  </si>
  <si>
    <t>Doutzen</t>
  </si>
  <si>
    <t>Down Under Swimsuit</t>
  </si>
  <si>
    <t>Doxen crew</t>
  </si>
  <si>
    <t>Dragon pile pea coat</t>
  </si>
  <si>
    <t>Drake</t>
  </si>
  <si>
    <t>Drake loafer</t>
  </si>
  <si>
    <t>DRAKE sweatpants TP</t>
  </si>
  <si>
    <t>Draper rollerneck.</t>
  </si>
  <si>
    <t>Dream Fringe Jacket</t>
  </si>
  <si>
    <t>Dreams</t>
  </si>
  <si>
    <t>Dreams blouse</t>
  </si>
  <si>
    <t>Dress</t>
  </si>
  <si>
    <t>Dress Frill</t>
  </si>
  <si>
    <t>Dress Midi Wrap</t>
  </si>
  <si>
    <t>Dress Safari</t>
  </si>
  <si>
    <t>Dress Wrap</t>
  </si>
  <si>
    <t>Dresscode jumpsuit</t>
  </si>
  <si>
    <t>DREW SKIRT</t>
  </si>
  <si>
    <t>Drizzle wide cropped</t>
  </si>
  <si>
    <t>Drogba tencel tunic</t>
  </si>
  <si>
    <t>Drogba tunic dress</t>
  </si>
  <si>
    <t>Drums</t>
  </si>
  <si>
    <t>Dubai blazer dress</t>
  </si>
  <si>
    <t>Dublin dress</t>
  </si>
  <si>
    <t>Dublin puffer</t>
  </si>
  <si>
    <t>Duchess bucket</t>
  </si>
  <si>
    <t>Duckie boot</t>
  </si>
  <si>
    <t>Duffy</t>
  </si>
  <si>
    <t>Dundee</t>
  </si>
  <si>
    <t>Dung Dress J</t>
  </si>
  <si>
    <t>Dung pinafore</t>
  </si>
  <si>
    <t>Dungaree Alicia</t>
  </si>
  <si>
    <t>Dungaree Sassy</t>
  </si>
  <si>
    <t>Duo</t>
  </si>
  <si>
    <t>Duran body</t>
  </si>
  <si>
    <t>Durham joggers(1)</t>
  </si>
  <si>
    <t>Durum Wrap Blouse</t>
  </si>
  <si>
    <t>Dusk Brazilian Azalea 2p</t>
  </si>
  <si>
    <t>Dusk Padded T-shirt</t>
  </si>
  <si>
    <t>DUSTY French placket- linen</t>
  </si>
  <si>
    <t>Eagle slacks</t>
  </si>
  <si>
    <t>Earl tux dress</t>
  </si>
  <si>
    <t>East</t>
  </si>
  <si>
    <t>East dress</t>
  </si>
  <si>
    <t>East HW tapered</t>
  </si>
  <si>
    <t>Easy Way</t>
  </si>
  <si>
    <t>Easy Way Dress</t>
  </si>
  <si>
    <t>Eclipse</t>
  </si>
  <si>
    <t>Eclipse Hood</t>
  </si>
  <si>
    <t>ED Aladin (1)</t>
  </si>
  <si>
    <t>ED Apple</t>
  </si>
  <si>
    <t>ED Bama jumper</t>
  </si>
  <si>
    <t>ED Baraboom cardigan</t>
  </si>
  <si>
    <t>ED Becky Pants</t>
  </si>
  <si>
    <t>ED Belinda jumpsuit</t>
  </si>
  <si>
    <t>ED Blueberry</t>
  </si>
  <si>
    <t>ED Bowie</t>
  </si>
  <si>
    <t>ED Bowie dress</t>
  </si>
  <si>
    <t>ED Bowie Dress.</t>
  </si>
  <si>
    <t>ED Cactus coat</t>
  </si>
  <si>
    <t>ED Capri Blazer.</t>
  </si>
  <si>
    <t>ED coco sleeveless</t>
  </si>
  <si>
    <t>ED Daffodil jkt.</t>
  </si>
  <si>
    <t>ED Despacito</t>
  </si>
  <si>
    <t>ED Despacito blouse</t>
  </si>
  <si>
    <t>ED Espresso Dress</t>
  </si>
  <si>
    <t>ED Grace</t>
  </si>
  <si>
    <t>ED Griezman</t>
  </si>
  <si>
    <t>ED Gwyneth</t>
  </si>
  <si>
    <t>ED Hera Padded Jacket</t>
  </si>
  <si>
    <t>ED Hotpants</t>
  </si>
  <si>
    <t>ED Hotpants (1)</t>
  </si>
  <si>
    <t>ED House</t>
  </si>
  <si>
    <t>ED Jafar</t>
  </si>
  <si>
    <t>ED Jennifer blazer</t>
  </si>
  <si>
    <t>ED Jennifer Blazer</t>
  </si>
  <si>
    <t>ED Jennifer Checked Blazer</t>
  </si>
  <si>
    <t>ED Jennifer tee</t>
  </si>
  <si>
    <t>ED Johnny top</t>
  </si>
  <si>
    <t>ED Julie trousers</t>
  </si>
  <si>
    <t>ED Kalinda trouser</t>
  </si>
  <si>
    <t>ED Lady di</t>
  </si>
  <si>
    <t>ED Lively blouse</t>
  </si>
  <si>
    <t>ED Long leggings</t>
  </si>
  <si>
    <t>ED Long leggings 2-pack</t>
  </si>
  <si>
    <t>ED Luna 5pkt SPEED</t>
  </si>
  <si>
    <t>ED Luna tunic</t>
  </si>
  <si>
    <t>ED Madison Skinny HW</t>
  </si>
  <si>
    <t>ED Manolo rib leggings</t>
  </si>
  <si>
    <t>ED Marcie dress</t>
  </si>
  <si>
    <t>ED Marianne Short (1)</t>
  </si>
  <si>
    <t>ED Marita Coat</t>
  </si>
  <si>
    <t>ED Matey Vneck</t>
  </si>
  <si>
    <t>ED Matey v-neck</t>
  </si>
  <si>
    <t>ED Melrose shirt</t>
  </si>
  <si>
    <t>ED Milk dress</t>
  </si>
  <si>
    <t>ED Milk embellished dress</t>
  </si>
  <si>
    <t>ED Milk slaks</t>
  </si>
  <si>
    <t>ED Molly Longsleeve.</t>
  </si>
  <si>
    <t>ED Monet wide trousers</t>
  </si>
  <si>
    <t>ED Nero LS</t>
  </si>
  <si>
    <t>ED Nevada dress</t>
  </si>
  <si>
    <t>ED Nora tee</t>
  </si>
  <si>
    <t>ED Nottinghill dress</t>
  </si>
  <si>
    <t>ED Pablo linen tee</t>
  </si>
  <si>
    <t>ED Pamela (1)</t>
  </si>
  <si>
    <t>ED Pantha PU legging</t>
  </si>
  <si>
    <t>ED Pingu</t>
  </si>
  <si>
    <t>ED Pluto RW slacks</t>
  </si>
  <si>
    <t>ED Pomme tunic</t>
  </si>
  <si>
    <t>ED Portobello Dress</t>
  </si>
  <si>
    <t>ED Primo slacks</t>
  </si>
  <si>
    <t>ED Rio dress</t>
  </si>
  <si>
    <t>ED Rose dress</t>
  </si>
  <si>
    <t>ED Rosemary dress</t>
  </si>
  <si>
    <t>ED Saigon</t>
  </si>
  <si>
    <t>ED Seinfield padded</t>
  </si>
  <si>
    <t>ED Snake blouse</t>
  </si>
  <si>
    <t>ED Sorrel dress</t>
  </si>
  <si>
    <t>ED Sorrento</t>
  </si>
  <si>
    <t>ED Space jegging</t>
  </si>
  <si>
    <t>ED Theron hoodie</t>
  </si>
  <si>
    <t>ED Tina dress</t>
  </si>
  <si>
    <t>ED Titti dress</t>
  </si>
  <si>
    <t>ED Tulip</t>
  </si>
  <si>
    <t>ED Twenty HW paperbag trs</t>
  </si>
  <si>
    <t>ED Yen shell top</t>
  </si>
  <si>
    <t>EDC ARVID BLOUSE</t>
  </si>
  <si>
    <t>EDC Astrid dress</t>
  </si>
  <si>
    <t>EDC Barbie dress</t>
  </si>
  <si>
    <t>EDC Chill Dress</t>
  </si>
  <si>
    <t>EDC Elise Top</t>
  </si>
  <si>
    <t>EDC Femmy dress</t>
  </si>
  <si>
    <t>EDC Holiday Skirt</t>
  </si>
  <si>
    <t>EDC Lady HW</t>
  </si>
  <si>
    <t>EDC Laia dress</t>
  </si>
  <si>
    <t>EDC Lambada skirt</t>
  </si>
  <si>
    <t>EDC Malin shorts</t>
  </si>
  <si>
    <t>EDC MELVIN DRESS</t>
  </si>
  <si>
    <t>EDC RAYA DRESS</t>
  </si>
  <si>
    <t>EDC Rose Trousers</t>
  </si>
  <si>
    <t>EDC South Skirt</t>
  </si>
  <si>
    <t>EDC Tangerine Blouse</t>
  </si>
  <si>
    <t>Edda sandalette</t>
  </si>
  <si>
    <t>Eden HW paperwaist</t>
  </si>
  <si>
    <t>Edgar</t>
  </si>
  <si>
    <t>Edgar tunic</t>
  </si>
  <si>
    <t>Edie frill blouse</t>
  </si>
  <si>
    <t>Edie frill bls</t>
  </si>
  <si>
    <t>Edina Loafer</t>
  </si>
  <si>
    <t>Edinburg midi dress</t>
  </si>
  <si>
    <t>Edith Body</t>
  </si>
  <si>
    <t>Edward knitted skirt</t>
  </si>
  <si>
    <t>Eel suede biker</t>
  </si>
  <si>
    <t>Effie LS</t>
  </si>
  <si>
    <t>Elba swimsuit</t>
  </si>
  <si>
    <t>Electra dress</t>
  </si>
  <si>
    <t>Electra superpush bra</t>
  </si>
  <si>
    <t>Electric suede biker</t>
  </si>
  <si>
    <t>Elena</t>
  </si>
  <si>
    <t>Elena padded softbra 2p</t>
  </si>
  <si>
    <t>Elena sneaker</t>
  </si>
  <si>
    <t>Eleven top</t>
  </si>
  <si>
    <t>Elia Jumpsuit</t>
  </si>
  <si>
    <t>Elie</t>
  </si>
  <si>
    <t>Elin top</t>
  </si>
  <si>
    <t>Elina</t>
  </si>
  <si>
    <t>Eliza PQ boot</t>
  </si>
  <si>
    <t>Eliza RW linen slack</t>
  </si>
  <si>
    <t>Eliza RW slack</t>
  </si>
  <si>
    <t>ELLA BELTED BLOUSE</t>
  </si>
  <si>
    <t>Ella Jumpsuit</t>
  </si>
  <si>
    <t>Ella midi skirt</t>
  </si>
  <si>
    <t>Ellaria paper bag waist HW</t>
  </si>
  <si>
    <t>Elle</t>
  </si>
  <si>
    <t>Elle dressed</t>
  </si>
  <si>
    <t>Elle(1)</t>
  </si>
  <si>
    <t>Ellen 2pk ct rio wireless</t>
  </si>
  <si>
    <t>Ellen Bikini Clover Mid 3p</t>
  </si>
  <si>
    <t>Ellen Hipster Ch. Poppy 3p</t>
  </si>
  <si>
    <t>Ellen linen</t>
  </si>
  <si>
    <t>Ellen Push (Melbourne) 2p</t>
  </si>
  <si>
    <t>Ellen Shortie Daisy Low 3p</t>
  </si>
  <si>
    <t>Ellen shorts</t>
  </si>
  <si>
    <t>Ellen Superpush (Andes) 2pk</t>
  </si>
  <si>
    <t>Ellen Thong (Malva) L 3pk</t>
  </si>
  <si>
    <t>Ellen Wireless (Abeline) 2pk</t>
  </si>
  <si>
    <t>ELLIE BLOUSE</t>
  </si>
  <si>
    <t>Elly fancy</t>
  </si>
  <si>
    <t>ELODI wrap tight ls</t>
  </si>
  <si>
    <t>Eloise</t>
  </si>
  <si>
    <t>Elsa</t>
  </si>
  <si>
    <t>Elson boot</t>
  </si>
  <si>
    <t>Elvira turtleneck</t>
  </si>
  <si>
    <t>EMBR FRONT FRILL TEE</t>
  </si>
  <si>
    <t>Embrace Flare H.W</t>
  </si>
  <si>
    <t>Embrace S.Skinny Ankle H.W</t>
  </si>
  <si>
    <t>Embrace S.Skinny H.W Trash</t>
  </si>
  <si>
    <t>Embrace Shorts</t>
  </si>
  <si>
    <t>Embrace Slim HW Ankle</t>
  </si>
  <si>
    <t>Emel dress</t>
  </si>
  <si>
    <t>Emelie pushup dress</t>
  </si>
  <si>
    <t>Emelina midi dress</t>
  </si>
  <si>
    <t>Emerald</t>
  </si>
  <si>
    <t>Emerald (1)</t>
  </si>
  <si>
    <t>Emerald plisse</t>
  </si>
  <si>
    <t>Emery(1)</t>
  </si>
  <si>
    <t>Emily</t>
  </si>
  <si>
    <t>Emily body 1</t>
  </si>
  <si>
    <t>Emily Brief</t>
  </si>
  <si>
    <t>Emma NW wide denim</t>
  </si>
  <si>
    <t>Emma Roll Neck</t>
  </si>
  <si>
    <t>Emma Roll Neck TVP</t>
  </si>
  <si>
    <t>Empire HW wide denim</t>
  </si>
  <si>
    <t>Empire HW wide leg denim</t>
  </si>
  <si>
    <t>Enna (1)</t>
  </si>
  <si>
    <t>Enna Essential</t>
  </si>
  <si>
    <t>Enna mini skirt</t>
  </si>
  <si>
    <t>Enrique sneaker</t>
  </si>
  <si>
    <t>Enter</t>
  </si>
  <si>
    <t>Enter HW leggings</t>
  </si>
  <si>
    <t>Enter treggings</t>
  </si>
  <si>
    <t>Enter(1)</t>
  </si>
  <si>
    <t>ENZO BELT BAG</t>
  </si>
  <si>
    <t>Epic Padded Swimsuit</t>
  </si>
  <si>
    <t>EQ IVY Jumpsuit</t>
  </si>
  <si>
    <t>Era</t>
  </si>
  <si>
    <t>Era lace</t>
  </si>
  <si>
    <t>ERIK 2PK REG TANK TOP</t>
  </si>
  <si>
    <t>ERIK REG TANK TOP</t>
  </si>
  <si>
    <t>ES Agnes LS R-neck</t>
  </si>
  <si>
    <t>ES EMILY V-NECK TANK</t>
  </si>
  <si>
    <t>ES LOGAN LS</t>
  </si>
  <si>
    <t>ESME BLOUSE</t>
  </si>
  <si>
    <t>Esme dress</t>
  </si>
  <si>
    <t>Esmeralda</t>
  </si>
  <si>
    <t>Espresso</t>
  </si>
  <si>
    <t>ESPRESSO SS</t>
  </si>
  <si>
    <t>ESSENTIAL AGNES</t>
  </si>
  <si>
    <t>ESSENTIAL EVELYN SS RIB</t>
  </si>
  <si>
    <t>Essential Lova Linen v neck</t>
  </si>
  <si>
    <t>ESSENTIAL MOON LACE STRAP</t>
  </si>
  <si>
    <t>ESSENTIAL RAVEN TEE STRIPE</t>
  </si>
  <si>
    <t>ESSENTIAL SIXTEN SS BOATNECK</t>
  </si>
  <si>
    <t>ESSENTIAL TANKTOP LACE</t>
  </si>
  <si>
    <t>ESSENTIAL TANKTOP LACE TVP</t>
  </si>
  <si>
    <t>ESSENTIAL YOKO ROLLER NECK</t>
  </si>
  <si>
    <t>Estate HW wide trousers</t>
  </si>
  <si>
    <t>Estelle strap dress</t>
  </si>
  <si>
    <t>Esther</t>
  </si>
  <si>
    <t>ETTA BUM BAG</t>
  </si>
  <si>
    <t>Eucalyptus CF</t>
  </si>
  <si>
    <t>Eucalyptus sweat</t>
  </si>
  <si>
    <t>EUCALYPTUS TM 19.99</t>
  </si>
  <si>
    <t>Eva</t>
  </si>
  <si>
    <t>Eva dress</t>
  </si>
  <si>
    <t>EVA eyelet belt (W)</t>
  </si>
  <si>
    <t>Eva occasion dress</t>
  </si>
  <si>
    <t>EVA TIGHT CONSCIOUS TANK TOP</t>
  </si>
  <si>
    <t>Eve Cardigan</t>
  </si>
  <si>
    <t>Eve Coat</t>
  </si>
  <si>
    <t>Eve HW wide trousers</t>
  </si>
  <si>
    <t>Eve plisse skirt</t>
  </si>
  <si>
    <t>Evelina top</t>
  </si>
  <si>
    <t>Evelina wrap blouse</t>
  </si>
  <si>
    <t>Evelyn midi dress</t>
  </si>
  <si>
    <t>Everlacing Love Brief</t>
  </si>
  <si>
    <t>Everlacing Love Highwaist</t>
  </si>
  <si>
    <t>Everlacing Love Top</t>
  </si>
  <si>
    <t>Everlacing Push triangle</t>
  </si>
  <si>
    <t>EVERLY yoga ls</t>
  </si>
  <si>
    <t>EVERT SHORTS</t>
  </si>
  <si>
    <t>Evert Slim Chino Shorts</t>
  </si>
  <si>
    <t>Evert Slim Shorts</t>
  </si>
  <si>
    <t>EVIE BLOUSE</t>
  </si>
  <si>
    <t>Evie hipster 3p</t>
  </si>
  <si>
    <t>Evie Padded (Milano) 2pk</t>
  </si>
  <si>
    <t>Evie padded softbra 2p</t>
  </si>
  <si>
    <t>Evie push 2p</t>
  </si>
  <si>
    <t>Evie thong 3p</t>
  </si>
  <si>
    <t>EZ Highshaft boot</t>
  </si>
  <si>
    <t>Fairfax HW slim</t>
  </si>
  <si>
    <t>Faith Dress</t>
  </si>
  <si>
    <t>Fake 1p Leggings</t>
  </si>
  <si>
    <t>Fake Snake 1p Leggings</t>
  </si>
  <si>
    <t>Fakir</t>
  </si>
  <si>
    <t>Falafel</t>
  </si>
  <si>
    <t>Falcon parka</t>
  </si>
  <si>
    <t>Fall Out Dress</t>
  </si>
  <si>
    <t>Falun soft shirt</t>
  </si>
  <si>
    <t>Family Crew Ladies</t>
  </si>
  <si>
    <t>Fancy Leggings</t>
  </si>
  <si>
    <t>Fancy LS</t>
  </si>
  <si>
    <t>Fancy Pants (1)</t>
  </si>
  <si>
    <t>Fantastic dress</t>
  </si>
  <si>
    <t>Farrah HW Denim TRS</t>
  </si>
  <si>
    <t>Fav polo</t>
  </si>
  <si>
    <t>Feather Jeggings L.W</t>
  </si>
  <si>
    <t>Feli shorts</t>
  </si>
  <si>
    <t>Felicia</t>
  </si>
  <si>
    <t>Felicia cord shirt</t>
  </si>
  <si>
    <t>Felix</t>
  </si>
  <si>
    <t>Felix occasion dress</t>
  </si>
  <si>
    <t>Fern</t>
  </si>
  <si>
    <t>Fernanda PQ</t>
  </si>
  <si>
    <t>FF Angelina PU trs</t>
  </si>
  <si>
    <t>FF Azalea hood PI</t>
  </si>
  <si>
    <t>FF Begonia shirt</t>
  </si>
  <si>
    <t>FF Blossom dress</t>
  </si>
  <si>
    <t>FF Carnation check</t>
  </si>
  <si>
    <t>FF Doris knit hood</t>
  </si>
  <si>
    <t>FF Eucalyptus dress</t>
  </si>
  <si>
    <t>FF Iris leggings</t>
  </si>
  <si>
    <t>FF Jade shirt PI</t>
  </si>
  <si>
    <t>FF Kate dress PI</t>
  </si>
  <si>
    <t>FF Lotus PU skirt</t>
  </si>
  <si>
    <t>FF Rib rob polo</t>
  </si>
  <si>
    <t>FF Ribbie dress PI</t>
  </si>
  <si>
    <t>FF Sunflower knit</t>
  </si>
  <si>
    <t>FF Verona blazer</t>
  </si>
  <si>
    <t>Fia longsleeve</t>
  </si>
  <si>
    <t>Ficus dress</t>
  </si>
  <si>
    <t>Field</t>
  </si>
  <si>
    <t>FIG STRAP S.0</t>
  </si>
  <si>
    <t>Fiji Dress</t>
  </si>
  <si>
    <t>Filippa dress</t>
  </si>
  <si>
    <t>Filippa linnen (7)</t>
  </si>
  <si>
    <t>Finlandia culottes RW</t>
  </si>
  <si>
    <t>FINN TWIST CF</t>
  </si>
  <si>
    <t>Fiona</t>
  </si>
  <si>
    <t>Fiona Bikini (Clover) 4pk</t>
  </si>
  <si>
    <t>Fiona brazilian (Acacia) 4p</t>
  </si>
  <si>
    <t>Fiona Ch Hipster(Poppy)4pk</t>
  </si>
  <si>
    <t>Fiona One Shoulder</t>
  </si>
  <si>
    <t>Fiona Wide</t>
  </si>
  <si>
    <t>Fiore dress</t>
  </si>
  <si>
    <t>Fireball Chino</t>
  </si>
  <si>
    <t>First Night Playsuit</t>
  </si>
  <si>
    <t>Fissa Bralette Valencia</t>
  </si>
  <si>
    <t>Fissa Push Body Back Detail</t>
  </si>
  <si>
    <t>Fissa Push Melbourne</t>
  </si>
  <si>
    <t>Fissa set bra + bottom</t>
  </si>
  <si>
    <t>Fissa Thong Maple Low 2p</t>
  </si>
  <si>
    <t>Fjollan Wide</t>
  </si>
  <si>
    <t>FLAME HOOD</t>
  </si>
  <si>
    <t>Flamingo</t>
  </si>
  <si>
    <t>Flare</t>
  </si>
  <si>
    <t>Flare H.W Harlem</t>
  </si>
  <si>
    <t>Fleece trs (J)</t>
  </si>
  <si>
    <t>Fletcher</t>
  </si>
  <si>
    <t>Fleur</t>
  </si>
  <si>
    <t>Fleur LL PJ (J)</t>
  </si>
  <si>
    <t>Flirt mini</t>
  </si>
  <si>
    <t>Flirtatious skirt</t>
  </si>
  <si>
    <t>Flirty Anna headband</t>
  </si>
  <si>
    <t>Flirty Anna Headband 2</t>
  </si>
  <si>
    <t>Flirty crossbag</t>
  </si>
  <si>
    <t>Flirty Enya necklace RT</t>
  </si>
  <si>
    <t>Flirty Evelina necklace</t>
  </si>
  <si>
    <t>Flirty Linnea necklace</t>
  </si>
  <si>
    <t>Flirty Miki stud pk</t>
  </si>
  <si>
    <t>Flirty Vina necklace RT</t>
  </si>
  <si>
    <t>Float playsuit</t>
  </si>
  <si>
    <t>Flock</t>
  </si>
  <si>
    <t>Flock (1)</t>
  </si>
  <si>
    <t>Flora</t>
  </si>
  <si>
    <t>Flora hip belt (1)</t>
  </si>
  <si>
    <t>Flora maxi dress</t>
  </si>
  <si>
    <t>FLORA running HW  tights</t>
  </si>
  <si>
    <t>Flora Skirt</t>
  </si>
  <si>
    <t>Flora(1)</t>
  </si>
  <si>
    <t>Florence</t>
  </si>
  <si>
    <t>Florence Jumpsuit</t>
  </si>
  <si>
    <t>Florentina</t>
  </si>
  <si>
    <t>Florentine tank</t>
  </si>
  <si>
    <t>Florian PQ boot</t>
  </si>
  <si>
    <t>Florida (1)</t>
  </si>
  <si>
    <t>Florida Plissé Skirt</t>
  </si>
  <si>
    <t>FLORIDA tights</t>
  </si>
  <si>
    <t>FLORIDA TIGHTS</t>
  </si>
  <si>
    <t>Flossi Robe (J)</t>
  </si>
  <si>
    <t>Flounce dress speed</t>
  </si>
  <si>
    <t>Floyd HW PU trousers</t>
  </si>
  <si>
    <t>Floyd PQ boot</t>
  </si>
  <si>
    <t>Fluff Olga LL PJ (J)</t>
  </si>
  <si>
    <t>FLUID HW tights</t>
  </si>
  <si>
    <t>FOG TANKTOP</t>
  </si>
  <si>
    <t>Folly</t>
  </si>
  <si>
    <t>Fonda body</t>
  </si>
  <si>
    <t>Fondant SP Olympus</t>
  </si>
  <si>
    <t>Ford</t>
  </si>
  <si>
    <t>Ford dress</t>
  </si>
  <si>
    <t>FOREVER FLOUNCE DRESS</t>
  </si>
  <si>
    <t>Formentera padded Swimsuite</t>
  </si>
  <si>
    <t>FORTUNA TEE</t>
  </si>
  <si>
    <t>FORZE comp. tights</t>
  </si>
  <si>
    <t>Fox (1)</t>
  </si>
  <si>
    <t>Foxy fur jacket</t>
  </si>
  <si>
    <t>Foxy Loxy</t>
  </si>
  <si>
    <t>Foxy shirt</t>
  </si>
  <si>
    <t>Fraiser Padded</t>
  </si>
  <si>
    <t>Fraiser Padded Jkt</t>
  </si>
  <si>
    <t>FRAME Easy Care TVP</t>
  </si>
  <si>
    <t>FRAME Easy Iron</t>
  </si>
  <si>
    <t>FRAME Easy Iron TVP</t>
  </si>
  <si>
    <t>FRAME Easy Iron TVP S0</t>
  </si>
  <si>
    <t>Fran PQ boot</t>
  </si>
  <si>
    <t>FRANCES SKIRT</t>
  </si>
  <si>
    <t>Frances Tweed</t>
  </si>
  <si>
    <t>Frank Tech Pant</t>
  </si>
  <si>
    <t>Frank wrap top</t>
  </si>
  <si>
    <t>Frankie RW pull on</t>
  </si>
  <si>
    <t>Frannie knitted pike top</t>
  </si>
  <si>
    <t>Frasse blazer</t>
  </si>
  <si>
    <t>Fraulein drawstring bag</t>
  </si>
  <si>
    <t>Fred Shortie 3 pack</t>
  </si>
  <si>
    <t>Fred shortie 5-pack</t>
  </si>
  <si>
    <t>Fred shorties 5-p</t>
  </si>
  <si>
    <t>Freddy</t>
  </si>
  <si>
    <t>Freddy Fur</t>
  </si>
  <si>
    <t>Freddy fur coat</t>
  </si>
  <si>
    <t>Freddy Shorts</t>
  </si>
  <si>
    <t>Fredrik Slim Stretch</t>
  </si>
  <si>
    <t>FREEDIE JOGGER</t>
  </si>
  <si>
    <t>Freedom</t>
  </si>
  <si>
    <t>Freja Coat</t>
  </si>
  <si>
    <t>Freja roll up</t>
  </si>
  <si>
    <t>Freja tank top</t>
  </si>
  <si>
    <t>French LS</t>
  </si>
  <si>
    <t>Frenchy Bandeau 2p (1)</t>
  </si>
  <si>
    <t>Frenchy Hipster Lo(Petunia) 3p</t>
  </si>
  <si>
    <t>Frenchy Padded Bra</t>
  </si>
  <si>
    <t>Frenchy push balboa</t>
  </si>
  <si>
    <t>Frenchy Tanga Th (Magn) 3p</t>
  </si>
  <si>
    <t>Fresh coat</t>
  </si>
  <si>
    <t>Fresh top</t>
  </si>
  <si>
    <t>Fresia plísse dress</t>
  </si>
  <si>
    <t>Fresno Parka.</t>
  </si>
  <si>
    <t>Freud</t>
  </si>
  <si>
    <t>Frida LL PJ (J)</t>
  </si>
  <si>
    <t>FRIDA PILE HOOD</t>
  </si>
  <si>
    <t>Frida Printed Sweater</t>
  </si>
  <si>
    <t>Frida wide cropped</t>
  </si>
  <si>
    <t>Friend</t>
  </si>
  <si>
    <t>Frille</t>
  </si>
  <si>
    <t>Frugan 2p</t>
  </si>
  <si>
    <t>Frugan 2p longsleeve</t>
  </si>
  <si>
    <t>Frugan 2-pack</t>
  </si>
  <si>
    <t>Frugan.</t>
  </si>
  <si>
    <t>Fudge dress</t>
  </si>
  <si>
    <t>Full knitted  jumper</t>
  </si>
  <si>
    <t>FUN FANCY CREW</t>
  </si>
  <si>
    <t>Furby Roll Neck</t>
  </si>
  <si>
    <t>Furi tights</t>
  </si>
  <si>
    <t>Fusili</t>
  </si>
  <si>
    <t>Gabbi tank/nina/nelia</t>
  </si>
  <si>
    <t>Gabbie boot</t>
  </si>
  <si>
    <t>Gabriella</t>
  </si>
  <si>
    <t>Gaby loafer</t>
  </si>
  <si>
    <t>GAIA BLOUSE</t>
  </si>
  <si>
    <t>Gaia jumpsuit</t>
  </si>
  <si>
    <t>Gaia swimsuit</t>
  </si>
  <si>
    <t>Gainsbourg Coat</t>
  </si>
  <si>
    <t>Gainsbourgh</t>
  </si>
  <si>
    <t>GALATEA HW  cropped</t>
  </si>
  <si>
    <t>GALATEA HW cropped</t>
  </si>
  <si>
    <t>Gamble playsuit</t>
  </si>
  <si>
    <t>Gamble Playsuit</t>
  </si>
  <si>
    <t>Garbi</t>
  </si>
  <si>
    <t>Garbo longsleeve</t>
  </si>
  <si>
    <t>Garden Biscuit (1)</t>
  </si>
  <si>
    <t>Garden dress</t>
  </si>
  <si>
    <t>Garden Dress</t>
  </si>
  <si>
    <t>Garden Mayonaise</t>
  </si>
  <si>
    <t>Garden Soho</t>
  </si>
  <si>
    <t>Garden spice</t>
  </si>
  <si>
    <t>Garfield Parka</t>
  </si>
  <si>
    <t>Gaston Padded</t>
  </si>
  <si>
    <t>Gateau Tunic</t>
  </si>
  <si>
    <t>Gatito fur coat</t>
  </si>
  <si>
    <t>Gatsby jumpsuit</t>
  </si>
  <si>
    <t>Gavino</t>
  </si>
  <si>
    <t>Geenie Fur</t>
  </si>
  <si>
    <t>Gelato</t>
  </si>
  <si>
    <t>Gem</t>
  </si>
  <si>
    <t>Gem skirt</t>
  </si>
  <si>
    <t>Gemini HW wide trousers</t>
  </si>
  <si>
    <t>Gemma Woven TRS</t>
  </si>
  <si>
    <t>Genesis beret new</t>
  </si>
  <si>
    <t>Geneva pinafore dress</t>
  </si>
  <si>
    <t>Georgia leggings</t>
  </si>
  <si>
    <t>Georgia Wedding Trousers</t>
  </si>
  <si>
    <t>Georgina</t>
  </si>
  <si>
    <t>Geranium</t>
  </si>
  <si>
    <t>Geri body</t>
  </si>
  <si>
    <t>Geri PQ loafer</t>
  </si>
  <si>
    <t>Geri Roll Neck</t>
  </si>
  <si>
    <t>Gertrud l/s top</t>
  </si>
  <si>
    <t>Get up Dress</t>
  </si>
  <si>
    <t>Gia Woven TRS</t>
  </si>
  <si>
    <t>Gigi bandeau</t>
  </si>
  <si>
    <t>Gigi body</t>
  </si>
  <si>
    <t>GILDA LEGGINGS</t>
  </si>
  <si>
    <t>Gilda leggings 1</t>
  </si>
  <si>
    <t>Gili wrap dress</t>
  </si>
  <si>
    <t>Gillian boot</t>
  </si>
  <si>
    <t>Gilmore Long Parka</t>
  </si>
  <si>
    <t>Gin and Juice</t>
  </si>
  <si>
    <t>Ginger</t>
  </si>
  <si>
    <t>Ginger Ch hipster ctn 3p</t>
  </si>
  <si>
    <t>Ginger Hip Ch. Pet. Low 3p</t>
  </si>
  <si>
    <t>Ginger Thong Maple Low 3p</t>
  </si>
  <si>
    <t>Ginger wool coat</t>
  </si>
  <si>
    <t>Giovani body</t>
  </si>
  <si>
    <t>Giovanna PU</t>
  </si>
  <si>
    <t>Girl next door</t>
  </si>
  <si>
    <t>Girl on fire Dress</t>
  </si>
  <si>
    <t>Girlfriend</t>
  </si>
  <si>
    <t>Girlfriend R.W Petite</t>
  </si>
  <si>
    <t>Girlfriend R.W Trash</t>
  </si>
  <si>
    <t>Girlfriend R.W.</t>
  </si>
  <si>
    <t>Girlfriend R.W. Petite</t>
  </si>
  <si>
    <t>Girona Coat</t>
  </si>
  <si>
    <t>Girona throw on wool coat</t>
  </si>
  <si>
    <t>Gisela</t>
  </si>
  <si>
    <t>Gisele Body</t>
  </si>
  <si>
    <t>Gjelina</t>
  </si>
  <si>
    <t>Gladiator Henley</t>
  </si>
  <si>
    <t>Gladiator henley</t>
  </si>
  <si>
    <t>Glam Body</t>
  </si>
  <si>
    <t>Glamping</t>
  </si>
  <si>
    <t>Glamping.</t>
  </si>
  <si>
    <t>Glamping.(1)</t>
  </si>
  <si>
    <t>Glans SS tunic</t>
  </si>
  <si>
    <t>Glans tunic</t>
  </si>
  <si>
    <t>Glasgow midi dress</t>
  </si>
  <si>
    <t>Glasgow midi dress DS</t>
  </si>
  <si>
    <t>Glassig espadrill</t>
  </si>
  <si>
    <t>GLASSIG ESPADRILLE</t>
  </si>
  <si>
    <t>Glogg tencel trousers RW</t>
  </si>
  <si>
    <t>Gloom pile coat</t>
  </si>
  <si>
    <t>Gloss</t>
  </si>
  <si>
    <t>Glow Cheeky Tanga</t>
  </si>
  <si>
    <t>Glow Triangle Top</t>
  </si>
  <si>
    <t>Goa dress</t>
  </si>
  <si>
    <t>Godfather slim PQ chino</t>
  </si>
  <si>
    <t>GOJI bathing suit</t>
  </si>
  <si>
    <t>Goji dress w</t>
  </si>
  <si>
    <t>Golden Dress</t>
  </si>
  <si>
    <t>Goldfinch SPEED</t>
  </si>
  <si>
    <t>Goldie tank top</t>
  </si>
  <si>
    <t>Gomez ballerina</t>
  </si>
  <si>
    <t>Gonzales Blouse</t>
  </si>
  <si>
    <t>Gooseberry Coat</t>
  </si>
  <si>
    <t>Gordon fur collar jacket</t>
  </si>
  <si>
    <t>GOSSIP CONSCIOUS TANK TOP</t>
  </si>
  <si>
    <t>Grace</t>
  </si>
  <si>
    <t>Grace Jones jumpsuit</t>
  </si>
  <si>
    <t>Grace PQ highshaft</t>
  </si>
  <si>
    <t>Grace PU</t>
  </si>
  <si>
    <t>Grace Sweater</t>
  </si>
  <si>
    <t>Gracie Cross Bag</t>
  </si>
  <si>
    <t>Graham</t>
  </si>
  <si>
    <t>Grand HW trouser</t>
  </si>
  <si>
    <t>Granda tank</t>
  </si>
  <si>
    <t>Granger HW Denim</t>
  </si>
  <si>
    <t>Granny Bandeau</t>
  </si>
  <si>
    <t>Granny High Rise Brief</t>
  </si>
  <si>
    <t>Granny Push Up Bra</t>
  </si>
  <si>
    <t>Granny Tie Tanga</t>
  </si>
  <si>
    <t>Granny Triangle</t>
  </si>
  <si>
    <t>Grape tee</t>
  </si>
  <si>
    <t>Grape t-shirt</t>
  </si>
  <si>
    <t>Great Dane slim trouser</t>
  </si>
  <si>
    <t>Greece Shape Swimsuit</t>
  </si>
  <si>
    <t>Greenville medium support bra</t>
  </si>
  <si>
    <t>Greenwhich Blouse</t>
  </si>
  <si>
    <t>Greta</t>
  </si>
  <si>
    <t>Greta Bikini (Camelia) 3p</t>
  </si>
  <si>
    <t>Greta Ch hipster ctn 3p</t>
  </si>
  <si>
    <t>Greta ctn brazilian 3p</t>
  </si>
  <si>
    <t>Greta Hip reg.(Poppy) Mi 3p</t>
  </si>
  <si>
    <t>Greta Hipster Ch. (Poppy) L 3p</t>
  </si>
  <si>
    <t>Greta Rhinestone</t>
  </si>
  <si>
    <t>Greta Shortie (Daisy Mid) 3p</t>
  </si>
  <si>
    <t>GRETA SKIRT</t>
  </si>
  <si>
    <t>GRETA SKIRT S.0</t>
  </si>
  <si>
    <t>Greta Thong Mynta Low 3p</t>
  </si>
  <si>
    <t>Grey Dublin puffer</t>
  </si>
  <si>
    <t>Grey Megan jazz pants</t>
  </si>
  <si>
    <t>Greyworm tapered trouser RW</t>
  </si>
  <si>
    <t>Griezman</t>
  </si>
  <si>
    <t>Grimm HW trouser</t>
  </si>
  <si>
    <t>Grimsby</t>
  </si>
  <si>
    <t>Griswold sneaker</t>
  </si>
  <si>
    <t>Guapa</t>
  </si>
  <si>
    <t>GURAM PQ sandal</t>
  </si>
  <si>
    <t>Gurli jumpsuit</t>
  </si>
  <si>
    <t>Gwen Jersey Top</t>
  </si>
  <si>
    <t>Gwyneth Coat</t>
  </si>
  <si>
    <t>Gwyneth Throw On</t>
  </si>
  <si>
    <t>Gyda-</t>
  </si>
  <si>
    <t>Gyda- (1)</t>
  </si>
  <si>
    <t>Gyda!</t>
  </si>
  <si>
    <t>H1 Julia dress</t>
  </si>
  <si>
    <t>H2 Aster dress PI</t>
  </si>
  <si>
    <t>H2 Canna top PI</t>
  </si>
  <si>
    <t>H2 Dogge shirt</t>
  </si>
  <si>
    <t>H2 Fisherhen knit</t>
  </si>
  <si>
    <t>H2 Flores skirt</t>
  </si>
  <si>
    <t>H2 Lauren dress PI</t>
  </si>
  <si>
    <t>H2 Rosemary shirtdress</t>
  </si>
  <si>
    <t>Haag Cardigan</t>
  </si>
  <si>
    <t>Hadid Long Sweater</t>
  </si>
  <si>
    <t>Hail top</t>
  </si>
  <si>
    <t>Hailey Dress</t>
  </si>
  <si>
    <t>HAILEY SKIRT S.0</t>
  </si>
  <si>
    <t>Half jumper</t>
  </si>
  <si>
    <t>Hallie blouse</t>
  </si>
  <si>
    <t>Hallie Pull- On Shorts</t>
  </si>
  <si>
    <t>Hallie Shorts</t>
  </si>
  <si>
    <t>Halter</t>
  </si>
  <si>
    <t>Han sleeve</t>
  </si>
  <si>
    <t>Hanker</t>
  </si>
  <si>
    <t>Hanker Peacoat</t>
  </si>
  <si>
    <t>Hanna sweater</t>
  </si>
  <si>
    <t>Hanna tee body</t>
  </si>
  <si>
    <t>Hannah lace dress</t>
  </si>
  <si>
    <t>Hannah WL sneaker</t>
  </si>
  <si>
    <t>Hannele occasion dress</t>
  </si>
  <si>
    <t>Hans HW</t>
  </si>
  <si>
    <t>Hans top</t>
  </si>
  <si>
    <t>Hansel Boot</t>
  </si>
  <si>
    <t>Hansel PQM</t>
  </si>
  <si>
    <t>Harajuku</t>
  </si>
  <si>
    <t>Harem trousers</t>
  </si>
  <si>
    <t>Harley cropped RW jersey trs</t>
  </si>
  <si>
    <t>Harper dress w</t>
  </si>
  <si>
    <t>Harrier slim fit V-neck</t>
  </si>
  <si>
    <t>Harrison</t>
  </si>
  <si>
    <t>Harrison (1)</t>
  </si>
  <si>
    <t>Harrison short sleeve top CN</t>
  </si>
  <si>
    <t>Harry</t>
  </si>
  <si>
    <t>Harry Push Bra</t>
  </si>
  <si>
    <t>Harry Push Triangle</t>
  </si>
  <si>
    <t>Harry tie Tanga</t>
  </si>
  <si>
    <t>hasselhof swimsuit plus</t>
  </si>
  <si>
    <t>Hathaway</t>
  </si>
  <si>
    <t>HAVANA +</t>
  </si>
  <si>
    <t>Havana cord</t>
  </si>
  <si>
    <t>Havana dress SPEED</t>
  </si>
  <si>
    <t>HAVANA HW tights</t>
  </si>
  <si>
    <t>HAVANA tights</t>
  </si>
  <si>
    <t>HAVANA TIGHTS</t>
  </si>
  <si>
    <t>Havana Top (1)</t>
  </si>
  <si>
    <t>Hawlin Head Band</t>
  </si>
  <si>
    <t>Hayes</t>
  </si>
  <si>
    <t>Hayes slim</t>
  </si>
  <si>
    <t>Hayes slim trouser</t>
  </si>
  <si>
    <t>Haze LS</t>
  </si>
  <si>
    <t>Haze shirt dress</t>
  </si>
  <si>
    <t>Hazel playsuit</t>
  </si>
  <si>
    <t>Hazelnut</t>
  </si>
  <si>
    <t>Hazelnut Brazilian Acacia Low</t>
  </si>
  <si>
    <t>Hazelnut Brazilian Azalea Low</t>
  </si>
  <si>
    <t>Hazelnut Push Balconette</t>
  </si>
  <si>
    <t>Hazelnut push body</t>
  </si>
  <si>
    <t>Hazelnut Push Melbourne</t>
  </si>
  <si>
    <t>Hazelnut Push Melbourne Straps</t>
  </si>
  <si>
    <t>Heart</t>
  </si>
  <si>
    <t>Heartless trousers</t>
  </si>
  <si>
    <t>Heath slim chinos</t>
  </si>
  <si>
    <t>Heather</t>
  </si>
  <si>
    <t>HEATHER halfzip ls</t>
  </si>
  <si>
    <t>HEAVEN shaping HW tight</t>
  </si>
  <si>
    <t>HEAVEN shaping HW tights</t>
  </si>
  <si>
    <t>Heavy Chain 1p Tights</t>
  </si>
  <si>
    <t>Heavy jsy long leg</t>
  </si>
  <si>
    <t>Heavy plain 2 p tights</t>
  </si>
  <si>
    <t>Hedda Dress</t>
  </si>
  <si>
    <t>Hedda HW leggings</t>
  </si>
  <si>
    <t>Hedwig essential</t>
  </si>
  <si>
    <t>Heidi jumpsuite</t>
  </si>
  <si>
    <t>Helsinki (1)</t>
  </si>
  <si>
    <t>Henric fargo wireless push</t>
  </si>
  <si>
    <t>Henric Superpush</t>
  </si>
  <si>
    <t>Henrik ballerina</t>
  </si>
  <si>
    <t>Henry court PQ</t>
  </si>
  <si>
    <t>Henry polo (1)</t>
  </si>
  <si>
    <t>Hepburn top</t>
  </si>
  <si>
    <t>Hera Padded</t>
  </si>
  <si>
    <t>Herbal hood TOP PRODUCT</t>
  </si>
  <si>
    <t>HERBAL HOOD TVP</t>
  </si>
  <si>
    <t>Herbal hood TVP</t>
  </si>
  <si>
    <t>Herbal Hood- TVP</t>
  </si>
  <si>
    <t>HERO MOLDED LOW SUPPORT BRA</t>
  </si>
  <si>
    <t>Hiara Blouse</t>
  </si>
  <si>
    <t>Hibiscus top</t>
  </si>
  <si>
    <t>Highwaist 30 den 1p Tights</t>
  </si>
  <si>
    <t>Hildur wedge</t>
  </si>
  <si>
    <t>HILLA HW bottom</t>
  </si>
  <si>
    <t>Hilly Biker 2pk HW LS</t>
  </si>
  <si>
    <t>Hilly Biker 2pk LT</t>
  </si>
  <si>
    <t>Hilly body Unpad LS</t>
  </si>
  <si>
    <t>Hilly Brief 2pk HW LS</t>
  </si>
  <si>
    <t>Hilly Brief 2pk LT</t>
  </si>
  <si>
    <t>Hilly dress</t>
  </si>
  <si>
    <t>Hilly strapless dress LT</t>
  </si>
  <si>
    <t>Hilly Thong 2pk</t>
  </si>
  <si>
    <t>Himla top</t>
  </si>
  <si>
    <t>Hip hugger NW straight denim</t>
  </si>
  <si>
    <t>Hitchcock</t>
  </si>
  <si>
    <t>HM+ Adele LS</t>
  </si>
  <si>
    <t>HM+ Barza tapered trs</t>
  </si>
  <si>
    <t>HM+ Cora tee</t>
  </si>
  <si>
    <t>HM+ Glans SS tunic</t>
  </si>
  <si>
    <t>HM+ Hilly Biker 2pk</t>
  </si>
  <si>
    <t>HM+ Hilly brief 2pk</t>
  </si>
  <si>
    <t>HM+ Jackie Brief HW LS</t>
  </si>
  <si>
    <t>HM+ Kim 2p padded</t>
  </si>
  <si>
    <t>HM+ Maja  SS tee</t>
  </si>
  <si>
    <t>HM+ Mindy tank top</t>
  </si>
  <si>
    <t>HM+ Missy Elliot</t>
  </si>
  <si>
    <t>HM+ Missy Elliott tunic</t>
  </si>
  <si>
    <t>HM+ Track dress</t>
  </si>
  <si>
    <t>HM+ Virgil Linen Shirt</t>
  </si>
  <si>
    <t>hockey bodycon</t>
  </si>
  <si>
    <t>Hodor</t>
  </si>
  <si>
    <t>Holiday HW trouser</t>
  </si>
  <si>
    <t>Hollie offshoulder Jumper</t>
  </si>
  <si>
    <t>Holloway dress</t>
  </si>
  <si>
    <t>Holly ballerina</t>
  </si>
  <si>
    <t>Holly ballerina(1)</t>
  </si>
  <si>
    <t>Holly brazilian w tie ribbons</t>
  </si>
  <si>
    <t>Holly lace-back Brazilian</t>
  </si>
  <si>
    <t>Holly Push Bralette w. Straps</t>
  </si>
  <si>
    <t>Holly Push Melbourne</t>
  </si>
  <si>
    <t>HOLLY SHIRT S.9</t>
  </si>
  <si>
    <t>Holly summer off shoulder</t>
  </si>
  <si>
    <t>Holly Thong Mynta 2p</t>
  </si>
  <si>
    <t>Hollywood Denim TRS</t>
  </si>
  <si>
    <t>Home Parka S0</t>
  </si>
  <si>
    <t>Honey Coat</t>
  </si>
  <si>
    <t>Honey J</t>
  </si>
  <si>
    <t>HONEY long bralette</t>
  </si>
  <si>
    <t>Honey PU dress</t>
  </si>
  <si>
    <t>HONEY seamless bra</t>
  </si>
  <si>
    <t>Honey seamless bra</t>
  </si>
  <si>
    <t>HONEY seamless bra (1)</t>
  </si>
  <si>
    <t>Honey Shape Swimsuit</t>
  </si>
  <si>
    <t>Honolulu body</t>
  </si>
  <si>
    <t>Honolulu cord</t>
  </si>
  <si>
    <t>Hood W Zip</t>
  </si>
  <si>
    <t>Hope HW tapered linen</t>
  </si>
  <si>
    <t>Horse</t>
  </si>
  <si>
    <t>Houston jumpsuit</t>
  </si>
  <si>
    <t>Hubba Bubba push triangle</t>
  </si>
  <si>
    <t>Hubba Bubba V shape brief</t>
  </si>
  <si>
    <t>Hudson shorts</t>
  </si>
  <si>
    <t>Hudson shorts (1)</t>
  </si>
  <si>
    <t>Hudson shorts TVP</t>
  </si>
  <si>
    <t>Huffel puffer jacket</t>
  </si>
  <si>
    <t>Hugolina</t>
  </si>
  <si>
    <t>Humble Top</t>
  </si>
  <si>
    <t>Hunni 2-pack</t>
  </si>
  <si>
    <t>HW Racing catsuit</t>
  </si>
  <si>
    <t>Ibiza HW Woven Relaxed  TRS</t>
  </si>
  <si>
    <t>Ibiza Vis. TRS</t>
  </si>
  <si>
    <t>Ice Lolly</t>
  </si>
  <si>
    <t>Iceland plisse top</t>
  </si>
  <si>
    <t>Icona Dress</t>
  </si>
  <si>
    <t>Ida</t>
  </si>
  <si>
    <t>Ida Panel Jogger</t>
  </si>
  <si>
    <t>Ida Slim Slacks</t>
  </si>
  <si>
    <t>illia jumpsuit</t>
  </si>
  <si>
    <t>Ilona slip-in</t>
  </si>
  <si>
    <t>Ilse cable</t>
  </si>
  <si>
    <t>Ilse halterneck body</t>
  </si>
  <si>
    <t>Ilse Padded Halterneck</t>
  </si>
  <si>
    <t>Imani Dress</t>
  </si>
  <si>
    <t>Inca boot</t>
  </si>
  <si>
    <t>Indio denim skirt</t>
  </si>
  <si>
    <t>Inez Denim Shorts</t>
  </si>
  <si>
    <t>Inez Dress</t>
  </si>
  <si>
    <t>Inga 7p Ct Hipster</t>
  </si>
  <si>
    <t>Inga hipster shopbasket 7p</t>
  </si>
  <si>
    <t>INGRID BASIC HOOD</t>
  </si>
  <si>
    <t>Ingrid PQ sneaker</t>
  </si>
  <si>
    <t>Inverness midi dress</t>
  </si>
  <si>
    <t>Irene high shaft boot</t>
  </si>
  <si>
    <t>Iris</t>
  </si>
  <si>
    <t>Iris HW super wide</t>
  </si>
  <si>
    <t>Iris Linen Jogger R.W</t>
  </si>
  <si>
    <t>Iris Linen Pull on</t>
  </si>
  <si>
    <t>Irma SL-set (J)</t>
  </si>
  <si>
    <t>Irma svettis</t>
  </si>
  <si>
    <t>Irma sweater</t>
  </si>
  <si>
    <t>Isa Cardigan</t>
  </si>
  <si>
    <t>Isabel sandal</t>
  </si>
  <si>
    <t>Isabella</t>
  </si>
  <si>
    <t>Isabella shirt</t>
  </si>
  <si>
    <t>Isadora shell top</t>
  </si>
  <si>
    <t>Isafie Cardigan</t>
  </si>
  <si>
    <t>Isak shortsleeve popover</t>
  </si>
  <si>
    <t>Isla bonita</t>
  </si>
  <si>
    <t>Isola skirt</t>
  </si>
  <si>
    <t>Issa shorts</t>
  </si>
  <si>
    <t>Italy dress</t>
  </si>
  <si>
    <t>ITALY Trouser</t>
  </si>
  <si>
    <t>Ivan</t>
  </si>
  <si>
    <t>Ivanovo</t>
  </si>
  <si>
    <t>Ivanovo fluff</t>
  </si>
  <si>
    <t>Iverson Dress</t>
  </si>
  <si>
    <t>Ivita jumpsuit SPEED</t>
  </si>
  <si>
    <t>Ivory ch brazilian 5pk</t>
  </si>
  <si>
    <t>Ivory Ch. braz. Low Acacia 3pk</t>
  </si>
  <si>
    <t>Ivy jumpsuit</t>
  </si>
  <si>
    <t>Ivy jumpsuit W</t>
  </si>
  <si>
    <t>Ivy jumpsuit w</t>
  </si>
  <si>
    <t>Ivy shorts</t>
  </si>
  <si>
    <t>Ivy shorts TVP</t>
  </si>
  <si>
    <t>IZZY cinched loose tee</t>
  </si>
  <si>
    <t>IZZY KNOT loose tee</t>
  </si>
  <si>
    <t>IZZY loose tee (1)</t>
  </si>
  <si>
    <t>IZZY TEE</t>
  </si>
  <si>
    <t>Izzy tee</t>
  </si>
  <si>
    <t>IZZY+ (1)</t>
  </si>
  <si>
    <t>J Ballet</t>
  </si>
  <si>
    <t>J Beso</t>
  </si>
  <si>
    <t>J Blossom lace</t>
  </si>
  <si>
    <t>J Burrata</t>
  </si>
  <si>
    <t>J Calabasas</t>
  </si>
  <si>
    <t>J Caroline</t>
  </si>
  <si>
    <t>J Clubba Lace OPT 3</t>
  </si>
  <si>
    <t>J Clubba Lace OPT4</t>
  </si>
  <si>
    <t>J Cream lace</t>
  </si>
  <si>
    <t>J FRANCESCA DRESS EQ</t>
  </si>
  <si>
    <t>J KIMMY DRESS EQ</t>
  </si>
  <si>
    <t>J MARINE PLAYSUIT</t>
  </si>
  <si>
    <t>J Panther</t>
  </si>
  <si>
    <t>J Persilja</t>
  </si>
  <si>
    <t>J Persilja(1)</t>
  </si>
  <si>
    <t>J rintintin</t>
  </si>
  <si>
    <t>J Sienna</t>
  </si>
  <si>
    <t>J Soulmate.</t>
  </si>
  <si>
    <t>J Steamy</t>
  </si>
  <si>
    <t>J Toffee</t>
  </si>
  <si>
    <t>J Tzatziki</t>
  </si>
  <si>
    <t>Jack jersey denim</t>
  </si>
  <si>
    <t>Jack Skinny Slack</t>
  </si>
  <si>
    <t>Jack Skinny Trs</t>
  </si>
  <si>
    <t>JACKET BASIC 89</t>
  </si>
  <si>
    <t>Jacket Boxy</t>
  </si>
  <si>
    <t>Jacket Core</t>
  </si>
  <si>
    <t>Jacket Or</t>
  </si>
  <si>
    <t>Jacket Original</t>
  </si>
  <si>
    <t>Jacket Oversize</t>
  </si>
  <si>
    <t>Jacket Oversize.</t>
  </si>
  <si>
    <t>Jacket Slim</t>
  </si>
  <si>
    <t>Jacket Slim (1)</t>
  </si>
  <si>
    <t>Jacket Trucker</t>
  </si>
  <si>
    <t>Jacket Trucker Belted</t>
  </si>
  <si>
    <t>Jackie brazillian</t>
  </si>
  <si>
    <t>Jackie brief 2pk HR LS</t>
  </si>
  <si>
    <t>Jackie brief 2pk LT</t>
  </si>
  <si>
    <t>jackie dress</t>
  </si>
  <si>
    <t>Jackie heel</t>
  </si>
  <si>
    <t>Jackie O dress</t>
  </si>
  <si>
    <t>Jackson jumpsuit 1</t>
  </si>
  <si>
    <t>JACKSSON SMOCK TOP</t>
  </si>
  <si>
    <t>Jacqueline Strap dress</t>
  </si>
  <si>
    <t>Jade body</t>
  </si>
  <si>
    <t>Jade Denim HW trs</t>
  </si>
  <si>
    <t>Jade Denim Petite Trs 1</t>
  </si>
  <si>
    <t>Jade Denim TRS</t>
  </si>
  <si>
    <t>Jade HW denim trs</t>
  </si>
  <si>
    <t>Jade Trash HW Skinny Denim TRS</t>
  </si>
  <si>
    <t>Jade Wedding Blazer</t>
  </si>
  <si>
    <t>Jadyn sneaker speed</t>
  </si>
  <si>
    <t>Jafar</t>
  </si>
  <si>
    <t>Jaffa t-shirt</t>
  </si>
  <si>
    <t>Jagger pant</t>
  </si>
  <si>
    <t>Jaguar</t>
  </si>
  <si>
    <t>JAIPUR BLOUSE</t>
  </si>
  <si>
    <t>JAKE FLANNEL TRS</t>
  </si>
  <si>
    <t>JAKE WOVEN TRS</t>
  </si>
  <si>
    <t>Jalin linen</t>
  </si>
  <si>
    <t>Jalin linen(1)</t>
  </si>
  <si>
    <t>Jamaica SW</t>
  </si>
  <si>
    <t>James</t>
  </si>
  <si>
    <t>James basic hip belt</t>
  </si>
  <si>
    <t>James basic hip belt (1)</t>
  </si>
  <si>
    <t>James Biker</t>
  </si>
  <si>
    <t>James blouse</t>
  </si>
  <si>
    <t>James slim polo</t>
  </si>
  <si>
    <t>Jamie Skinny Cropped Trs</t>
  </si>
  <si>
    <t>Jan poplin shirt</t>
  </si>
  <si>
    <t>Jan tee</t>
  </si>
  <si>
    <t>JANA SUNGLASSES</t>
  </si>
  <si>
    <t>Jane Blouse</t>
  </si>
  <si>
    <t>Jane HW tapered</t>
  </si>
  <si>
    <t>Jane Swimsuit</t>
  </si>
  <si>
    <t>Janero maxi dress</t>
  </si>
  <si>
    <t>Janet</t>
  </si>
  <si>
    <t>Janet  n-shirt (W)</t>
  </si>
  <si>
    <t>Janet Sl-set (W)</t>
  </si>
  <si>
    <t>Janine dress</t>
  </si>
  <si>
    <t>janita</t>
  </si>
  <si>
    <t>Janita fancy</t>
  </si>
  <si>
    <t>Janni</t>
  </si>
  <si>
    <t>Japan dress</t>
  </si>
  <si>
    <t>Japan top</t>
  </si>
  <si>
    <t>Japan trousers</t>
  </si>
  <si>
    <t>Japp oversize sweater</t>
  </si>
  <si>
    <t>Jasmine</t>
  </si>
  <si>
    <t>Jason</t>
  </si>
  <si>
    <t>Jason Dress</t>
  </si>
  <si>
    <t>JAVA trousers</t>
  </si>
  <si>
    <t>JAVA trs</t>
  </si>
  <si>
    <t>Jax Hipster (Poppy) 3p</t>
  </si>
  <si>
    <t>Jax Softtop 2 pk ( OPEN )</t>
  </si>
  <si>
    <t>Jax Top</t>
  </si>
  <si>
    <t>Jay playsuit</t>
  </si>
  <si>
    <t>Jay premium quality puffer</t>
  </si>
  <si>
    <t>Jay tech pant</t>
  </si>
  <si>
    <t>Jeanne jumper</t>
  </si>
  <si>
    <t>Jeff o/d pullon</t>
  </si>
  <si>
    <t>Jeggings H.W</t>
  </si>
  <si>
    <t>JEKYL SWEATSHIRT</t>
  </si>
  <si>
    <t>JELLYFISH highleg 2-pack</t>
  </si>
  <si>
    <t>Jen Bermuda denim shorts</t>
  </si>
  <si>
    <t>Jen Bermuda Shorts</t>
  </si>
  <si>
    <t>jenga shorts</t>
  </si>
  <si>
    <t>Jenna hybrid</t>
  </si>
  <si>
    <t>Jenner waist belt</t>
  </si>
  <si>
    <t>Jennifer</t>
  </si>
  <si>
    <t>Jennifer (1)</t>
  </si>
  <si>
    <t>Jennifer fancy (1)</t>
  </si>
  <si>
    <t>Jennifer long</t>
  </si>
  <si>
    <t>Jennifer tee</t>
  </si>
  <si>
    <t>Jennifer Top</t>
  </si>
  <si>
    <t>Jenny boho dress</t>
  </si>
  <si>
    <t>Jenny Boot</t>
  </si>
  <si>
    <t>Jenny Sock 5-pack</t>
  </si>
  <si>
    <t>Jens</t>
  </si>
  <si>
    <t>Jerry Jogger</t>
  </si>
  <si>
    <t>Jerry tee</t>
  </si>
  <si>
    <t>Jersey Blazer 1</t>
  </si>
  <si>
    <t>JERSEY HANGING LL PJ (J)</t>
  </si>
  <si>
    <t>Jesper light down jacket</t>
  </si>
  <si>
    <t>Jess oversize LS</t>
  </si>
  <si>
    <t>Jessica Slim HW Zip</t>
  </si>
  <si>
    <t>Jessie Jumpsuit</t>
  </si>
  <si>
    <t>JESSY JERSEY SKIRT</t>
  </si>
  <si>
    <t>JESSY SKIRT</t>
  </si>
  <si>
    <t>JESSY SKIRT S.0</t>
  </si>
  <si>
    <t>Jewels</t>
  </si>
  <si>
    <t>Jill l/s dress w</t>
  </si>
  <si>
    <t>Jill SS dress</t>
  </si>
  <si>
    <t>Jill ss dress w</t>
  </si>
  <si>
    <t>Jim semi boot</t>
  </si>
  <si>
    <t>Jiminy</t>
  </si>
  <si>
    <t>Jingan (1)</t>
  </si>
  <si>
    <t>Joan boot</t>
  </si>
  <si>
    <t>Joar CS blouse</t>
  </si>
  <si>
    <t>Jodi shirt dress w</t>
  </si>
  <si>
    <t>Jodi skirt</t>
  </si>
  <si>
    <t>Joe top</t>
  </si>
  <si>
    <t>Joel basic shorts zipped</t>
  </si>
  <si>
    <t>Joel light down jacket</t>
  </si>
  <si>
    <t>Joel straw shopper</t>
  </si>
  <si>
    <t>Joen</t>
  </si>
  <si>
    <t>Joey</t>
  </si>
  <si>
    <t>Joey crewneck sweater</t>
  </si>
  <si>
    <t>Joffrey Bomber.</t>
  </si>
  <si>
    <t>Jogger Knit 89</t>
  </si>
  <si>
    <t>Johan Rollerneck</t>
  </si>
  <si>
    <t>Johan update sebi</t>
  </si>
  <si>
    <t>Johanna Dress</t>
  </si>
  <si>
    <t>Johannesburg</t>
  </si>
  <si>
    <t>John sunglasses</t>
  </si>
  <si>
    <t>Johnny</t>
  </si>
  <si>
    <t>Johnny Cargo</t>
  </si>
  <si>
    <t>Johnny cashmere jumper</t>
  </si>
  <si>
    <t>Johnny knitted jumper</t>
  </si>
  <si>
    <t>Johnny or Beverly</t>
  </si>
  <si>
    <t>Jolanta highleg brazilian LT</t>
  </si>
  <si>
    <t>Joli Party tee</t>
  </si>
  <si>
    <t>JOLIEN STRAP</t>
  </si>
  <si>
    <t>Jolien strap tank</t>
  </si>
  <si>
    <t>Jolien straptank</t>
  </si>
  <si>
    <t>Jonas Pinafore (1)</t>
  </si>
  <si>
    <t>Jonas skirt</t>
  </si>
  <si>
    <t>Jonas Slim 5-pkt Trs</t>
  </si>
  <si>
    <t>JONES 5-PKT SHORTS</t>
  </si>
  <si>
    <t>Jones 5-pkt Slim Shorts</t>
  </si>
  <si>
    <t>Jones Denim Slim Shorts</t>
  </si>
  <si>
    <t>Jonte Skinny Jogger 24.99:-</t>
  </si>
  <si>
    <t>Jonte Slim Jogger 24.99:-</t>
  </si>
  <si>
    <t>Joplin</t>
  </si>
  <si>
    <t>Jorah brodey anglai skirt</t>
  </si>
  <si>
    <t>Jordan</t>
  </si>
  <si>
    <t>JORDAN BLOUSE</t>
  </si>
  <si>
    <t>JORDAN FLANNEL PJ SET</t>
  </si>
  <si>
    <t>Josef</t>
  </si>
  <si>
    <t>JOSEFINE SHIRT</t>
  </si>
  <si>
    <t>Jossan Shorts</t>
  </si>
  <si>
    <t>Joy cardigan</t>
  </si>
  <si>
    <t>JOYCE SKIRT</t>
  </si>
  <si>
    <t>Juan</t>
  </si>
  <si>
    <t>Juan lace strap top</t>
  </si>
  <si>
    <t>Juanos</t>
  </si>
  <si>
    <t>Judge Judy Padded</t>
  </si>
  <si>
    <t>Judi</t>
  </si>
  <si>
    <t>Judy lace top</t>
  </si>
  <si>
    <t>Juicy Fruit Padded Bandeau</t>
  </si>
  <si>
    <t>Julia Denim Petite Trs 1</t>
  </si>
  <si>
    <t>Julia Denim RW TRS</t>
  </si>
  <si>
    <t>Julia Denim TRS</t>
  </si>
  <si>
    <t>Julia Hoodie</t>
  </si>
  <si>
    <t>Julia jumpsuit</t>
  </si>
  <si>
    <t>Julia RW Denim TRS</t>
  </si>
  <si>
    <t>Julia RW Skinny Denim TRS</t>
  </si>
  <si>
    <t>Julie</t>
  </si>
  <si>
    <t>Julie (1)</t>
  </si>
  <si>
    <t>Julie jumpsuit</t>
  </si>
  <si>
    <t>Julie Seam At Back 1p tights</t>
  </si>
  <si>
    <t>Julie top</t>
  </si>
  <si>
    <t>Juliet Body</t>
  </si>
  <si>
    <t>June Jeggings</t>
  </si>
  <si>
    <t>Juni 2pk Push Melbourne Micro</t>
  </si>
  <si>
    <t>Juni Padded (Idro) 2p</t>
  </si>
  <si>
    <t>Juno</t>
  </si>
  <si>
    <t>Juno dress</t>
  </si>
  <si>
    <t>Juno regular shirt</t>
  </si>
  <si>
    <t>Jupiter</t>
  </si>
  <si>
    <t>Jupiter dress</t>
  </si>
  <si>
    <t>Jupiter Sandal</t>
  </si>
  <si>
    <t>Jupiter v-neck</t>
  </si>
  <si>
    <t>Just for Life Tie Brief</t>
  </si>
  <si>
    <t>Just for Life Top</t>
  </si>
  <si>
    <t>JUST PINK DRESS</t>
  </si>
  <si>
    <t>JUST PINK DRESS(1)</t>
  </si>
  <si>
    <t>Kady Mock Neck Sweater</t>
  </si>
  <si>
    <t>Kady Mock Neck Sweater TVP</t>
  </si>
  <si>
    <t>Kahl denim skirt</t>
  </si>
  <si>
    <t>Kai jumper</t>
  </si>
  <si>
    <t>Kaia Push Balboa</t>
  </si>
  <si>
    <t>Kaitlin cardigan</t>
  </si>
  <si>
    <t>Kaizen Teddy</t>
  </si>
  <si>
    <t>KAIZEN TM</t>
  </si>
  <si>
    <t>Kaj tapered</t>
  </si>
  <si>
    <t>Kajsa HW</t>
  </si>
  <si>
    <t>Kajsa loafer</t>
  </si>
  <si>
    <t>Kalas puffer</t>
  </si>
  <si>
    <t>Kalinda</t>
  </si>
  <si>
    <t>Kalinda trs</t>
  </si>
  <si>
    <t>Kalmia</t>
  </si>
  <si>
    <t>Kamchatka</t>
  </si>
  <si>
    <t>Kamchatka fluff</t>
  </si>
  <si>
    <t>Kamikaze</t>
  </si>
  <si>
    <t>Kamikaze CF</t>
  </si>
  <si>
    <t>KAMIKAZE CF TVP</t>
  </si>
  <si>
    <t>Kamikaze TVP- TM</t>
  </si>
  <si>
    <t>Kane highshaft</t>
  </si>
  <si>
    <t>Kansas jumpsuit</t>
  </si>
  <si>
    <t>Kanta RW Slacks</t>
  </si>
  <si>
    <t>Kanta slacks</t>
  </si>
  <si>
    <t>Kanta trouser</t>
  </si>
  <si>
    <t>Kapten coat TR</t>
  </si>
  <si>
    <t>Karamell slacks</t>
  </si>
  <si>
    <t>Kardashian Shorts</t>
  </si>
  <si>
    <t>Karen</t>
  </si>
  <si>
    <t>Karen PQ boot</t>
  </si>
  <si>
    <t>Karenina Jacket</t>
  </si>
  <si>
    <t>Kari sweater</t>
  </si>
  <si>
    <t>Karin headband</t>
  </si>
  <si>
    <t>KARIN MID SUPPORT BRA</t>
  </si>
  <si>
    <t>KARIN MID SUPPORT BRA+</t>
  </si>
  <si>
    <t>KARIN PADDED bra</t>
  </si>
  <si>
    <t>Karin padded sport bra</t>
  </si>
  <si>
    <t>KARIN PADDED sports bra</t>
  </si>
  <si>
    <t>KARIN PADDED SPORTS BRA+</t>
  </si>
  <si>
    <t>KARIN sports bra</t>
  </si>
  <si>
    <t>KARIN SPORTS BRA</t>
  </si>
  <si>
    <t>KARIN+</t>
  </si>
  <si>
    <t>Karis</t>
  </si>
  <si>
    <t>Karl turtleneck jumper</t>
  </si>
  <si>
    <t>Karla blouse</t>
  </si>
  <si>
    <t>Karla knitted skirt</t>
  </si>
  <si>
    <t>Karlshamn strap top</t>
  </si>
  <si>
    <t>Karma dress</t>
  </si>
  <si>
    <t>Kat dress</t>
  </si>
  <si>
    <t>KAT PINNAFORE</t>
  </si>
  <si>
    <t>KAT PINNAFORE S.9</t>
  </si>
  <si>
    <t>Katalin body</t>
  </si>
  <si>
    <t>KATALINA SKIRT S.0</t>
  </si>
  <si>
    <t>Katarina softbra 2pk</t>
  </si>
  <si>
    <t>KATE BLOUSE</t>
  </si>
  <si>
    <t>Kate slip skirt</t>
  </si>
  <si>
    <t>Katie</t>
  </si>
  <si>
    <t>Katie Dress (1)</t>
  </si>
  <si>
    <t>Katie Skirt</t>
  </si>
  <si>
    <t>Katja knot dress</t>
  </si>
  <si>
    <t>Katsu</t>
  </si>
  <si>
    <t>Katy Sl-set DTP (W)</t>
  </si>
  <si>
    <t>Kay blouse 1</t>
  </si>
  <si>
    <t>Keats</t>
  </si>
  <si>
    <t>Keeshound fur jacket</t>
  </si>
  <si>
    <t>Kellis Lurex</t>
  </si>
  <si>
    <t>Kelly</t>
  </si>
  <si>
    <t>Kelly 2pk Melbourne push ct</t>
  </si>
  <si>
    <t>Kelly jumpsuit</t>
  </si>
  <si>
    <t>Kelly Lace Padded Idro 2p</t>
  </si>
  <si>
    <t>Kelly poncho</t>
  </si>
  <si>
    <t>Kelly Push (Melbourne) ctn 2p</t>
  </si>
  <si>
    <t>KELLY S.8</t>
  </si>
  <si>
    <t>KELLY SHIRT</t>
  </si>
  <si>
    <t>KELLY SHIRT S.0</t>
  </si>
  <si>
    <t>KELLY SHIRT S.1</t>
  </si>
  <si>
    <t>KELLY SHIRT S9</t>
  </si>
  <si>
    <t>Kelly Softbra 2pk</t>
  </si>
  <si>
    <t>Kelly Strapless (Sofia) 2pk</t>
  </si>
  <si>
    <t>Kendal sandalette</t>
  </si>
  <si>
    <t>Kendall biker 2-pack</t>
  </si>
  <si>
    <t>Kendall bikerpant</t>
  </si>
  <si>
    <t>Kendall Denim TRS</t>
  </si>
  <si>
    <t>Kendall RW Denim TRS</t>
  </si>
  <si>
    <t>Kennedy dress (1)</t>
  </si>
  <si>
    <t>Kennedy skinny chinos</t>
  </si>
  <si>
    <t>Kennedy skinny stretch chinos</t>
  </si>
  <si>
    <t>Kenntucky skirt</t>
  </si>
  <si>
    <t>KENSINGTON SHIRT</t>
  </si>
  <si>
    <t>Kent top</t>
  </si>
  <si>
    <t>Kenzy Denim Dungaree</t>
  </si>
  <si>
    <t>Kepner cargo jogger R.W</t>
  </si>
  <si>
    <t>Kermit paperbag trouser</t>
  </si>
  <si>
    <t>Kevin</t>
  </si>
  <si>
    <t>Kevin softshell jacket (1)</t>
  </si>
  <si>
    <t>Khleo</t>
  </si>
  <si>
    <t>Khloe Kim set</t>
  </si>
  <si>
    <t>Khloe Malta bandeau</t>
  </si>
  <si>
    <t>Khloe push body</t>
  </si>
  <si>
    <t>Khloe rio</t>
  </si>
  <si>
    <t>Khloe RW</t>
  </si>
  <si>
    <t>Khloe Seamless padded soft bra</t>
  </si>
  <si>
    <t>Khloe SP Seamless Andes</t>
  </si>
  <si>
    <t>Khloe V-shape brazilian 2pack</t>
  </si>
  <si>
    <t>Kia</t>
  </si>
  <si>
    <t>Kia paperbag</t>
  </si>
  <si>
    <t>Kia Paperbag</t>
  </si>
  <si>
    <t>Kia Paperbag (1)</t>
  </si>
  <si>
    <t>KIANDRA bikini top</t>
  </si>
  <si>
    <t>KIANDRA bikini top (1)</t>
  </si>
  <si>
    <t>Kiara</t>
  </si>
  <si>
    <t>Kicki dress</t>
  </si>
  <si>
    <t>Kiev</t>
  </si>
  <si>
    <t>Kiev Suede Coat</t>
  </si>
  <si>
    <t>Kiev super trash denim jacket</t>
  </si>
  <si>
    <t>Kiev Trash Denim Jkt</t>
  </si>
  <si>
    <t>Kim dungaree W</t>
  </si>
  <si>
    <t>Kim leggins</t>
  </si>
  <si>
    <t>Kim LL PJ (W)</t>
  </si>
  <si>
    <t>Kim low waist (W)</t>
  </si>
  <si>
    <t>Kim mesh tee</t>
  </si>
  <si>
    <t>Kim pinafore dress</t>
  </si>
  <si>
    <t>Kim SL-set</t>
  </si>
  <si>
    <t>Kim Sl-set (W)</t>
  </si>
  <si>
    <t>Kim superskinny low waist</t>
  </si>
  <si>
    <t>Kimmi</t>
  </si>
  <si>
    <t>Kimmi blazer</t>
  </si>
  <si>
    <t>Kimmy Sandal</t>
  </si>
  <si>
    <t>KIND DRESS</t>
  </si>
  <si>
    <t>Kinen sneaker</t>
  </si>
  <si>
    <t>Kinen sneaker speed P1 c/w</t>
  </si>
  <si>
    <t>King PU trouser</t>
  </si>
  <si>
    <t>Kingfisher linen</t>
  </si>
  <si>
    <t>Kingslayer pile jacket</t>
  </si>
  <si>
    <t>KIR ROAL</t>
  </si>
  <si>
    <t>Kirsten</t>
  </si>
  <si>
    <t>Kirsten Fleece M-gown (J)</t>
  </si>
  <si>
    <t>Kirsten wrap cardigan</t>
  </si>
  <si>
    <t>Kiruna Polo Neck</t>
  </si>
  <si>
    <t>Kisses Dress</t>
  </si>
  <si>
    <t>KISSY DRESS</t>
  </si>
  <si>
    <t>Kitty Body</t>
  </si>
  <si>
    <t>Kivik Linen Popover</t>
  </si>
  <si>
    <t>Kiwi dress</t>
  </si>
  <si>
    <t>KIWI sweatshirt</t>
  </si>
  <si>
    <t>KLARA trousers</t>
  </si>
  <si>
    <t>Knot aliceband</t>
  </si>
  <si>
    <t>Knot Bitter Swimsuit</t>
  </si>
  <si>
    <t>Knot Blouse</t>
  </si>
  <si>
    <t>Knowles Roll Neck</t>
  </si>
  <si>
    <t>Koa dress Speed</t>
  </si>
  <si>
    <t>Kobe Chelsea Boot</t>
  </si>
  <si>
    <t>KOCOUM BOMBER</t>
  </si>
  <si>
    <t>KOLT PQ boot</t>
  </si>
  <si>
    <t>Kosmos</t>
  </si>
  <si>
    <t>Krabi RTW dress</t>
  </si>
  <si>
    <t>Kram</t>
  </si>
  <si>
    <t>Kravitz dress</t>
  </si>
  <si>
    <t>Kris Shorts (1)</t>
  </si>
  <si>
    <t>Kriss kross sandal</t>
  </si>
  <si>
    <t>Krissy non wire push bra</t>
  </si>
  <si>
    <t>Krystal jumpsuit</t>
  </si>
  <si>
    <t>Krystal jumpsuit (1)</t>
  </si>
  <si>
    <t>Kylie 2p Shorts (J)</t>
  </si>
  <si>
    <t>Kylie cutlines Slim HW DNM</t>
  </si>
  <si>
    <t>Kylie n-slip (J)</t>
  </si>
  <si>
    <t>Kylie shirt sl-set (J)</t>
  </si>
  <si>
    <t>Kylie Slim HW Denim</t>
  </si>
  <si>
    <t>Kylie Sl-set (J)</t>
  </si>
  <si>
    <t>L Christy Pile</t>
  </si>
  <si>
    <t>L Daffodil Shell Jacket</t>
  </si>
  <si>
    <t>L MCO Lambi Coat</t>
  </si>
  <si>
    <t>L Stitch Pile Coat</t>
  </si>
  <si>
    <t>L Sune Shearling Biker</t>
  </si>
  <si>
    <t>L/S Polo Gnocci TVP</t>
  </si>
  <si>
    <t>La Boum Blouse</t>
  </si>
  <si>
    <t>La Brea</t>
  </si>
  <si>
    <t>La la land Bandeau</t>
  </si>
  <si>
    <t>La la land Brief</t>
  </si>
  <si>
    <t>La La land V-nck dress</t>
  </si>
  <si>
    <t>La Paz Cardigan</t>
  </si>
  <si>
    <t>lace it like that swimsuit plu</t>
  </si>
  <si>
    <t>Lady</t>
  </si>
  <si>
    <t>Lady blouse</t>
  </si>
  <si>
    <t>Lady Coat</t>
  </si>
  <si>
    <t>Lady Di</t>
  </si>
  <si>
    <t>Lady Mary top</t>
  </si>
  <si>
    <t>Lady(1)</t>
  </si>
  <si>
    <t>Ladybird crewneck</t>
  </si>
  <si>
    <t>Lage</t>
  </si>
  <si>
    <t>Lagoon Sportstripe Sweater</t>
  </si>
  <si>
    <t>LAGUNA tank top</t>
  </si>
  <si>
    <t>Lake Hairy Off Shoulder</t>
  </si>
  <si>
    <t>LALA fleece half zip</t>
  </si>
  <si>
    <t>Lala Tunic</t>
  </si>
  <si>
    <t>Lama Dress</t>
  </si>
  <si>
    <t>Lamb jumper BRO</t>
  </si>
  <si>
    <t>Lancaster</t>
  </si>
  <si>
    <t>Lance dress</t>
  </si>
  <si>
    <t>Lane hooded pile</t>
  </si>
  <si>
    <t>Lantis</t>
  </si>
  <si>
    <t>LARRY LS HENLEY</t>
  </si>
  <si>
    <t>Lasse deco sweater</t>
  </si>
  <si>
    <t>Lasse Fluff</t>
  </si>
  <si>
    <t>Lasse Fluff Sweater</t>
  </si>
  <si>
    <t>Lassi sandalette</t>
  </si>
  <si>
    <t>LASSIE LINEN L/S</t>
  </si>
  <si>
    <t>Latte RW slacks</t>
  </si>
  <si>
    <t>Latte slacks (1)</t>
  </si>
  <si>
    <t>Lauper Long Sweater</t>
  </si>
  <si>
    <t>Laura short sleeve polo</t>
  </si>
  <si>
    <t>Laura sneaker</t>
  </si>
  <si>
    <t>Laurel kimono</t>
  </si>
  <si>
    <t>Lauren</t>
  </si>
  <si>
    <t>Lauren padded bra</t>
  </si>
  <si>
    <t>Lauren shorts (J)</t>
  </si>
  <si>
    <t>Lauren SL Set (J)</t>
  </si>
  <si>
    <t>Laurent slim fit jogger</t>
  </si>
  <si>
    <t>Lavender Top or Loved up</t>
  </si>
  <si>
    <t>Lay Low Body</t>
  </si>
  <si>
    <t>Lazer Razer Adj. push triangle</t>
  </si>
  <si>
    <t>Lazer Razer Balconette</t>
  </si>
  <si>
    <t>Lazer Razer Brief</t>
  </si>
  <si>
    <t>Lazer Razer High Rise Hipster</t>
  </si>
  <si>
    <t>Lazer Razer Highwaist</t>
  </si>
  <si>
    <t>Lazer Razer Oneshoulder Top</t>
  </si>
  <si>
    <t>Lazer Razer Padded Wire</t>
  </si>
  <si>
    <t>Lazer Razer Plunge Swimsuit</t>
  </si>
  <si>
    <t>Lazer Razer Push Up</t>
  </si>
  <si>
    <t>Lazer Razer Roundneck swimsuit</t>
  </si>
  <si>
    <t>Lazer Razer Sport Top</t>
  </si>
  <si>
    <t>Lazer Razer Top</t>
  </si>
  <si>
    <t>Lazer Razer Triangle  Swimsuit</t>
  </si>
  <si>
    <t>Lazer Razer Triangle Top</t>
  </si>
  <si>
    <t>LEA jumpsuit</t>
  </si>
  <si>
    <t>Lea leather</t>
  </si>
  <si>
    <t>Leandra swimsuit</t>
  </si>
  <si>
    <t>Lee (1)</t>
  </si>
  <si>
    <t>Lee long parka</t>
  </si>
  <si>
    <t>Lee longsleeve</t>
  </si>
  <si>
    <t>Lee Parka</t>
  </si>
  <si>
    <t>Lee rib</t>
  </si>
  <si>
    <t>Lee Top TRIS</t>
  </si>
  <si>
    <t>LEGGY swimsuit</t>
  </si>
  <si>
    <t>Lego t-shirt</t>
  </si>
  <si>
    <t>Legolas SS</t>
  </si>
  <si>
    <t>Leia</t>
  </si>
  <si>
    <t>Leia Parka</t>
  </si>
  <si>
    <t>Lemon Dress</t>
  </si>
  <si>
    <t>Lena</t>
  </si>
  <si>
    <t>Lengthy Shortie</t>
  </si>
  <si>
    <t>lennart dress</t>
  </si>
  <si>
    <t>lennart dress(1)</t>
  </si>
  <si>
    <t>Lennon jumpsuit</t>
  </si>
  <si>
    <t>Lennox</t>
  </si>
  <si>
    <t>Lennox.</t>
  </si>
  <si>
    <t>Lenny dress</t>
  </si>
  <si>
    <t>Leo dress</t>
  </si>
  <si>
    <t>LEO HOOD 14.99</t>
  </si>
  <si>
    <t>LEO SEAMLESS TEE</t>
  </si>
  <si>
    <t>Leon tee</t>
  </si>
  <si>
    <t>Leona</t>
  </si>
  <si>
    <t>Leonardo</t>
  </si>
  <si>
    <t>Leonberger jumpsuit</t>
  </si>
  <si>
    <t>Leonora knitted sweater</t>
  </si>
  <si>
    <t>Leonora off-shoulder</t>
  </si>
  <si>
    <t>LEXI knotted loose tee</t>
  </si>
  <si>
    <t>Lexington</t>
  </si>
  <si>
    <t>Lexy cropped hoodie</t>
  </si>
  <si>
    <t>Lia Slacks</t>
  </si>
  <si>
    <t>Lia Slacks tie belt</t>
  </si>
  <si>
    <t>Liam denim dress</t>
  </si>
  <si>
    <t>Liam plisse dress</t>
  </si>
  <si>
    <t>Libra HW wide</t>
  </si>
  <si>
    <t>Lilac batik svettis</t>
  </si>
  <si>
    <t>Lilac Dress</t>
  </si>
  <si>
    <t>Lilac smock dress</t>
  </si>
  <si>
    <t>Lilja top</t>
  </si>
  <si>
    <t>Lilja trouser</t>
  </si>
  <si>
    <t>Lillibeth jumper</t>
  </si>
  <si>
    <t>Lilly Cross</t>
  </si>
  <si>
    <t>Lilly dress (1)</t>
  </si>
  <si>
    <t>Lilly tank</t>
  </si>
  <si>
    <t>Lilly Wide</t>
  </si>
  <si>
    <t>Lilly Wide trouser</t>
  </si>
  <si>
    <t>Lily</t>
  </si>
  <si>
    <t>Lily blouse</t>
  </si>
  <si>
    <t>Lily dress</t>
  </si>
  <si>
    <t>Lily Dress</t>
  </si>
  <si>
    <t>Lily dress (1)</t>
  </si>
  <si>
    <t>Lily dress W</t>
  </si>
  <si>
    <t>Lily Hipster (Poppy) 3pk</t>
  </si>
  <si>
    <t>Lily padded 2p</t>
  </si>
  <si>
    <t>Lily structure qlty</t>
  </si>
  <si>
    <t>Lily Thong (Malva) 3pk</t>
  </si>
  <si>
    <t>Lily Trench</t>
  </si>
  <si>
    <t>Lim jumpsuit</t>
  </si>
  <si>
    <t>Lima</t>
  </si>
  <si>
    <t>Lima SS.</t>
  </si>
  <si>
    <t>Limoncello maxi</t>
  </si>
  <si>
    <t>Lina denim shirt</t>
  </si>
  <si>
    <t>Lina Linnen scarf.</t>
  </si>
  <si>
    <t>Linda</t>
  </si>
  <si>
    <t>Linda Dress</t>
  </si>
  <si>
    <t>Linda L/S</t>
  </si>
  <si>
    <t>Linden knitted jumper</t>
  </si>
  <si>
    <t>Lindsay Kimono (W)</t>
  </si>
  <si>
    <t>Lindsay N-slip (W)</t>
  </si>
  <si>
    <t>Lindsay Sl-set (W)</t>
  </si>
  <si>
    <t>Linn HW Side Stripe DNM</t>
  </si>
  <si>
    <t>Linn Slim HW Sidetape</t>
  </si>
  <si>
    <t>Linnea linnen dress New</t>
  </si>
  <si>
    <t>Linni tee</t>
  </si>
  <si>
    <t>LINNI TEE</t>
  </si>
  <si>
    <t>Linni Tee</t>
  </si>
  <si>
    <t>Linus flounce skirt</t>
  </si>
  <si>
    <t>Lisa</t>
  </si>
  <si>
    <t>Lisa Bodycon dress</t>
  </si>
  <si>
    <t>LISA LINEN DRESS</t>
  </si>
  <si>
    <t>Lisabon jumpsuit</t>
  </si>
  <si>
    <t>Lisbon shirt dress</t>
  </si>
  <si>
    <t>Lissabon</t>
  </si>
  <si>
    <t>Lively</t>
  </si>
  <si>
    <t>Lively X</t>
  </si>
  <si>
    <t>Liverpool Dress</t>
  </si>
  <si>
    <t>Livia Top</t>
  </si>
  <si>
    <t>Livia top</t>
  </si>
  <si>
    <t>Liza 2p padded wireless rio mc</t>
  </si>
  <si>
    <t>Liza blouse</t>
  </si>
  <si>
    <t>Liza Boilersuit</t>
  </si>
  <si>
    <t>Liza fancy Push  2p</t>
  </si>
  <si>
    <t>Liza fancy. Padded 2p</t>
  </si>
  <si>
    <t>Liza Padded (Idro) 2pk</t>
  </si>
  <si>
    <t>Liza Push Melbourne 2pk</t>
  </si>
  <si>
    <t>Liza Strapless Sofia 2pk</t>
  </si>
  <si>
    <t>Liza Superpush (Andes) 2pk</t>
  </si>
  <si>
    <t>Liza Thong Low (Malva) 3pk</t>
  </si>
  <si>
    <t>Lizard Dress</t>
  </si>
  <si>
    <t>Lizzie LL PJ (J)</t>
  </si>
  <si>
    <t>Lizzie.</t>
  </si>
  <si>
    <t>Lizzy shorts</t>
  </si>
  <si>
    <t>LNY CHUN SWEATER</t>
  </si>
  <si>
    <t>LNY JADE HIGH DENIM</t>
  </si>
  <si>
    <t>Lock blazer</t>
  </si>
  <si>
    <t>Loco shorts.</t>
  </si>
  <si>
    <t>Logan</t>
  </si>
  <si>
    <t>LOGG Brienne</t>
  </si>
  <si>
    <t>LOGG Capri dress</t>
  </si>
  <si>
    <t>LOGG Clunchy boho dress</t>
  </si>
  <si>
    <t>LOGG Edgar tunic</t>
  </si>
  <si>
    <t>LOGG Iris linen jogger</t>
  </si>
  <si>
    <t>LOGG Ivy linen shorts</t>
  </si>
  <si>
    <t>LOGG lady bird</t>
  </si>
  <si>
    <t>LOGG Malley coat</t>
  </si>
  <si>
    <t>LOGG Marseille dress</t>
  </si>
  <si>
    <t>LOGG Marta boho blouse</t>
  </si>
  <si>
    <t>LOGG Solange RW</t>
  </si>
  <si>
    <t>LOGG Wade dress</t>
  </si>
  <si>
    <t>Lola 3p hipster micro v-s LR</t>
  </si>
  <si>
    <t>Lola body</t>
  </si>
  <si>
    <t>Lola Brazilian (Acacia) 3pk</t>
  </si>
  <si>
    <t>Lola Ch Hipster (Peoni) 3pk</t>
  </si>
  <si>
    <t>Lola Denim Shorts</t>
  </si>
  <si>
    <t>Lola Lace-Up</t>
  </si>
  <si>
    <t>Lola RW Denim Shorts</t>
  </si>
  <si>
    <t>LOLA SANDAL</t>
  </si>
  <si>
    <t>LOLA STRAP</t>
  </si>
  <si>
    <t>Lola sweater</t>
  </si>
  <si>
    <t>Lola tote</t>
  </si>
  <si>
    <t>Lola trouser</t>
  </si>
  <si>
    <t>Lolli dress</t>
  </si>
  <si>
    <t>Lollo jumpsuit (party) J</t>
  </si>
  <si>
    <t>Lolly</t>
  </si>
  <si>
    <t>Lolo dress</t>
  </si>
  <si>
    <t>London bucket shopper</t>
  </si>
  <si>
    <t>London tee TVP</t>
  </si>
  <si>
    <t>Lonely Planet</t>
  </si>
  <si>
    <t>Long Leg Leggings</t>
  </si>
  <si>
    <t>Long Leggings</t>
  </si>
  <si>
    <t>Long leggings 2p</t>
  </si>
  <si>
    <t>Long leggings 2-pack</t>
  </si>
  <si>
    <t>Long leggings update</t>
  </si>
  <si>
    <t>Lord Cardigan</t>
  </si>
  <si>
    <t>Lorena occasion dress</t>
  </si>
  <si>
    <t>Lorentz flannel shirt</t>
  </si>
  <si>
    <t>Lorentzo flannel shirt</t>
  </si>
  <si>
    <t>LORENZA LACE TOP</t>
  </si>
  <si>
    <t>Lorenzo</t>
  </si>
  <si>
    <t>Lorenzo espadrille</t>
  </si>
  <si>
    <t>Loris Cord</t>
  </si>
  <si>
    <t>Loris Cord Jacket</t>
  </si>
  <si>
    <t>Loris Denim Jkt</t>
  </si>
  <si>
    <t>Lorry v-neck jumper</t>
  </si>
  <si>
    <t>Lotta tank</t>
  </si>
  <si>
    <t>Lottie Cross Bag</t>
  </si>
  <si>
    <t>Lou mohair jumper</t>
  </si>
  <si>
    <t>Lou Padded T-shirt Coral</t>
  </si>
  <si>
    <t>LOUIS</t>
  </si>
  <si>
    <t>Louise LS</t>
  </si>
  <si>
    <t>LOUISE OTS TOP</t>
  </si>
  <si>
    <t>Louisisana</t>
  </si>
  <si>
    <t>Lourdes Cable Cardigan</t>
  </si>
  <si>
    <t>Lova cord</t>
  </si>
  <si>
    <t>Lova Linen v neck</t>
  </si>
  <si>
    <t>Lova trousers</t>
  </si>
  <si>
    <t>Love Affair Brief</t>
  </si>
  <si>
    <t>Love Affair High Rise Brief</t>
  </si>
  <si>
    <t>Love Affair Top</t>
  </si>
  <si>
    <t>Love Affair Triangle Top</t>
  </si>
  <si>
    <t>Love Affair Wide Side Tanga</t>
  </si>
  <si>
    <t>Love Boat Cheeky Brief</t>
  </si>
  <si>
    <t>Love Boat Triangle Top</t>
  </si>
  <si>
    <t>Love Dog</t>
  </si>
  <si>
    <t>Love espadrill</t>
  </si>
  <si>
    <t>Love Espadrille</t>
  </si>
  <si>
    <t>Love Off Shoulder</t>
  </si>
  <si>
    <t>Love Shack Cheeky Brief</t>
  </si>
  <si>
    <t>Love Shack Low Brazilian</t>
  </si>
  <si>
    <t>Love Shack tanga</t>
  </si>
  <si>
    <t>Love Shack top</t>
  </si>
  <si>
    <t>Love Shack Top</t>
  </si>
  <si>
    <t>Love Story!</t>
  </si>
  <si>
    <t>Lovebird short</t>
  </si>
  <si>
    <t>Loveboat</t>
  </si>
  <si>
    <t>Low Dress</t>
  </si>
  <si>
    <t>LS Birdie T-Shirt</t>
  </si>
  <si>
    <t>LS blossom Bandeau</t>
  </si>
  <si>
    <t>LS Blossom Tanga</t>
  </si>
  <si>
    <t>LS Bum Bag</t>
  </si>
  <si>
    <t>LS Carrie Bandeau</t>
  </si>
  <si>
    <t>LS Carrie Cheeky Brief</t>
  </si>
  <si>
    <t>LS Charlie  Swimsuit</t>
  </si>
  <si>
    <t>LS Charlie Tie Swimsuit</t>
  </si>
  <si>
    <t>LS Emmy Padded Triangle Top</t>
  </si>
  <si>
    <t>LS Emmy Tanga</t>
  </si>
  <si>
    <t>LS Mayflower Swimsuit</t>
  </si>
  <si>
    <t>LS Mila Shirt + Shorts Set</t>
  </si>
  <si>
    <t>LS Nightflight Swimsuit</t>
  </si>
  <si>
    <t>LS Olivia Cheeky Tanga</t>
  </si>
  <si>
    <t>LS Olivia Triangle Top</t>
  </si>
  <si>
    <t>LS Reggipetto Tie Tanga</t>
  </si>
  <si>
    <t>LS Reggipetto Triangle Top</t>
  </si>
  <si>
    <t>LS Sarong</t>
  </si>
  <si>
    <t>LS Swimclub Towel</t>
  </si>
  <si>
    <t>LS Tote Bag</t>
  </si>
  <si>
    <t>LS Tunic Dress</t>
  </si>
  <si>
    <t>Luana sandal</t>
  </si>
  <si>
    <t>Lucas</t>
  </si>
  <si>
    <t>Lucia</t>
  </si>
  <si>
    <t>Lucia hoodie</t>
  </si>
  <si>
    <t>Luciana linen top</t>
  </si>
  <si>
    <t>Lucien</t>
  </si>
  <si>
    <t>Lucille bow jumper</t>
  </si>
  <si>
    <t>Lucious</t>
  </si>
  <si>
    <t>Lucki denim jumpsuit</t>
  </si>
  <si>
    <t>Lucky jumpsuit</t>
  </si>
  <si>
    <t>Lucky tee</t>
  </si>
  <si>
    <t>Lucy</t>
  </si>
  <si>
    <t>Lucy blouse</t>
  </si>
  <si>
    <t>Lucy Dress</t>
  </si>
  <si>
    <t>Ludwig</t>
  </si>
  <si>
    <t>Luisa tee</t>
  </si>
  <si>
    <t>Lukas top</t>
  </si>
  <si>
    <t>Luke</t>
  </si>
  <si>
    <t>Luke mockneck</t>
  </si>
  <si>
    <t>Lulu Blouse</t>
  </si>
  <si>
    <t>Lumen blouse 2</t>
  </si>
  <si>
    <t>Lumiere balboa wireless push</t>
  </si>
  <si>
    <t>Lumiere Bralette Soft</t>
  </si>
  <si>
    <t>Lumiere Brazilian.</t>
  </si>
  <si>
    <t>Lumiere cut &amp; sewn</t>
  </si>
  <si>
    <t>Lumiere melbourne with gore</t>
  </si>
  <si>
    <t>Lumiere padded abeline</t>
  </si>
  <si>
    <t>Lumiere Padded Soft Bra</t>
  </si>
  <si>
    <t>Lumiere Push Melbourne</t>
  </si>
  <si>
    <t>Lumiere Soft Body</t>
  </si>
  <si>
    <t>Luna</t>
  </si>
  <si>
    <t>Luna (1)</t>
  </si>
  <si>
    <t>Luna conscious loose tank</t>
  </si>
  <si>
    <t>Luna destroy (1)</t>
  </si>
  <si>
    <t>Luna Push Lace Melbourne CS</t>
  </si>
  <si>
    <t>Luna skinny</t>
  </si>
  <si>
    <t>Luna skinny 5 pkt</t>
  </si>
  <si>
    <t>LUNE TEE</t>
  </si>
  <si>
    <t>Luve Jumper</t>
  </si>
  <si>
    <t>Lydon Cardigan</t>
  </si>
  <si>
    <t>Lykke Push Detroit Straps</t>
  </si>
  <si>
    <t>Lykke Push Melbourne</t>
  </si>
  <si>
    <t>Lyon Bandeu</t>
  </si>
  <si>
    <t>Lyon dress</t>
  </si>
  <si>
    <t>Lyon Highw Brazilian x-cheeky</t>
  </si>
  <si>
    <t>Lyon Price Bandeau</t>
  </si>
  <si>
    <t>Lyon Strap Top</t>
  </si>
  <si>
    <t>Mabel Dungaree</t>
  </si>
  <si>
    <t>Mac</t>
  </si>
  <si>
    <t>Mac N Cheez Bandeau</t>
  </si>
  <si>
    <t>Mac N Cheez Brief</t>
  </si>
  <si>
    <t>Mac N Cheez Unpadded Swimsuit</t>
  </si>
  <si>
    <t>Mac skirt</t>
  </si>
  <si>
    <t>Macarena</t>
  </si>
  <si>
    <t>MACARON OL OFFER</t>
  </si>
  <si>
    <t>Macbeth</t>
  </si>
  <si>
    <t>Macciato Push Melbourne</t>
  </si>
  <si>
    <t>Macy</t>
  </si>
  <si>
    <t>Maddi Dress</t>
  </si>
  <si>
    <t>Maddie mid heel</t>
  </si>
  <si>
    <t>Madeleine Dress - Bridal</t>
  </si>
  <si>
    <t>Mademoiselle bucket</t>
  </si>
  <si>
    <t>Madison HW slim destroy</t>
  </si>
  <si>
    <t>Madison skinny HW</t>
  </si>
  <si>
    <t>Madison Slim Stretch Chino</t>
  </si>
  <si>
    <t>MAD-MAX CONCIOUS</t>
  </si>
  <si>
    <t>Madonna</t>
  </si>
  <si>
    <t>Madrid</t>
  </si>
  <si>
    <t>Magaluf lace detail dress</t>
  </si>
  <si>
    <t>Magenta</t>
  </si>
  <si>
    <t>Maggi espadrille</t>
  </si>
  <si>
    <t>Maggie cashmere jumper</t>
  </si>
  <si>
    <t>Maggie high support</t>
  </si>
  <si>
    <t>MAGGIE high support bra</t>
  </si>
  <si>
    <t>Maggie Lace dress</t>
  </si>
  <si>
    <t>Maggie polo jumper</t>
  </si>
  <si>
    <t>Maggie RW tapered</t>
  </si>
  <si>
    <t>Magic</t>
  </si>
  <si>
    <t>Magnolia</t>
  </si>
  <si>
    <t>Magnolia Trench</t>
  </si>
  <si>
    <t>Magpie dress</t>
  </si>
  <si>
    <t>Mahalo dress</t>
  </si>
  <si>
    <t>Maiken</t>
  </si>
  <si>
    <t>Maj skirt</t>
  </si>
  <si>
    <t>Maja  SS</t>
  </si>
  <si>
    <t>Maja Cardigan</t>
  </si>
  <si>
    <t>Maja Cardigan TVP</t>
  </si>
  <si>
    <t>Maja cargo Slim HW Denim</t>
  </si>
  <si>
    <t>Maja Cargo TRS</t>
  </si>
  <si>
    <t>Maja HW  WovenTRS</t>
  </si>
  <si>
    <t>Maja sneaker</t>
  </si>
  <si>
    <t>Majken loafer</t>
  </si>
  <si>
    <t>Make a dream dress</t>
  </si>
  <si>
    <t>Make him pay for it PREMIUM</t>
  </si>
  <si>
    <t>Make Over Brief</t>
  </si>
  <si>
    <t>Make up dress</t>
  </si>
  <si>
    <t>Malakin handmade coat</t>
  </si>
  <si>
    <t>MALCOLM SHORTS</t>
  </si>
  <si>
    <t>MALDON MOCKNECK</t>
  </si>
  <si>
    <t>Malena</t>
  </si>
  <si>
    <t>Malibu dress</t>
  </si>
  <si>
    <t>MALIBU ls</t>
  </si>
  <si>
    <t>Malin Leggings</t>
  </si>
  <si>
    <t>Malin sunglasses</t>
  </si>
  <si>
    <t>Malina</t>
  </si>
  <si>
    <t>Mallan skirt</t>
  </si>
  <si>
    <t>Malley wool coat</t>
  </si>
  <si>
    <t>Mallorca Jogger</t>
  </si>
  <si>
    <t>Malm</t>
  </si>
  <si>
    <t>Malmo knitted dress</t>
  </si>
  <si>
    <t>Malta jogger</t>
  </si>
  <si>
    <t>Maltese coat</t>
  </si>
  <si>
    <t>Maltese trow on cardigan</t>
  </si>
  <si>
    <t>Malva 2pk padded bra</t>
  </si>
  <si>
    <t>Malva hipster 3pk</t>
  </si>
  <si>
    <t>Malva sneaker</t>
  </si>
  <si>
    <t>Malva sneaker(1)</t>
  </si>
  <si>
    <t>Mama 40 den 2p Tights</t>
  </si>
  <si>
    <t>MAMA Copacabana Swimsuite</t>
  </si>
  <si>
    <t>MAMA Hawaii Swimsuit</t>
  </si>
  <si>
    <t>Manacor</t>
  </si>
  <si>
    <t>Manatee Wrap LS</t>
  </si>
  <si>
    <t>Mandy</t>
  </si>
  <si>
    <t>MANDY RW ankle tights</t>
  </si>
  <si>
    <t>MANDY RW biker</t>
  </si>
  <si>
    <t>Mango knitted dress</t>
  </si>
  <si>
    <t>MANGO SHIRT</t>
  </si>
  <si>
    <t>Manhattan blouse</t>
  </si>
  <si>
    <t>Manson SF slim fit blazer</t>
  </si>
  <si>
    <t>Manson slim blazer</t>
  </si>
  <si>
    <t>Manson slim blz TVP</t>
  </si>
  <si>
    <t>Manson slim fit trs</t>
  </si>
  <si>
    <t>Manson slim trs</t>
  </si>
  <si>
    <t>Manson slim trs TVP J</t>
  </si>
  <si>
    <t>Manson sllim fit 2B blz</t>
  </si>
  <si>
    <t>Manson trs</t>
  </si>
  <si>
    <t>MANTA high support bra</t>
  </si>
  <si>
    <t>Mantra ss dress j</t>
  </si>
  <si>
    <t>Manx</t>
  </si>
  <si>
    <t>Manzana Dress</t>
  </si>
  <si>
    <t>Maple Blouse</t>
  </si>
  <si>
    <t>Mara</t>
  </si>
  <si>
    <t>Mara off shoulder dress</t>
  </si>
  <si>
    <t>Mara sandal (1)</t>
  </si>
  <si>
    <t>Mara scallop</t>
  </si>
  <si>
    <t>Marais</t>
  </si>
  <si>
    <t>Marakesh blazer</t>
  </si>
  <si>
    <t>Maran</t>
  </si>
  <si>
    <t>Marbella dress</t>
  </si>
  <si>
    <t>Marbella highshaft</t>
  </si>
  <si>
    <t>Marbella Velvet</t>
  </si>
  <si>
    <t>Marbs Cut Out Swimsuit</t>
  </si>
  <si>
    <t>Marc coat</t>
  </si>
  <si>
    <t>Marc dress</t>
  </si>
  <si>
    <t>Marc fur coat</t>
  </si>
  <si>
    <t>Marcel body</t>
  </si>
  <si>
    <t>Marcella</t>
  </si>
  <si>
    <t>Marcie</t>
  </si>
  <si>
    <t>Marcie linen dress</t>
  </si>
  <si>
    <t>Marcie(1)</t>
  </si>
  <si>
    <t>Marcy net bag</t>
  </si>
  <si>
    <t>Margareth leggings</t>
  </si>
  <si>
    <t>Margarita balboa</t>
  </si>
  <si>
    <t>Margarita cut padding</t>
  </si>
  <si>
    <t>Margarita Mynta Thong</t>
  </si>
  <si>
    <t>Margarita padded soft bra</t>
  </si>
  <si>
    <t>Margarita Pull- On Shorts</t>
  </si>
  <si>
    <t>Margarita Push Body Harlow</t>
  </si>
  <si>
    <t>Margarita push lacing bralette</t>
  </si>
  <si>
    <t>Margarita Push Melbourne</t>
  </si>
  <si>
    <t>Margarita Push w. Back Detail</t>
  </si>
  <si>
    <t>Margarita RW Pull- On Shorts</t>
  </si>
  <si>
    <t>Margarita Soft Body</t>
  </si>
  <si>
    <t>Margarita SP Bralette</t>
  </si>
  <si>
    <t>Margaux SL-Set (W)</t>
  </si>
  <si>
    <t>MARGOT BLOUSE</t>
  </si>
  <si>
    <t>Margot RTW blouse</t>
  </si>
  <si>
    <t>Margret dress</t>
  </si>
  <si>
    <t>Maria Dress</t>
  </si>
  <si>
    <t>Maria embroidery trousers</t>
  </si>
  <si>
    <t>Maria Shorts.</t>
  </si>
  <si>
    <t>Maria throw-on</t>
  </si>
  <si>
    <t>Maria Woven Shorts</t>
  </si>
  <si>
    <t>Maria Woven Shorts(1)</t>
  </si>
  <si>
    <t>Mariah 2pk shorts (W)</t>
  </si>
  <si>
    <t>Mariah Cardigan</t>
  </si>
  <si>
    <t>Mariah dress</t>
  </si>
  <si>
    <t>Mariah SL set (W)</t>
  </si>
  <si>
    <t>Marianne</t>
  </si>
  <si>
    <t>Marie long john rib set (J)</t>
  </si>
  <si>
    <t>Marielle sandalette</t>
  </si>
  <si>
    <t>Mariette</t>
  </si>
  <si>
    <t>Marilyn</t>
  </si>
  <si>
    <t>Marinara tee</t>
  </si>
  <si>
    <t>MARIO TROUSER</t>
  </si>
  <si>
    <t>MARION SHORTS 2 PK</t>
  </si>
  <si>
    <t>MARION-SHORTS</t>
  </si>
  <si>
    <t>Marita</t>
  </si>
  <si>
    <t>Marita espadrille</t>
  </si>
  <si>
    <t>Mark</t>
  </si>
  <si>
    <t>Markes EMB dress</t>
  </si>
  <si>
    <t>Markus</t>
  </si>
  <si>
    <t>Markus r-neck structure</t>
  </si>
  <si>
    <t>MARLEY BLOUSE</t>
  </si>
  <si>
    <t>Marley jumpsuit</t>
  </si>
  <si>
    <t>MARLIN tights consciuos</t>
  </si>
  <si>
    <t>Marlo dress</t>
  </si>
  <si>
    <t>Marrakesh dress</t>
  </si>
  <si>
    <t>Marseille dress</t>
  </si>
  <si>
    <t>Marseille Jacket</t>
  </si>
  <si>
    <t>Marseille padded Swimsuit</t>
  </si>
  <si>
    <t>Marshmallow tulle skirt</t>
  </si>
  <si>
    <t>Marta sandal</t>
  </si>
  <si>
    <t>Martin Highlift</t>
  </si>
  <si>
    <t>Martin Highlift(1)</t>
  </si>
  <si>
    <t>MARTIN REGULAR MANDARIN.</t>
  </si>
  <si>
    <t>Martini</t>
  </si>
  <si>
    <t>MARTINI TEE</t>
  </si>
  <si>
    <t>Mary</t>
  </si>
  <si>
    <t>MARY BUTTON OL</t>
  </si>
  <si>
    <t>Mary Coat</t>
  </si>
  <si>
    <t>Mary dress</t>
  </si>
  <si>
    <t>Mary DTP</t>
  </si>
  <si>
    <t>Mary fancy</t>
  </si>
  <si>
    <t>Mary Hornbutton LS</t>
  </si>
  <si>
    <t>Mary Kate L/S</t>
  </si>
  <si>
    <t>Mary Kate Mock Neck</t>
  </si>
  <si>
    <t>Mary LS</t>
  </si>
  <si>
    <t>MARY LS</t>
  </si>
  <si>
    <t>Mary Scarf</t>
  </si>
  <si>
    <t>Mary Scarf(1)</t>
  </si>
  <si>
    <t>Mary Skirt</t>
  </si>
  <si>
    <t>Mary Top</t>
  </si>
  <si>
    <t>MARYJANE</t>
  </si>
  <si>
    <t>Mash jumpsuit</t>
  </si>
  <si>
    <t>Masha lace dress</t>
  </si>
  <si>
    <t>Mastiff</t>
  </si>
  <si>
    <t>Mastiff Essential blazer</t>
  </si>
  <si>
    <t>Matcha</t>
  </si>
  <si>
    <t>Matey</t>
  </si>
  <si>
    <t>Matey fluff</t>
  </si>
  <si>
    <t>Matey(1)</t>
  </si>
  <si>
    <t>Matilda wedge</t>
  </si>
  <si>
    <t>Mats blouse</t>
  </si>
  <si>
    <t>Maud Blanket</t>
  </si>
  <si>
    <t>Maui Maxi</t>
  </si>
  <si>
    <t>Maui Padded Swimsuit</t>
  </si>
  <si>
    <t>Mauro sweatshirt</t>
  </si>
  <si>
    <t>MAX 3PK FANCY</t>
  </si>
  <si>
    <t>Max 5pk</t>
  </si>
  <si>
    <t>MAX CHECKS AND STRIPES 3PK</t>
  </si>
  <si>
    <t>Max cowlneck sweater</t>
  </si>
  <si>
    <t>Max Jumpsuit</t>
  </si>
  <si>
    <t>Max Pile Coat</t>
  </si>
  <si>
    <t>Max racer jacket</t>
  </si>
  <si>
    <t>MAXENCE TEE</t>
  </si>
  <si>
    <t>Maximilian kaftan</t>
  </si>
  <si>
    <t>Maximillian Kaftan</t>
  </si>
  <si>
    <t>Maximo</t>
  </si>
  <si>
    <t>Maxine lace body</t>
  </si>
  <si>
    <t>May buckle</t>
  </si>
  <si>
    <t>May chain waistbelt</t>
  </si>
  <si>
    <t>Maya PU</t>
  </si>
  <si>
    <t>MAYA SKIRT</t>
  </si>
  <si>
    <t>MAYA SKIRT S.0</t>
  </si>
  <si>
    <t>Maybelle top</t>
  </si>
  <si>
    <t>MC Chestnut strap</t>
  </si>
  <si>
    <t>MC Dayzy blazer</t>
  </si>
  <si>
    <t>MC Duck</t>
  </si>
  <si>
    <t>MC Elly skirt</t>
  </si>
  <si>
    <t>MC Emerald wrap</t>
  </si>
  <si>
    <t>MC Ester coat</t>
  </si>
  <si>
    <t>MC Hibiscus top</t>
  </si>
  <si>
    <t>MC Kennedy dress</t>
  </si>
  <si>
    <t>MC open pelican coat</t>
  </si>
  <si>
    <t>MC Scala dress</t>
  </si>
  <si>
    <t>MC Swift dress</t>
  </si>
  <si>
    <t>MC Tea blazer dress</t>
  </si>
  <si>
    <t>MC The Firm</t>
  </si>
  <si>
    <t>MC Tulip dress</t>
  </si>
  <si>
    <t>McLaren body</t>
  </si>
  <si>
    <t>Medusa</t>
  </si>
  <si>
    <t>Meet the parents</t>
  </si>
  <si>
    <t>Meet the Parents dress</t>
  </si>
  <si>
    <t>Meg</t>
  </si>
  <si>
    <t>Megan dress</t>
  </si>
  <si>
    <t>MEGAN LS</t>
  </si>
  <si>
    <t>MEGAN LS OL</t>
  </si>
  <si>
    <t>Megan Party Jazz Leggings</t>
  </si>
  <si>
    <t>Mel maxi dress  W</t>
  </si>
  <si>
    <t>Melbourne dress</t>
  </si>
  <si>
    <t>Mellow pile</t>
  </si>
  <si>
    <t>MELLOW pile hoodie</t>
  </si>
  <si>
    <t>Melodie soft tote</t>
  </si>
  <si>
    <t>Melody</t>
  </si>
  <si>
    <t>Melody dress</t>
  </si>
  <si>
    <t>Melon skorts</t>
  </si>
  <si>
    <t>Melrose</t>
  </si>
  <si>
    <t>Melrose 1</t>
  </si>
  <si>
    <t>MELROSE BLOUSE</t>
  </si>
  <si>
    <t>Melrose crinkle</t>
  </si>
  <si>
    <t>Melrose Denim Dungaree</t>
  </si>
  <si>
    <t>Memphis dress update</t>
  </si>
  <si>
    <t>Memphis jacket</t>
  </si>
  <si>
    <t>Menton dress</t>
  </si>
  <si>
    <t>Mercery</t>
  </si>
  <si>
    <t>MERCY JACKET</t>
  </si>
  <si>
    <t>Meredith Cargo Skinny R.W</t>
  </si>
  <si>
    <t>Meri svettis</t>
  </si>
  <si>
    <t>Merlin Dress</t>
  </si>
  <si>
    <t>Metal LS dress(1)</t>
  </si>
  <si>
    <t>Metro</t>
  </si>
  <si>
    <t>Mezzana cable jumper</t>
  </si>
  <si>
    <t>Mia</t>
  </si>
  <si>
    <t>Mia knitted dress</t>
  </si>
  <si>
    <t>Miami SW</t>
  </si>
  <si>
    <t>Miami wrap dress</t>
  </si>
  <si>
    <t>MICHELLE SHIRT</t>
  </si>
  <si>
    <t>Micke crew color block</t>
  </si>
  <si>
    <t>Midnight</t>
  </si>
  <si>
    <t>Midnight fur coat</t>
  </si>
  <si>
    <t>mik 1pk</t>
  </si>
  <si>
    <t>Mika SS</t>
  </si>
  <si>
    <t>Mike jogger</t>
  </si>
  <si>
    <t>Mike Slim Jogger</t>
  </si>
  <si>
    <t>Mike tee</t>
  </si>
  <si>
    <t>Mike t-shirt</t>
  </si>
  <si>
    <t>Mikita mule (window)</t>
  </si>
  <si>
    <t>MILA CONSCIOUS TANK TOP</t>
  </si>
  <si>
    <t>Milan party indoor jacket</t>
  </si>
  <si>
    <t>Milano</t>
  </si>
  <si>
    <t>Milk</t>
  </si>
  <si>
    <t>Milk RW slack</t>
  </si>
  <si>
    <t>Milk RW slacks</t>
  </si>
  <si>
    <t>Milka</t>
  </si>
  <si>
    <t>Milkshake Balconette</t>
  </si>
  <si>
    <t>Milkshake Cheeky brief</t>
  </si>
  <si>
    <t>Milla pile</t>
  </si>
  <si>
    <t>Milla sockboot</t>
  </si>
  <si>
    <t>Miller</t>
  </si>
  <si>
    <t>Miller bumbag</t>
  </si>
  <si>
    <t>Millicent Cardigan</t>
  </si>
  <si>
    <t>MILLIE SHIRT</t>
  </si>
  <si>
    <t>Mim</t>
  </si>
  <si>
    <t>Mim cable</t>
  </si>
  <si>
    <t>Mimmi new</t>
  </si>
  <si>
    <t>Mimosa</t>
  </si>
  <si>
    <t>Mimosa Body</t>
  </si>
  <si>
    <t>Mimosa SP Andes opt1</t>
  </si>
  <si>
    <t>Mimoza</t>
  </si>
  <si>
    <t>Mina espadrill</t>
  </si>
  <si>
    <t>Minami</t>
  </si>
  <si>
    <t>Mindy peep toe pump</t>
  </si>
  <si>
    <t>MINDY SHOPPER</t>
  </si>
  <si>
    <t>Minetta dress</t>
  </si>
  <si>
    <t>Mini Flare H.W Bronx</t>
  </si>
  <si>
    <t>Mini Flare H.W Petite</t>
  </si>
  <si>
    <t>Mini Flare HW Bronx</t>
  </si>
  <si>
    <t>Mini Flare R.W Utility</t>
  </si>
  <si>
    <t>Mini Trainer 5p Socks</t>
  </si>
  <si>
    <t>Minja Polo</t>
  </si>
  <si>
    <t>Minja top</t>
  </si>
  <si>
    <t>Minna PU pants</t>
  </si>
  <si>
    <t>Minnelli playsuit</t>
  </si>
  <si>
    <t>Mint dress</t>
  </si>
  <si>
    <t>MINT TANK S.0</t>
  </si>
  <si>
    <t>Mio</t>
  </si>
  <si>
    <t>Mio Dress</t>
  </si>
  <si>
    <t>Mira body</t>
  </si>
  <si>
    <t>Miranda</t>
  </si>
  <si>
    <t>Miranda dress</t>
  </si>
  <si>
    <t>Miranda fluff</t>
  </si>
  <si>
    <t>Miranda(1)</t>
  </si>
  <si>
    <t>Mirella</t>
  </si>
  <si>
    <t>Miri</t>
  </si>
  <si>
    <t>Miriam</t>
  </si>
  <si>
    <t>Miroslava fancy PQ highshaft</t>
  </si>
  <si>
    <t>MIROSLAVA PQ High-Shaft</t>
  </si>
  <si>
    <t>Miso</t>
  </si>
  <si>
    <t>Miso Button L/S</t>
  </si>
  <si>
    <t>Miso HW wide trouser</t>
  </si>
  <si>
    <t>Miss fancy pants</t>
  </si>
  <si>
    <t>Missty Wide</t>
  </si>
  <si>
    <t>Missy dress</t>
  </si>
  <si>
    <t>Missy sneaker</t>
  </si>
  <si>
    <t>Missy wide trouser</t>
  </si>
  <si>
    <t>Mister Button</t>
  </si>
  <si>
    <t>Mister Muscle LS</t>
  </si>
  <si>
    <t>mister muscle SS</t>
  </si>
  <si>
    <t>Misty Skirt</t>
  </si>
  <si>
    <t>Mix tape Cheeky brief</t>
  </si>
  <si>
    <t>Mix tape triangel top</t>
  </si>
  <si>
    <t>Moa</t>
  </si>
  <si>
    <t>Moa 2 pack tank</t>
  </si>
  <si>
    <t>Moa 2-pack</t>
  </si>
  <si>
    <t>Moa tank</t>
  </si>
  <si>
    <t>Moa tee dress</t>
  </si>
  <si>
    <t>Mocca</t>
  </si>
  <si>
    <t>Mocca RW slacks</t>
  </si>
  <si>
    <t>Modena dress</t>
  </si>
  <si>
    <t>Moe body</t>
  </si>
  <si>
    <t>Mojito</t>
  </si>
  <si>
    <t>Mojito CROPPED RW trousers</t>
  </si>
  <si>
    <t>MOJITO VACAY SHIRT</t>
  </si>
  <si>
    <t>Molly Denim HW TRS</t>
  </si>
  <si>
    <t>Molly dress</t>
  </si>
  <si>
    <t>Molly HW Ankle TRS</t>
  </si>
  <si>
    <t>Molly Knee trash</t>
  </si>
  <si>
    <t>Molly longsleeve</t>
  </si>
  <si>
    <t>Molly LS (1)</t>
  </si>
  <si>
    <t>MOLLY OFF SHOULDER</t>
  </si>
  <si>
    <t>Molly skirt</t>
  </si>
  <si>
    <t>Molly Twill TRS</t>
  </si>
  <si>
    <t>Mom Fit</t>
  </si>
  <si>
    <t>Mom Fit Trash</t>
  </si>
  <si>
    <t>Mom Fit Ultra HW</t>
  </si>
  <si>
    <t>Mom H.W Petite</t>
  </si>
  <si>
    <t>Mom HW Ankle Consc</t>
  </si>
  <si>
    <t>Mom HW Shorts</t>
  </si>
  <si>
    <t>Mom HW Shorts trash</t>
  </si>
  <si>
    <t>Mom Shorts</t>
  </si>
  <si>
    <t>Mona Heel</t>
  </si>
  <si>
    <t>Mona top</t>
  </si>
  <si>
    <t>MONDRIAN HOOD</t>
  </si>
  <si>
    <t>Monet RW wide full</t>
  </si>
  <si>
    <t>Monica</t>
  </si>
  <si>
    <t>Monica Ankle Cord TRS</t>
  </si>
  <si>
    <t>Monica Jumpsuit</t>
  </si>
  <si>
    <t>Monica or Chandler Cord Trs</t>
  </si>
  <si>
    <t>Monica sandalette</t>
  </si>
  <si>
    <t>MONIQUE BODY</t>
  </si>
  <si>
    <t>Monroe</t>
  </si>
  <si>
    <t>Monroe sockboot</t>
  </si>
  <si>
    <t>Monster blazer</t>
  </si>
  <si>
    <t>Montauk Cheeky Brief</t>
  </si>
  <si>
    <t>Moon blouse</t>
  </si>
  <si>
    <t>Mooncake</t>
  </si>
  <si>
    <t>Moonlight Padded Soft Bra</t>
  </si>
  <si>
    <t>Morgan</t>
  </si>
  <si>
    <t>Morgan PRICE dress</t>
  </si>
  <si>
    <t>Morley</t>
  </si>
  <si>
    <t>Morning +Saturnus NW</t>
  </si>
  <si>
    <t>Morning Glory</t>
  </si>
  <si>
    <t>Moscow</t>
  </si>
  <si>
    <t>Moscow Cross Bag</t>
  </si>
  <si>
    <t>MOscow skirt</t>
  </si>
  <si>
    <t>Moscowa coat</t>
  </si>
  <si>
    <t>Moshimoshi</t>
  </si>
  <si>
    <t>Moss biker jacket</t>
  </si>
  <si>
    <t>Moss PU Biker Jacket</t>
  </si>
  <si>
    <t>Moss Viscose Shirt</t>
  </si>
  <si>
    <t>Mother NW wide denim</t>
  </si>
  <si>
    <t>Mötley Dress</t>
  </si>
  <si>
    <t>Moto ISW19</t>
  </si>
  <si>
    <t>Move On Dress</t>
  </si>
  <si>
    <t>Mowgli Shacket</t>
  </si>
  <si>
    <t>Mowgli SP Strapless Balconette</t>
  </si>
  <si>
    <t>Mr Harrington w/hood</t>
  </si>
  <si>
    <t>Mr Smee Padded</t>
  </si>
  <si>
    <t>Mr Smith Coat</t>
  </si>
  <si>
    <t>Mr Tom</t>
  </si>
  <si>
    <t>Mr Tom padded jacket</t>
  </si>
  <si>
    <t>Mufasa PREMIUM</t>
  </si>
  <si>
    <t>Muffin Sweater</t>
  </si>
  <si>
    <t>MUFFY v-neck knot tee</t>
  </si>
  <si>
    <t>Mulan Belted</t>
  </si>
  <si>
    <t>Mulan Belted Cardigan</t>
  </si>
  <si>
    <t>Mumuso</t>
  </si>
  <si>
    <t>MUNCHKIN low suport sport b</t>
  </si>
  <si>
    <t>Murphy Playsuit Turkey</t>
  </si>
  <si>
    <t>MUSHROOM SLIM FIT POLO</t>
  </si>
  <si>
    <t>Mustard</t>
  </si>
  <si>
    <t>My Boo Dress</t>
  </si>
  <si>
    <t>My Humps Highwaist</t>
  </si>
  <si>
    <t>My Humps Top</t>
  </si>
  <si>
    <t>Myron Dress</t>
  </si>
  <si>
    <t>Mys fur coat</t>
  </si>
  <si>
    <t>Nachos Blouse</t>
  </si>
  <si>
    <t>Nadia sandalette</t>
  </si>
  <si>
    <t>Nadja blouse</t>
  </si>
  <si>
    <t>Nala</t>
  </si>
  <si>
    <t>Nala Coat</t>
  </si>
  <si>
    <t>Nala polo</t>
  </si>
  <si>
    <t>Nalle</t>
  </si>
  <si>
    <t>Nancy Body TRIS</t>
  </si>
  <si>
    <t>Nancy dress</t>
  </si>
  <si>
    <t>Nancy rib top</t>
  </si>
  <si>
    <t>Naomi</t>
  </si>
  <si>
    <t>Naomi Body</t>
  </si>
  <si>
    <t>Naples XMAS deco blouse</t>
  </si>
  <si>
    <t>Nasa Hood 29.99:-</t>
  </si>
  <si>
    <t>Nat Dress</t>
  </si>
  <si>
    <t>Nat ls linnen mix solid</t>
  </si>
  <si>
    <t>Nat ls twill plaid</t>
  </si>
  <si>
    <t>Nat ss linnen mix solid</t>
  </si>
  <si>
    <t>Natalia</t>
  </si>
  <si>
    <t>Natalia Cropped Pile Jacket</t>
  </si>
  <si>
    <t>Natalie jumpsuit</t>
  </si>
  <si>
    <t>Nate tee</t>
  </si>
  <si>
    <t>NAV MINI BACK PACK</t>
  </si>
  <si>
    <t>Nebraska highshaft</t>
  </si>
  <si>
    <t>NEBRASKA sweatshirt</t>
  </si>
  <si>
    <t>Nella body</t>
  </si>
  <si>
    <t>NELLIE loose tee</t>
  </si>
  <si>
    <t>Nelly Coat</t>
  </si>
  <si>
    <t>Nemo sequin</t>
  </si>
  <si>
    <t>Neo jumper</t>
  </si>
  <si>
    <t>Neptune NW tapered trousers</t>
  </si>
  <si>
    <t>Nero</t>
  </si>
  <si>
    <t>Net Tight</t>
  </si>
  <si>
    <t>Nettan Dress</t>
  </si>
  <si>
    <t>Nettan strap dress</t>
  </si>
  <si>
    <t>Nevada</t>
  </si>
  <si>
    <t>Nevada pile hood</t>
  </si>
  <si>
    <t>Neve Off Shoulder</t>
  </si>
  <si>
    <t>Nevers dress</t>
  </si>
  <si>
    <t>New Girl Push Top</t>
  </si>
  <si>
    <t>New Girl Push Top - opt2</t>
  </si>
  <si>
    <t>New Girl Wide Side Tanga</t>
  </si>
  <si>
    <t>NEW Golden retriver TVP X-mas</t>
  </si>
  <si>
    <t>New Kenta blouse</t>
  </si>
  <si>
    <t>New Nilsson</t>
  </si>
  <si>
    <t>NEW POLLY BLOUSE</t>
  </si>
  <si>
    <t>New Rooney Dress</t>
  </si>
  <si>
    <t>New Vega sneaker</t>
  </si>
  <si>
    <t>New Yoko espadrille</t>
  </si>
  <si>
    <t>New york fur</t>
  </si>
  <si>
    <t>New York Jaquard</t>
  </si>
  <si>
    <t>New York tunic dress</t>
  </si>
  <si>
    <t>Newbie tee</t>
  </si>
  <si>
    <t>Nicholson padded jkt</t>
  </si>
  <si>
    <t>Nick super skinny blazer</t>
  </si>
  <si>
    <t>Nick super skinny trs</t>
  </si>
  <si>
    <t>Nicky Long</t>
  </si>
  <si>
    <t>Nicky long.</t>
  </si>
  <si>
    <t>Nicolaus</t>
  </si>
  <si>
    <t>Nicole</t>
  </si>
  <si>
    <t>NICOLE BLOUSE</t>
  </si>
  <si>
    <t>Nicole Highwaist</t>
  </si>
  <si>
    <t>Nicole LL PJ (J)</t>
  </si>
  <si>
    <t>NICOLE STRAP DRESS</t>
  </si>
  <si>
    <t>Nicole Top</t>
  </si>
  <si>
    <t>Nicole(1)</t>
  </si>
  <si>
    <t>Nicolette Maxi Dress</t>
  </si>
  <si>
    <t>Nieves jumpsuit</t>
  </si>
  <si>
    <t>Night denim skirt</t>
  </si>
  <si>
    <t>Nightshade shorts (1)</t>
  </si>
  <si>
    <t>Nightshade tencel shorts</t>
  </si>
  <si>
    <t>Nihon Linen</t>
  </si>
  <si>
    <t>Nihon linen</t>
  </si>
  <si>
    <t>Nikki</t>
  </si>
  <si>
    <t>Nikki Blazer</t>
  </si>
  <si>
    <t>NIKKI BLOUSE</t>
  </si>
  <si>
    <t>NILS LS CHECK</t>
  </si>
  <si>
    <t>Nima body</t>
  </si>
  <si>
    <t>Nina LL PJ FLANNEL (W)</t>
  </si>
  <si>
    <t>Nina n- shirt FLANNEL (W)</t>
  </si>
  <si>
    <t>Nina Nightshirt (W)</t>
  </si>
  <si>
    <t>Nina SL-set FLANNEL (W)</t>
  </si>
  <si>
    <t>Nina Trs FLANNEL (W)</t>
  </si>
  <si>
    <t>Nirobi</t>
  </si>
  <si>
    <t>Nirvana</t>
  </si>
  <si>
    <t>Noa skinny trouser</t>
  </si>
  <si>
    <t>Noah cowl neck dress</t>
  </si>
  <si>
    <t>NOAH fancy hood TP</t>
  </si>
  <si>
    <t>Noel denim dress</t>
  </si>
  <si>
    <t>Nohar Sneaker</t>
  </si>
  <si>
    <t>Nolita contrast blouse</t>
  </si>
  <si>
    <t>Nolita set</t>
  </si>
  <si>
    <t>Nomi</t>
  </si>
  <si>
    <t>Nonius</t>
  </si>
  <si>
    <t>Noora jumpsuit</t>
  </si>
  <si>
    <t>Nora</t>
  </si>
  <si>
    <t>Nora Cardigan</t>
  </si>
  <si>
    <t>Nora dress</t>
  </si>
  <si>
    <t>NORA RW shorts</t>
  </si>
  <si>
    <t>NORA shorts</t>
  </si>
  <si>
    <t>Nora T-shirt</t>
  </si>
  <si>
    <t>Nord tee</t>
  </si>
  <si>
    <t>Norma PQ</t>
  </si>
  <si>
    <t>NORMA PU</t>
  </si>
  <si>
    <t>NORMA RW cropped conscious</t>
  </si>
  <si>
    <t>NORMA SKIRT</t>
  </si>
  <si>
    <t>Norma Woven TRS</t>
  </si>
  <si>
    <t>NORWAY fleece jacket (1)</t>
  </si>
  <si>
    <t>NORWAY TECH FLEECE</t>
  </si>
  <si>
    <t>NORWAY+</t>
  </si>
  <si>
    <t>Norwich</t>
  </si>
  <si>
    <t>Nottie RW wide cropped</t>
  </si>
  <si>
    <t>Notting Hill</t>
  </si>
  <si>
    <t>Notting hill dress</t>
  </si>
  <si>
    <t>Nouvelle 1p Stay Up</t>
  </si>
  <si>
    <t>Nova</t>
  </si>
  <si>
    <t>Nova dress</t>
  </si>
  <si>
    <t>Nova Shirt</t>
  </si>
  <si>
    <t>Novelty Knits</t>
  </si>
  <si>
    <t>Noven Shelltop</t>
  </si>
  <si>
    <t>NT Alva 2-pack</t>
  </si>
  <si>
    <t>NT Alva 2-pack(1)</t>
  </si>
  <si>
    <t>NT Maria 2-pack</t>
  </si>
  <si>
    <t>Nut HW tapered slacks</t>
  </si>
  <si>
    <t>OC Sabini dress</t>
  </si>
  <si>
    <t>Ocasio flip flop</t>
  </si>
  <si>
    <t>Ocean</t>
  </si>
  <si>
    <t>Ocean One-Shoulder</t>
  </si>
  <si>
    <t>Odessa dress</t>
  </si>
  <si>
    <t>Odessa swimsuit</t>
  </si>
  <si>
    <t>Ofelia bag</t>
  </si>
  <si>
    <t>Offred dress</t>
  </si>
  <si>
    <t>ohio pinnafore</t>
  </si>
  <si>
    <t>Oklahama jacket</t>
  </si>
  <si>
    <t>OL AGATA PQ boot</t>
  </si>
  <si>
    <t>OL AKIRA PQ</t>
  </si>
  <si>
    <t>OL BAXTER PQ espadrille</t>
  </si>
  <si>
    <t>OL BELWAL PQ wedge</t>
  </si>
  <si>
    <t>OL BUTLER Wedge</t>
  </si>
  <si>
    <t>OL CALYPSO Sandalette</t>
  </si>
  <si>
    <t>OL CAMILLE PQ Loafer</t>
  </si>
  <si>
    <t>OL CARMELO PQ Wedge (1)</t>
  </si>
  <si>
    <t>OL CECIL PQ sandal</t>
  </si>
  <si>
    <t>OL CELESTE PQ Espadrille</t>
  </si>
  <si>
    <t>OL CHARLEE PQ slip-in</t>
  </si>
  <si>
    <t>OL CLEMENT PQ sandal</t>
  </si>
  <si>
    <t>OL CLEVELAND PQ</t>
  </si>
  <si>
    <t>OL DONALD pump</t>
  </si>
  <si>
    <t>OL EDEN PQ boot</t>
  </si>
  <si>
    <t>OL ENZO PQ Sandal</t>
  </si>
  <si>
    <t>OL GERORGE PQ pump (gör CO)</t>
  </si>
  <si>
    <t>OL GHETTY PQ sandalette</t>
  </si>
  <si>
    <t>OL GLOER PQ Boot</t>
  </si>
  <si>
    <t>OL GRANITE PQ boot</t>
  </si>
  <si>
    <t>OL HARDING PQ loafer</t>
  </si>
  <si>
    <t>OL HILLA PQ sneaker</t>
  </si>
  <si>
    <t>OL IMARI PQ sandal</t>
  </si>
  <si>
    <t>OL IRIS PQ SANDAL</t>
  </si>
  <si>
    <t>OL KATE PQ ballerina</t>
  </si>
  <si>
    <t>OL KID PQ sandalette</t>
  </si>
  <si>
    <t>OL KRISTEN PQ sandalette</t>
  </si>
  <si>
    <t>OL KUMAR PQ semi-boot</t>
  </si>
  <si>
    <t>OL LIMA PQ Sandal</t>
  </si>
  <si>
    <t>OL LONDONE PQ Pump</t>
  </si>
  <si>
    <t>OL MICHELLE PQ pump</t>
  </si>
  <si>
    <t>OL NOEME PQ wedge</t>
  </si>
  <si>
    <t>OL OBEROI PQ semi-boot</t>
  </si>
  <si>
    <t>OL OHIO PQ loafer</t>
  </si>
  <si>
    <t>OL OSBORNE PQ loafer</t>
  </si>
  <si>
    <t>OL PIPPIN PQ Flatform</t>
  </si>
  <si>
    <t>OL ROSE SCALLOP PQ sandal</t>
  </si>
  <si>
    <t>OL SABINA PQ sandal</t>
  </si>
  <si>
    <t>OL SOUTH PQ sneaker</t>
  </si>
  <si>
    <t>OL STAFFAN PQ loafer (gör CO)</t>
  </si>
  <si>
    <t>OL SWAN PQ Boot</t>
  </si>
  <si>
    <t>OL TAKIRA PQ boot</t>
  </si>
  <si>
    <t>OL UNIQUE JOLIEN STRAP</t>
  </si>
  <si>
    <t>OL WASHINGTON PQ pump (gör CO)</t>
  </si>
  <si>
    <t>OL WIGGINS PQ Wedge</t>
  </si>
  <si>
    <t>OL WOLF PQ Boot</t>
  </si>
  <si>
    <t>Olga LL PJ (J)</t>
  </si>
  <si>
    <t>Olga LL PJ (J) BF</t>
  </si>
  <si>
    <t>Olga off shoulder</t>
  </si>
  <si>
    <t>Olga Tank</t>
  </si>
  <si>
    <t>Olga Tank TVP</t>
  </si>
  <si>
    <t>Olga top</t>
  </si>
  <si>
    <t>Olimpia swimsuit NEW</t>
  </si>
  <si>
    <t>Oliva Pull on Shorts</t>
  </si>
  <si>
    <t>Olive</t>
  </si>
  <si>
    <t>Olive skirt</t>
  </si>
  <si>
    <t>Oliver Hood (1)</t>
  </si>
  <si>
    <t>OLIVER OXFORD</t>
  </si>
  <si>
    <t>OLIVER OXFORD SHIRT</t>
  </si>
  <si>
    <t>Olivia Blouse</t>
  </si>
  <si>
    <t>Olivia dress</t>
  </si>
  <si>
    <t>Olivia Off shoulder Dress</t>
  </si>
  <si>
    <t>Olympia</t>
  </si>
  <si>
    <t>One dance</t>
  </si>
  <si>
    <t>Ontario knitted jumper</t>
  </si>
  <si>
    <t>OP Brazilian 2p Low (Acacia)</t>
  </si>
  <si>
    <t>OP Cheeky hipster 2p</t>
  </si>
  <si>
    <t>OP Push Melbourne^</t>
  </si>
  <si>
    <t>OP Strapless^</t>
  </si>
  <si>
    <t>OP T-shirt (Idro)</t>
  </si>
  <si>
    <t>OP T-shirt Milano</t>
  </si>
  <si>
    <t>Opac coat</t>
  </si>
  <si>
    <t>OPEN (softbra lace)</t>
  </si>
  <si>
    <t>Opera dress</t>
  </si>
  <si>
    <t>OPHELIA BLOUSE</t>
  </si>
  <si>
    <t>Ophelia Brazilian Azalea</t>
  </si>
  <si>
    <t>Ophelia Padded Soft Body</t>
  </si>
  <si>
    <t>Ophelia Padded T-shirt Lucca</t>
  </si>
  <si>
    <t>Ophelia Push Melb. Bralette</t>
  </si>
  <si>
    <t>Ophelia Push Melbourne Cradle</t>
  </si>
  <si>
    <t>Oprah Bikini Lotus Low</t>
  </si>
  <si>
    <t>Oprah corsette push valencia</t>
  </si>
  <si>
    <t>Oprah Push Balconette Ferrara</t>
  </si>
  <si>
    <t>Oprah SP Andes</t>
  </si>
  <si>
    <t>Opus lace dress</t>
  </si>
  <si>
    <t>Orange</t>
  </si>
  <si>
    <t>ORBIT hotpants</t>
  </si>
  <si>
    <t>ORBIT HW hotpants</t>
  </si>
  <si>
    <t>Orchid</t>
  </si>
  <si>
    <t>Oregano</t>
  </si>
  <si>
    <t>Oriane Dress</t>
  </si>
  <si>
    <t>Oribi kimono</t>
  </si>
  <si>
    <t>Orion NW tapered denim</t>
  </si>
  <si>
    <t>ORLANDO 2-layer loose tee (1)</t>
  </si>
  <si>
    <t>Orvar strap top</t>
  </si>
  <si>
    <t>Oscar Biker</t>
  </si>
  <si>
    <t>Oscar dress XMAS</t>
  </si>
  <si>
    <t>Osha wool</t>
  </si>
  <si>
    <t>Osman (1)</t>
  </si>
  <si>
    <t>Ossian</t>
  </si>
  <si>
    <t>Ossian singoalla blouse</t>
  </si>
  <si>
    <t>Ostuni</t>
  </si>
  <si>
    <t>OTTER checked</t>
  </si>
  <si>
    <t>OX oxford shirt</t>
  </si>
  <si>
    <t>Oxford satin dress</t>
  </si>
  <si>
    <t>OXO HOOD</t>
  </si>
  <si>
    <t>Oz SF skinny fit blazer</t>
  </si>
  <si>
    <t>Oz skinny fit 2B blz</t>
  </si>
  <si>
    <t>Oz skinny fit trs</t>
  </si>
  <si>
    <t>Ozzy</t>
  </si>
  <si>
    <t>Ozzy Denim Dungaree</t>
  </si>
  <si>
    <t>Ozzy Denim Shorts</t>
  </si>
  <si>
    <t>Pablo coat</t>
  </si>
  <si>
    <t>Pablo jumper</t>
  </si>
  <si>
    <t>Pablo round neck</t>
  </si>
  <si>
    <t>Pablo sweatshirt</t>
  </si>
  <si>
    <t>PACIFIC bootcut tights</t>
  </si>
  <si>
    <t>Paco Hairy Sweater</t>
  </si>
  <si>
    <t>Paganini dress</t>
  </si>
  <si>
    <t>Palace strap dress</t>
  </si>
  <si>
    <t>Palermo</t>
  </si>
  <si>
    <t>Palm dress</t>
  </si>
  <si>
    <t>Palma Trousers</t>
  </si>
  <si>
    <t>Paloma Heel</t>
  </si>
  <si>
    <t>Paloma skirt'</t>
  </si>
  <si>
    <t>Pam</t>
  </si>
  <si>
    <t>Pamela</t>
  </si>
  <si>
    <t>Pamela linen trousers</t>
  </si>
  <si>
    <t>PAMELA PILE HOOD</t>
  </si>
  <si>
    <t>Pamela Shorts HW</t>
  </si>
  <si>
    <t>Panama dress</t>
  </si>
  <si>
    <t>Panama dress (1)</t>
  </si>
  <si>
    <t>Panda skate dress j</t>
  </si>
  <si>
    <t>Pannacotta</t>
  </si>
  <si>
    <t>Panorama mid support bra</t>
  </si>
  <si>
    <t>PANORAMA sports bra</t>
  </si>
  <si>
    <t>Pantha PU leggings</t>
  </si>
  <si>
    <t>Panto dress</t>
  </si>
  <si>
    <t>Panxa Hoodie (J)</t>
  </si>
  <si>
    <t>Papa skirt</t>
  </si>
  <si>
    <t>Papi Chulo Tie Tanga</t>
  </si>
  <si>
    <t>Papi Chulo Top</t>
  </si>
  <si>
    <t>Papillon funnelneck.</t>
  </si>
  <si>
    <t>Paprika</t>
  </si>
  <si>
    <t>Paradise HW</t>
  </si>
  <si>
    <t>Pargas slipper</t>
  </si>
  <si>
    <t>Paris</t>
  </si>
  <si>
    <t>Paris Dress</t>
  </si>
  <si>
    <t>Paris glove</t>
  </si>
  <si>
    <t>Paris highwaist</t>
  </si>
  <si>
    <t>Paris top</t>
  </si>
  <si>
    <t>Paris trench</t>
  </si>
  <si>
    <t>Paris Trench</t>
  </si>
  <si>
    <t>Paris tunic</t>
  </si>
  <si>
    <t>Paris Unpadded Swimsuit(1)</t>
  </si>
  <si>
    <t>Parker</t>
  </si>
  <si>
    <t>Parma Dress</t>
  </si>
  <si>
    <t>Parrot dress</t>
  </si>
  <si>
    <t>Parrot dressed</t>
  </si>
  <si>
    <t>Parrot jacquard trouser</t>
  </si>
  <si>
    <t>Parrot Jumpsuit</t>
  </si>
  <si>
    <t>Parrot long trouser</t>
  </si>
  <si>
    <t>PARTY Isabel dress</t>
  </si>
  <si>
    <t>Pastis blouse</t>
  </si>
  <si>
    <t>PASTRY</t>
  </si>
  <si>
    <t>Pat ls bd light solid</t>
  </si>
  <si>
    <t>Pat ls bd light solid (1)</t>
  </si>
  <si>
    <t>Pat ls bd oxford solid</t>
  </si>
  <si>
    <t>Pat ls buffalo plaid</t>
  </si>
  <si>
    <t>Pat ss bd light solid  (1)</t>
  </si>
  <si>
    <t>Patootie HW dnm shorts</t>
  </si>
  <si>
    <t>Patricia</t>
  </si>
  <si>
    <t>Patricia LL PJ (j)</t>
  </si>
  <si>
    <t>Patrick puffer jacket</t>
  </si>
  <si>
    <t>Patsy Platform</t>
  </si>
  <si>
    <t>Pattern 7p Socks</t>
  </si>
  <si>
    <t>Patti Dungaree</t>
  </si>
  <si>
    <t>Patti HW wide cropped</t>
  </si>
  <si>
    <t>Patty</t>
  </si>
  <si>
    <t>Patty flip-flop</t>
  </si>
  <si>
    <t>PAUL  R-NECK</t>
  </si>
  <si>
    <t>PAUL R-NECK SLIM</t>
  </si>
  <si>
    <t>PAUL V-NECK</t>
  </si>
  <si>
    <t>Paula</t>
  </si>
  <si>
    <t>Paula blouse</t>
  </si>
  <si>
    <t>Paulina blouse</t>
  </si>
  <si>
    <t>Payton tank top</t>
  </si>
  <si>
    <t>PC Birkin HW Tapered</t>
  </si>
  <si>
    <t>PC Cayenne</t>
  </si>
  <si>
    <t>PC Champagne</t>
  </si>
  <si>
    <t>PC Drew jumpsuit</t>
  </si>
  <si>
    <t>PC Flores</t>
  </si>
  <si>
    <t>PC Freedom</t>
  </si>
  <si>
    <t>PC J Bondi</t>
  </si>
  <si>
    <t>PC J Columbine</t>
  </si>
  <si>
    <t>PC J Silver</t>
  </si>
  <si>
    <t>PC J Tasha</t>
  </si>
  <si>
    <t>PC Tina Turner</t>
  </si>
  <si>
    <t>PC Waterfall</t>
  </si>
  <si>
    <t>PE BLOC PANT</t>
  </si>
  <si>
    <t>PE BRITTA BO</t>
  </si>
  <si>
    <t>PE CHRISSY SILK SHIRT</t>
  </si>
  <si>
    <t>PE CORRES TEE</t>
  </si>
  <si>
    <t>PE CORRES T-SHIRT</t>
  </si>
  <si>
    <t>PE DANIELA COAT</t>
  </si>
  <si>
    <t>PE ELLA COAT</t>
  </si>
  <si>
    <t>PE HANNE KNIT</t>
  </si>
  <si>
    <t>PE HEIDI CASHMERE</t>
  </si>
  <si>
    <t>PE HELIOS SOLID 3</t>
  </si>
  <si>
    <t>PE KIM TOP 3</t>
  </si>
  <si>
    <t>PE LISA JOGGERS</t>
  </si>
  <si>
    <t>PE MELISSA R-NECK</t>
  </si>
  <si>
    <t>PE PRINGLE KNIT</t>
  </si>
  <si>
    <t>PE PRINGLE RIB KNIT</t>
  </si>
  <si>
    <t>PE PRINGLES</t>
  </si>
  <si>
    <t>PE RUTH CASHMERE TOP</t>
  </si>
  <si>
    <t>PE SAN REMO TOP</t>
  </si>
  <si>
    <t>PE SOL DENIM</t>
  </si>
  <si>
    <t>PE VALERIE</t>
  </si>
  <si>
    <t>Peach</t>
  </si>
  <si>
    <t>Peach bandeau</t>
  </si>
  <si>
    <t>Peach parka</t>
  </si>
  <si>
    <t>Peach Trench</t>
  </si>
  <si>
    <t>Peaches jumpsuit</t>
  </si>
  <si>
    <t>Peacock linen</t>
  </si>
  <si>
    <t>Peanut</t>
  </si>
  <si>
    <t>Pearl dress</t>
  </si>
  <si>
    <t>Pearl dress(1)</t>
  </si>
  <si>
    <t>Pearl Jam</t>
  </si>
  <si>
    <t>Pearl PU</t>
  </si>
  <si>
    <t>PEBBLE knitted crewneck 1</t>
  </si>
  <si>
    <t>Peg</t>
  </si>
  <si>
    <t>Peg Denim Dungaree</t>
  </si>
  <si>
    <t>Peg fineknit</t>
  </si>
  <si>
    <t>Peggy padded</t>
  </si>
  <si>
    <t>Peggy Padded Jacket</t>
  </si>
  <si>
    <t>Peggy polo</t>
  </si>
  <si>
    <t>Peggy Trouser</t>
  </si>
  <si>
    <t>Pelican</t>
  </si>
  <si>
    <t>Pelle shorts TP</t>
  </si>
  <si>
    <t>Pen skirt</t>
  </si>
  <si>
    <t>Penelope</t>
  </si>
  <si>
    <t>Penne</t>
  </si>
  <si>
    <t>Penny</t>
  </si>
  <si>
    <t>Penny midi backapck</t>
  </si>
  <si>
    <t>Penny sandalette</t>
  </si>
  <si>
    <t>Penny skirt</t>
  </si>
  <si>
    <t>Penny Wide Culotte</t>
  </si>
  <si>
    <t>Peony</t>
  </si>
  <si>
    <t>Peony Throw On</t>
  </si>
  <si>
    <t>Pep leggings</t>
  </si>
  <si>
    <t>Peppa</t>
  </si>
  <si>
    <t>Pepper cord blouse</t>
  </si>
  <si>
    <t>Pepper cropped sweater</t>
  </si>
  <si>
    <t>PERFECT HOOD</t>
  </si>
  <si>
    <t>Perfect hood</t>
  </si>
  <si>
    <t>Perla Lace CK</t>
  </si>
  <si>
    <t>Perrie Acid/ CutlinesDenim TRS</t>
  </si>
  <si>
    <t>Perrie Denim Shorts</t>
  </si>
  <si>
    <t>Perrie Fancy Denim Shorts</t>
  </si>
  <si>
    <t>Perrie Fancy Denim TRS</t>
  </si>
  <si>
    <t>Perrie HW Denim Trash TRS</t>
  </si>
  <si>
    <t>Perrie Slim Mom Denim TRS</t>
  </si>
  <si>
    <t>Perrie Trash HW Denim TRS</t>
  </si>
  <si>
    <t>Petar Sweater</t>
  </si>
  <si>
    <t>PETAR SWEATSHIRT</t>
  </si>
  <si>
    <t>Pete Plisse</t>
  </si>
  <si>
    <t>Pete Plisse dress</t>
  </si>
  <si>
    <t>Pete Shacket</t>
  </si>
  <si>
    <t>PETER POLO</t>
  </si>
  <si>
    <t>Peter Shacket</t>
  </si>
  <si>
    <t>Petite Daiquiri</t>
  </si>
  <si>
    <t>Petite DIV Fiffi flare</t>
  </si>
  <si>
    <t>Petite Gemma Woven TRS</t>
  </si>
  <si>
    <t>Petite Jade HW Denim Trash TRS</t>
  </si>
  <si>
    <t>Petite Kendall RW Denim TRS</t>
  </si>
  <si>
    <t>Petite Mabel dungaree</t>
  </si>
  <si>
    <t>Petite Perrie slim mom denim T</t>
  </si>
  <si>
    <t>Petra</t>
  </si>
  <si>
    <t>Petra dress</t>
  </si>
  <si>
    <t>Petronella</t>
  </si>
  <si>
    <t>Petter Popover shirt</t>
  </si>
  <si>
    <t>Petter Tencel</t>
  </si>
  <si>
    <t>Petula</t>
  </si>
  <si>
    <t>Phantom Dress (1)</t>
  </si>
  <si>
    <t>Pheobe dress</t>
  </si>
  <si>
    <t>PHILIPPA SHIRT</t>
  </si>
  <si>
    <t>Phill</t>
  </si>
  <si>
    <t>Phillipos</t>
  </si>
  <si>
    <t>Phoebe</t>
  </si>
  <si>
    <t>Phoebe velour PJ (J)</t>
  </si>
  <si>
    <t>Pia</t>
  </si>
  <si>
    <t>Pia Party</t>
  </si>
  <si>
    <t>Pick Up High Rise Brief</t>
  </si>
  <si>
    <t>Pick Up Top</t>
  </si>
  <si>
    <t>Pickles Velour Sweater</t>
  </si>
  <si>
    <t>Pierra sandal</t>
  </si>
  <si>
    <t>PIETER JOGGER</t>
  </si>
  <si>
    <t>PIGALLE HW tights</t>
  </si>
  <si>
    <t>PIGALLE tights</t>
  </si>
  <si>
    <t>pigion dress</t>
  </si>
  <si>
    <t>Pila Blouse</t>
  </si>
  <si>
    <t>Pincher coat</t>
  </si>
  <si>
    <t>Pine HW Trousers</t>
  </si>
  <si>
    <t>Pineapple dress</t>
  </si>
  <si>
    <t>Pingu top</t>
  </si>
  <si>
    <t>Pink</t>
  </si>
  <si>
    <t>PINKY loose fit tank</t>
  </si>
  <si>
    <t>PINKY Loose Fitted Tank</t>
  </si>
  <si>
    <t>Pinnochio Beanie</t>
  </si>
  <si>
    <t>Pinocchio</t>
  </si>
  <si>
    <t>Pinsher</t>
  </si>
  <si>
    <t>Pio bikini bottom</t>
  </si>
  <si>
    <t>Pio bikini top</t>
  </si>
  <si>
    <t>Piper blouse</t>
  </si>
  <si>
    <t>Piper Party Dress</t>
  </si>
  <si>
    <t>PIPER POLO</t>
  </si>
  <si>
    <t>Piper push bralette lacing</t>
  </si>
  <si>
    <t>Piper shirt dress</t>
  </si>
  <si>
    <t>Piper Shirt Dress s</t>
  </si>
  <si>
    <t>Piper Strappy Push Body</t>
  </si>
  <si>
    <t>Piper top</t>
  </si>
  <si>
    <t>Pipi Chunky Neck</t>
  </si>
  <si>
    <t>Pippi denim dress</t>
  </si>
  <si>
    <t>Pippi shorts</t>
  </si>
  <si>
    <t>Pippy Conscious Dress</t>
  </si>
  <si>
    <t>Pirate Leggings (1)</t>
  </si>
  <si>
    <t>Pistaschio playsuit</t>
  </si>
  <si>
    <t>Pitbull coat</t>
  </si>
  <si>
    <t>Pitcher RW</t>
  </si>
  <si>
    <t>PIXI PINNAFORE</t>
  </si>
  <si>
    <t>PIXI PINNAFORE NEW</t>
  </si>
  <si>
    <t>Pizza Coat</t>
  </si>
  <si>
    <t>Plain Jane Padded Swimsuit</t>
  </si>
  <si>
    <t>Plato</t>
  </si>
  <si>
    <t>Plommon</t>
  </si>
  <si>
    <t>PLOPP RW tights</t>
  </si>
  <si>
    <t>PLOPP tights</t>
  </si>
  <si>
    <t>Plott suede trouser</t>
  </si>
  <si>
    <t>Plum</t>
  </si>
  <si>
    <t>Plum Coat</t>
  </si>
  <si>
    <t>Plum Long Coat</t>
  </si>
  <si>
    <t>Plum Pile Coat</t>
  </si>
  <si>
    <t>Plum skirt</t>
  </si>
  <si>
    <t>Plum turtleneck</t>
  </si>
  <si>
    <t>Pluto dress</t>
  </si>
  <si>
    <t>Pluto OTS</t>
  </si>
  <si>
    <t>Pluto slacks RW</t>
  </si>
  <si>
    <t>PLUTO WINTER TIGHTS</t>
  </si>
  <si>
    <t>Poca Coat</t>
  </si>
  <si>
    <t>Poetic Swimsuit</t>
  </si>
  <si>
    <t>Pointer</t>
  </si>
  <si>
    <t>Pointer blazer</t>
  </si>
  <si>
    <t>Poissy boho dress</t>
  </si>
  <si>
    <t>Polka Blazer</t>
  </si>
  <si>
    <t>Polka Blazer TW</t>
  </si>
  <si>
    <t>Polka jsy blazer</t>
  </si>
  <si>
    <t>POLLY BLOUSE</t>
  </si>
  <si>
    <t>Polly Dress</t>
  </si>
  <si>
    <t>Polly dress</t>
  </si>
  <si>
    <t>Polly sandal</t>
  </si>
  <si>
    <t>Polly shopper</t>
  </si>
  <si>
    <t>POLO PIQE</t>
  </si>
  <si>
    <t>Polo S/S Highline</t>
  </si>
  <si>
    <t>Polo S/S Highline TVP</t>
  </si>
  <si>
    <t>Polo S/S Highline2</t>
  </si>
  <si>
    <t>Pom Pom</t>
  </si>
  <si>
    <t>Pom shirt dress</t>
  </si>
  <si>
    <t>Pomelo</t>
  </si>
  <si>
    <t>Pomelo tunic</t>
  </si>
  <si>
    <t>Pomme tunic</t>
  </si>
  <si>
    <t>Pomsky cardigan</t>
  </si>
  <si>
    <t>Pomsky knitted cardigan</t>
  </si>
  <si>
    <t>Pond LS</t>
  </si>
  <si>
    <t>Pontus Espadrill.</t>
  </si>
  <si>
    <t>Ponyta OLUQ</t>
  </si>
  <si>
    <t>POPEYE SHIRT</t>
  </si>
  <si>
    <t>Poppy jumpsuit</t>
  </si>
  <si>
    <t>Poppy knitted top</t>
  </si>
  <si>
    <t>Porcupine fluid trench</t>
  </si>
  <si>
    <t>Portia</t>
  </si>
  <si>
    <t>Porto Vecchio</t>
  </si>
  <si>
    <t>Portobello</t>
  </si>
  <si>
    <t>Portobello.</t>
  </si>
  <si>
    <t>Portofino blouse</t>
  </si>
  <si>
    <t>Post lace dress</t>
  </si>
  <si>
    <t>Posy SB thong 4pk</t>
  </si>
  <si>
    <t>Pound jacket</t>
  </si>
  <si>
    <t>Pour It Up Push Bra</t>
  </si>
  <si>
    <t>POW Blouse on fire</t>
  </si>
  <si>
    <t>POW Johanna dress</t>
  </si>
  <si>
    <t>POWER tights</t>
  </si>
  <si>
    <t>Powerpuff Padded</t>
  </si>
  <si>
    <t>PQ Alessa sunglasses</t>
  </si>
  <si>
    <t>PQ Alicia sunglasses</t>
  </si>
  <si>
    <t>PQ ANNA SWEAT TIGHTS</t>
  </si>
  <si>
    <t>PQ Bodil poncho</t>
  </si>
  <si>
    <t>PQ CARLO COAT</t>
  </si>
  <si>
    <t>PQ CAT BEANIE</t>
  </si>
  <si>
    <t>PQ Chuck Beanie</t>
  </si>
  <si>
    <t>PQ Cilla sunglasses</t>
  </si>
  <si>
    <t>PQ CORINNE JKT DOWN</t>
  </si>
  <si>
    <t>PQ FI LEGGINGS LEATHER</t>
  </si>
  <si>
    <t>PQ FIONA CASH POLO</t>
  </si>
  <si>
    <t>PQ GOMA CASH SWEATER</t>
  </si>
  <si>
    <t>PQ Icona cashmere scarf</t>
  </si>
  <si>
    <t>PQ KING POLO</t>
  </si>
  <si>
    <t>PQ Lottie cashmere headband</t>
  </si>
  <si>
    <t>PQ MARTHA CASH SWEATER</t>
  </si>
  <si>
    <t>PQ MILLA JKT DOWN</t>
  </si>
  <si>
    <t>PQ NATASHA WOOL POLO</t>
  </si>
  <si>
    <t>PQ Neptune leather crossbag</t>
  </si>
  <si>
    <t>PQ SABA WOOL JKT</t>
  </si>
  <si>
    <t>PQ Salerno suede shopper</t>
  </si>
  <si>
    <t>PQ TAS TOP</t>
  </si>
  <si>
    <t>PQ VALENTINA JUMPER</t>
  </si>
  <si>
    <t>PQ VANESSA BLZ</t>
  </si>
  <si>
    <t>PQ/PU Feminin Crossbag</t>
  </si>
  <si>
    <t>Premium CARINA turtle</t>
  </si>
  <si>
    <t>Premium DAPHNE tunic</t>
  </si>
  <si>
    <t>Premium JAZZ jogeers NEW</t>
  </si>
  <si>
    <t>Premium KVARN v-neck</t>
  </si>
  <si>
    <t>Premium LILIANA sweater</t>
  </si>
  <si>
    <t>Premium LOLA fineknit sweater</t>
  </si>
  <si>
    <t>Premium MARTHA cashmere sweate</t>
  </si>
  <si>
    <t>Premium MIKE cardigan</t>
  </si>
  <si>
    <t>Premium OLGA cashmere sweater</t>
  </si>
  <si>
    <t>Pretty Please Cheeky Tanga</t>
  </si>
  <si>
    <t>Pretty Please Triangle Top</t>
  </si>
  <si>
    <t>Pretty pleats skirt</t>
  </si>
  <si>
    <t>Pretty tee</t>
  </si>
  <si>
    <t>Pria tee</t>
  </si>
  <si>
    <t>PRICE CREW</t>
  </si>
  <si>
    <t>PRICE ITEM CELINE PILE</t>
  </si>
  <si>
    <t>PRICE ITEM Ronaldo</t>
  </si>
  <si>
    <t>PRICE TANK CONCIOUS</t>
  </si>
  <si>
    <t>PRICE TEE</t>
  </si>
  <si>
    <t>Price tee - TVP- TM</t>
  </si>
  <si>
    <t>Prima</t>
  </si>
  <si>
    <t>Prima strap</t>
  </si>
  <si>
    <t>Prima(1)</t>
  </si>
  <si>
    <t>Primavera blazer</t>
  </si>
  <si>
    <t>Prime skinny blz</t>
  </si>
  <si>
    <t>Prime skinny trs</t>
  </si>
  <si>
    <t>Primo slacks</t>
  </si>
  <si>
    <t>Primrose Padded T-shirt Milano</t>
  </si>
  <si>
    <t>PRINCE ERIC BASIC TEE</t>
  </si>
  <si>
    <t>Prince sweater or King</t>
  </si>
  <si>
    <t>Princess</t>
  </si>
  <si>
    <t>Princess off shoulder</t>
  </si>
  <si>
    <t>Printed Hood 24.99</t>
  </si>
  <si>
    <t>Printed Hood 24.99 B2</t>
  </si>
  <si>
    <t>PRINTED TEE OWN PRINT</t>
  </si>
  <si>
    <t>Pru dress</t>
  </si>
  <si>
    <t>PS FI LEATHER LEGGINGS</t>
  </si>
  <si>
    <t>Puff sweater</t>
  </si>
  <si>
    <t>PUFFIN PLAYSUIT</t>
  </si>
  <si>
    <t>Pull On Ankle</t>
  </si>
  <si>
    <t>Pull On Ankle.</t>
  </si>
  <si>
    <t>PULL ON JOGGER</t>
  </si>
  <si>
    <t>Puma sequin blazer V5</t>
  </si>
  <si>
    <t>Pumba DE</t>
  </si>
  <si>
    <t>Pumpkin bra</t>
  </si>
  <si>
    <t>Puro</t>
  </si>
  <si>
    <t>Push Up 30 den 1p Tights</t>
  </si>
  <si>
    <t>Push Up Jegging L.W</t>
  </si>
  <si>
    <t>Push Up Shaping H.W ankle</t>
  </si>
  <si>
    <t>Push Up Shorts</t>
  </si>
  <si>
    <t>PUTTE overall</t>
  </si>
  <si>
    <t>Queen PU Kickflare</t>
  </si>
  <si>
    <t>Queen solid</t>
  </si>
  <si>
    <t>Queen Strap Top</t>
  </si>
  <si>
    <t>Queen Sweater</t>
  </si>
  <si>
    <t>Queenie Jumpsuit (1)</t>
  </si>
  <si>
    <t>Quick Fix</t>
  </si>
  <si>
    <t>Quickdry 5p shaftless</t>
  </si>
  <si>
    <t>RA RW shorts conscious</t>
  </si>
  <si>
    <t>RA RW shorts conscious(1)</t>
  </si>
  <si>
    <t>Rachel</t>
  </si>
  <si>
    <t>Rachel Basic LS</t>
  </si>
  <si>
    <t>Rachel HW Denim TRS</t>
  </si>
  <si>
    <t>Rachel HW Straight Denim TRS</t>
  </si>
  <si>
    <t>Rachel jumper</t>
  </si>
  <si>
    <t>Rachel LS TVP</t>
  </si>
  <si>
    <t>Rachel or Merry HW Denim TRS</t>
  </si>
  <si>
    <t>Racine</t>
  </si>
  <si>
    <t>Racing shorts</t>
  </si>
  <si>
    <t>Rae Lace Thong (Magnolia 3p</t>
  </si>
  <si>
    <t>Rae Padded (Idro) 2p</t>
  </si>
  <si>
    <t>Rae padded Bandeau 2p</t>
  </si>
  <si>
    <t>Rae Padded Softbra 2p</t>
  </si>
  <si>
    <t>Rae Push (Melbourne) 2p</t>
  </si>
  <si>
    <t>Rafael boho blouse</t>
  </si>
  <si>
    <t>Ragdoll</t>
  </si>
  <si>
    <t>Ragu cotton cashmere joggers</t>
  </si>
  <si>
    <t>Railey Top</t>
  </si>
  <si>
    <t>Rainbow sandal</t>
  </si>
  <si>
    <t>Ramsey padded vest</t>
  </si>
  <si>
    <t>Ramy playsuit</t>
  </si>
  <si>
    <t>Rana jumpsuit</t>
  </si>
  <si>
    <t>Rania Party</t>
  </si>
  <si>
    <t>Rania tshirt dress j</t>
  </si>
  <si>
    <t>Rasmus top</t>
  </si>
  <si>
    <t>Raspberry</t>
  </si>
  <si>
    <t>Raspberry Shorts</t>
  </si>
  <si>
    <t>Rattle body</t>
  </si>
  <si>
    <t>Raven</t>
  </si>
  <si>
    <t>Raven blazer</t>
  </si>
  <si>
    <t>Raven skirt</t>
  </si>
  <si>
    <t>Raven sneaker SPEED</t>
  </si>
  <si>
    <t>Rawley Slim Chino Trs</t>
  </si>
  <si>
    <t>Ray Fur</t>
  </si>
  <si>
    <t>Raymond fleece</t>
  </si>
  <si>
    <t>Razzle blazer</t>
  </si>
  <si>
    <t>Reagan maxi dress</t>
  </si>
  <si>
    <t>Real Love dress</t>
  </si>
  <si>
    <t>Rebecca</t>
  </si>
  <si>
    <t>Rebecca knitted jumper</t>
  </si>
  <si>
    <t>Rebecca or Delphine shirt</t>
  </si>
  <si>
    <t>Rebel Dress</t>
  </si>
  <si>
    <t>Rebound Dress</t>
  </si>
  <si>
    <t>Red Velvet</t>
  </si>
  <si>
    <t>Reece fancy boot</t>
  </si>
  <si>
    <t>Reef Dress</t>
  </si>
  <si>
    <t>REEF RW tights</t>
  </si>
  <si>
    <t>Reena Half Zip sweater</t>
  </si>
  <si>
    <t>Reese boot</t>
  </si>
  <si>
    <t>Reggie (1)</t>
  </si>
  <si>
    <t>Reid (1)</t>
  </si>
  <si>
    <t>Reindeer</t>
  </si>
  <si>
    <t>Reindeer wool coat</t>
  </si>
  <si>
    <t>Relaxed Shorts Stretch R.W</t>
  </si>
  <si>
    <t>Remy Padded</t>
  </si>
  <si>
    <t>Renate</t>
  </si>
  <si>
    <t>Resort Shirt</t>
  </si>
  <si>
    <t>Retro dnm shirt</t>
  </si>
  <si>
    <t>Revlon</t>
  </si>
  <si>
    <t>REX SLIM LS T-SHIRT</t>
  </si>
  <si>
    <t>Rexona mini skirt</t>
  </si>
  <si>
    <t>rhea</t>
  </si>
  <si>
    <t>Rhea pump</t>
  </si>
  <si>
    <t>Rhuna pump</t>
  </si>
  <si>
    <t>Rialto WL</t>
  </si>
  <si>
    <t>Rich</t>
  </si>
  <si>
    <t>Richard cardigan</t>
  </si>
  <si>
    <t>Riche speed dress</t>
  </si>
  <si>
    <t>RICHIE HOOD</t>
  </si>
  <si>
    <t>Richie Regular Hood</t>
  </si>
  <si>
    <t>RICHIE SKIRT S.0</t>
  </si>
  <si>
    <t>RICHIE SKIRT S.9</t>
  </si>
  <si>
    <t>Rick cardigan</t>
  </si>
  <si>
    <t>Ricky</t>
  </si>
  <si>
    <t>Rico dress SPEED</t>
  </si>
  <si>
    <t>Ridge</t>
  </si>
  <si>
    <t>Ridgeback jumpsuit</t>
  </si>
  <si>
    <t>Rig Tee</t>
  </si>
  <si>
    <t>Rihanna</t>
  </si>
  <si>
    <t>RILEY T-SHIRT</t>
  </si>
  <si>
    <t>Rimini</t>
  </si>
  <si>
    <t>Ring Ring Brief</t>
  </si>
  <si>
    <t>Ring Ring Triangle Top</t>
  </si>
  <si>
    <t>Ringo hipbelt</t>
  </si>
  <si>
    <t>Ringo HW wide trousers</t>
  </si>
  <si>
    <t>Ringo skirt</t>
  </si>
  <si>
    <t>Rio</t>
  </si>
  <si>
    <t>Rio blouse</t>
  </si>
  <si>
    <t>Rio Dress</t>
  </si>
  <si>
    <t>Rio HW</t>
  </si>
  <si>
    <t>Rio OPT 2</t>
  </si>
  <si>
    <t>Rio party W</t>
  </si>
  <si>
    <t>Rio RTW Blouse</t>
  </si>
  <si>
    <t>Rioja Short Parka</t>
  </si>
  <si>
    <t>Ripley r-neck</t>
  </si>
  <si>
    <t>Ripley R-neck</t>
  </si>
  <si>
    <t>RIPPLE MUSCLE HOOD</t>
  </si>
  <si>
    <t>Riri sandalina</t>
  </si>
  <si>
    <t>Riri sneaker</t>
  </si>
  <si>
    <t>Rita flounce bikini</t>
  </si>
  <si>
    <t>Rita Ringer Tee.</t>
  </si>
  <si>
    <t>Rita Tweed</t>
  </si>
  <si>
    <t>Ritz mini bag</t>
  </si>
  <si>
    <t>Ritz slacks</t>
  </si>
  <si>
    <t>Ritzo wide</t>
  </si>
  <si>
    <t>River</t>
  </si>
  <si>
    <t>RIVER (1)</t>
  </si>
  <si>
    <t>River Wrap Dress</t>
  </si>
  <si>
    <t>Riviera blouse</t>
  </si>
  <si>
    <t>Riviera boho dress</t>
  </si>
  <si>
    <t>Riviera dress SS</t>
  </si>
  <si>
    <t>Riviera L/S</t>
  </si>
  <si>
    <t>Riviera S/S</t>
  </si>
  <si>
    <t>R-neck Allington TVP</t>
  </si>
  <si>
    <t>R-NECK BASIC FIT FANCY</t>
  </si>
  <si>
    <t>R-neck Livorno</t>
  </si>
  <si>
    <t>R-NECK LS SLIM FIT</t>
  </si>
  <si>
    <t>R-Neck Pisa TVP</t>
  </si>
  <si>
    <t>R-NECK SS BASIC 3 PK</t>
  </si>
  <si>
    <t>R-NECK SS BASIC FIT</t>
  </si>
  <si>
    <t>R-NECK SS SLIM FIT</t>
  </si>
  <si>
    <t>Robban blazer</t>
  </si>
  <si>
    <t>Robby(1)</t>
  </si>
  <si>
    <t>Roberto</t>
  </si>
  <si>
    <t>Robin</t>
  </si>
  <si>
    <t>Robin 3pk Fancy</t>
  </si>
  <si>
    <t>Robin 5pk Fancy</t>
  </si>
  <si>
    <t>Robin 5pk R Basic short trunk</t>
  </si>
  <si>
    <t>Robin 7pk Basic</t>
  </si>
  <si>
    <t>Robin blazer</t>
  </si>
  <si>
    <t>ROBIN HOOD</t>
  </si>
  <si>
    <t>Robin Hood Shacket</t>
  </si>
  <si>
    <t>Robin Hood Shacket PU</t>
  </si>
  <si>
    <t>ROBIN HOOD.</t>
  </si>
  <si>
    <t>Robin Wrap</t>
  </si>
  <si>
    <t>Rocco swimsuit</t>
  </si>
  <si>
    <t>Rocky!</t>
  </si>
  <si>
    <t>ROLAND SET IN</t>
  </si>
  <si>
    <t>Roll Up Tee</t>
  </si>
  <si>
    <t>Rollerneck Blenheim TVP</t>
  </si>
  <si>
    <t>Rollerneck Charlie TVP</t>
  </si>
  <si>
    <t>ROLO COULD SHOULDER</t>
  </si>
  <si>
    <t>Rolo top</t>
  </si>
  <si>
    <t>Romana</t>
  </si>
  <si>
    <t>Romantic Dress</t>
  </si>
  <si>
    <t>Romina LL PJ STRATEGIC LOW (W)</t>
  </si>
  <si>
    <t>Romina satin PJ (W)</t>
  </si>
  <si>
    <t>RONNY REG RN T-SHIRT</t>
  </si>
  <si>
    <t>RONNY R-NECK</t>
  </si>
  <si>
    <t>Rooney dress</t>
  </si>
  <si>
    <t>Rosa padded bra BIG</t>
  </si>
  <si>
    <t>Rosalind Strap dress</t>
  </si>
  <si>
    <t>Rosario</t>
  </si>
  <si>
    <t>Rose</t>
  </si>
  <si>
    <t>Rose Biker</t>
  </si>
  <si>
    <t>Rose boho dress</t>
  </si>
  <si>
    <t>Rose knit top</t>
  </si>
  <si>
    <t>Rose rib tank</t>
  </si>
  <si>
    <t>Rose straight denim RW</t>
  </si>
  <si>
    <t>Rose thong</t>
  </si>
  <si>
    <t>Rose thong 7-pack(1)</t>
  </si>
  <si>
    <t>Rose tight tank top</t>
  </si>
  <si>
    <t>Rosemary</t>
  </si>
  <si>
    <t>Rosemary Blazer Coat</t>
  </si>
  <si>
    <t>Rosemary Coat</t>
  </si>
  <si>
    <t>Rosemary Tunic</t>
  </si>
  <si>
    <t>Rosie kimono</t>
  </si>
  <si>
    <t>Roslin Wool Coat</t>
  </si>
  <si>
    <t>Roundabout skirt</t>
  </si>
  <si>
    <t>ROXANA jkt</t>
  </si>
  <si>
    <t>Roxy</t>
  </si>
  <si>
    <t>ROY 3PK SLIM RN T-SHIRT</t>
  </si>
  <si>
    <t>ROY 5PK SLIM RN T-SHIRT</t>
  </si>
  <si>
    <t>Roy Shorts</t>
  </si>
  <si>
    <t>ROY SLIM RN T-SHIRT</t>
  </si>
  <si>
    <t>Royal wedding Dress</t>
  </si>
  <si>
    <t>Rozelina knitted jumper</t>
  </si>
  <si>
    <t>RR 27.1 Wrap 3/4 sleeve dress</t>
  </si>
  <si>
    <t>RR 32 2 BLOUSE high neck</t>
  </si>
  <si>
    <t>RR 41 3/4 Side stripe dress</t>
  </si>
  <si>
    <t>RR 43 2/3 Spaghetti dress</t>
  </si>
  <si>
    <t>RR 47.1/2 /3Leo shirt dress</t>
  </si>
  <si>
    <t>RR 47.4/5 Wrap dress</t>
  </si>
  <si>
    <t>RR02 1/2/3 Mockneck Dress</t>
  </si>
  <si>
    <t>RR02 6 Utility Dress</t>
  </si>
  <si>
    <t>Ruby shorts</t>
  </si>
  <si>
    <t>Ruccola</t>
  </si>
  <si>
    <t>Rudy</t>
  </si>
  <si>
    <t>Ruffe Coat</t>
  </si>
  <si>
    <t>Ruffle offshoulder Top</t>
  </si>
  <si>
    <t>Ruffle Padded Swimsuite</t>
  </si>
  <si>
    <t>Ruffle Tanga</t>
  </si>
  <si>
    <t>Runaway Bride</t>
  </si>
  <si>
    <t>Runaway lace dress</t>
  </si>
  <si>
    <t>Russel hood</t>
  </si>
  <si>
    <t>Russel wide trouser</t>
  </si>
  <si>
    <t>RYAN PINNAFORE</t>
  </si>
  <si>
    <t>RYAN REG VN T-SHIRT</t>
  </si>
  <si>
    <t>Ryder</t>
  </si>
  <si>
    <t>Rylee flatform</t>
  </si>
  <si>
    <t>s</t>
  </si>
  <si>
    <t>S Cevice Hi Leg Pad Swimsuit</t>
  </si>
  <si>
    <t>s Gemma Swimsuit</t>
  </si>
  <si>
    <t>S Gigi Brief</t>
  </si>
  <si>
    <t>S Gigi One sholder Top</t>
  </si>
  <si>
    <t>S Ivar Adj Reversible Triangle</t>
  </si>
  <si>
    <t>S Lidon Cheeky V-brief</t>
  </si>
  <si>
    <t>S Lidon Long Bandeau Top</t>
  </si>
  <si>
    <t>s Party Desert Brazilan</t>
  </si>
  <si>
    <t>S Party Desert Top</t>
  </si>
  <si>
    <t>s Party Swimsuit</t>
  </si>
  <si>
    <t>S Simple Life Triangle Top</t>
  </si>
  <si>
    <t>S Timeless High Wide Side Brie</t>
  </si>
  <si>
    <t>S.skinny L.W Elite</t>
  </si>
  <si>
    <t>S.Skinny L.W Epic</t>
  </si>
  <si>
    <t>Sabini dress</t>
  </si>
  <si>
    <t>Sabini dress (1)</t>
  </si>
  <si>
    <t>Sabrina</t>
  </si>
  <si>
    <t>Sabrina Sl-set (W)</t>
  </si>
  <si>
    <t>Sachs PQ</t>
  </si>
  <si>
    <t>Sacramento</t>
  </si>
  <si>
    <t>Sacramento dress w</t>
  </si>
  <si>
    <t>SADE strap top</t>
  </si>
  <si>
    <t>SADE top with inner bra</t>
  </si>
  <si>
    <t>Sade top with inner bra (1)</t>
  </si>
  <si>
    <t>Saffron cargo skinny LW</t>
  </si>
  <si>
    <t>Saffron Dress</t>
  </si>
  <si>
    <t>SAFFY SPEED BLOUSE</t>
  </si>
  <si>
    <t>Saga body</t>
  </si>
  <si>
    <t>Sagat Slim Blz</t>
  </si>
  <si>
    <t>Sage PQ boot</t>
  </si>
  <si>
    <t>Sagus Jogger</t>
  </si>
  <si>
    <t>Sahara LS</t>
  </si>
  <si>
    <t>Saida slim</t>
  </si>
  <si>
    <t>SAILOR LS TOP</t>
  </si>
  <si>
    <t>Saint Tropez</t>
  </si>
  <si>
    <t>Saks</t>
  </si>
  <si>
    <t>Salak boiler suit</t>
  </si>
  <si>
    <t>Salak jumpsuit</t>
  </si>
  <si>
    <t>Saliba boot</t>
  </si>
  <si>
    <t>Sally</t>
  </si>
  <si>
    <t>SALLY BLOUSE</t>
  </si>
  <si>
    <t>Sally linen</t>
  </si>
  <si>
    <t>Sally Skirt</t>
  </si>
  <si>
    <t>Sally Skirt(1)</t>
  </si>
  <si>
    <t>Sally Structure TVP</t>
  </si>
  <si>
    <t>Salmon denim</t>
  </si>
  <si>
    <t>Salmon Denim Jacket</t>
  </si>
  <si>
    <t>Salvador blouse</t>
  </si>
  <si>
    <t>Salvador dress</t>
  </si>
  <si>
    <t>Sam ls herringbone stripe</t>
  </si>
  <si>
    <t>Samantha</t>
  </si>
  <si>
    <t>Samantha 2p Brazilian (Acacia)</t>
  </si>
  <si>
    <t>Samantha chicago</t>
  </si>
  <si>
    <t>Samantha Hipster Ch. Poppy Low</t>
  </si>
  <si>
    <t>Samantha jumpsuit</t>
  </si>
  <si>
    <t>Samantha Malta Bandeau(1)</t>
  </si>
  <si>
    <t>Samantha Padded T-shirt Milano</t>
  </si>
  <si>
    <t>Samantha Push Melbourne</t>
  </si>
  <si>
    <t>Samantha Rio Wireless (1)</t>
  </si>
  <si>
    <t>Samantha slip skirt</t>
  </si>
  <si>
    <t>Samantha slip skirt PI</t>
  </si>
  <si>
    <t>Samantha Strapless Balconette</t>
  </si>
  <si>
    <t>Samantha Thong Mynta Low</t>
  </si>
  <si>
    <t>Samara</t>
  </si>
  <si>
    <t>Samara Clutch</t>
  </si>
  <si>
    <t>Samira boot</t>
  </si>
  <si>
    <t>Samuel Jersey trs flare RW</t>
  </si>
  <si>
    <t>Sand</t>
  </si>
  <si>
    <t>Sander HW tapered trousers</t>
  </si>
  <si>
    <t>Sander merino (PQ)</t>
  </si>
  <si>
    <t>Sandra NW straight trousers</t>
  </si>
  <si>
    <t>Sandrio knitted jumper</t>
  </si>
  <si>
    <t>Sandy</t>
  </si>
  <si>
    <t>Sandy HW wide full</t>
  </si>
  <si>
    <t>Sandy superpush Bra(1)</t>
  </si>
  <si>
    <t>Sandy wide trouser</t>
  </si>
  <si>
    <t>SanFran dress</t>
  </si>
  <si>
    <t>Santa Push Balconette Corset</t>
  </si>
  <si>
    <t>Santiago</t>
  </si>
  <si>
    <t>Santiago espadrille</t>
  </si>
  <si>
    <t>Santorini Cross Bag</t>
  </si>
  <si>
    <t>Santorini Padded Swimsuit</t>
  </si>
  <si>
    <t>Sara LL PJ (J)</t>
  </si>
  <si>
    <t>Sara s/s 2-pack</t>
  </si>
  <si>
    <t>Sara SL (J)</t>
  </si>
  <si>
    <t>Sara tee</t>
  </si>
  <si>
    <t>Sarabi dress</t>
  </si>
  <si>
    <t>Sardegna</t>
  </si>
  <si>
    <t>SARGASSO HW ankle tights</t>
  </si>
  <si>
    <t>Sascha pullover hoodie</t>
  </si>
  <si>
    <t>Sasha jumpsuit</t>
  </si>
  <si>
    <t>Sasha skirt</t>
  </si>
  <si>
    <t>Saskia</t>
  </si>
  <si>
    <t>Sassy dress j</t>
  </si>
  <si>
    <t>Satin kimono (W)</t>
  </si>
  <si>
    <t>Satire skirt</t>
  </si>
  <si>
    <t>Savanna top</t>
  </si>
  <si>
    <t>SAVANNAH cropped wrap tank</t>
  </si>
  <si>
    <t>SAVANNAH cropped wrap top</t>
  </si>
  <si>
    <t>Savannah shopper (1)</t>
  </si>
  <si>
    <t>Saya sunglasses</t>
  </si>
  <si>
    <t>SC AMAZON dress</t>
  </si>
  <si>
    <t>SC ANGEL top</t>
  </si>
  <si>
    <t>SC BELLATRIX leather shirt</t>
  </si>
  <si>
    <t>SC BELLATRIX shirt</t>
  </si>
  <si>
    <t>SC BRIGHT knit</t>
  </si>
  <si>
    <t>SC COELHO knit jumper</t>
  </si>
  <si>
    <t>SC COLUMBUS blouse</t>
  </si>
  <si>
    <t>SC DIVINE dress</t>
  </si>
  <si>
    <t>SC DIVINE jsy dress</t>
  </si>
  <si>
    <t>SC ELK poplin shirt</t>
  </si>
  <si>
    <t>SC ENJOY shirt</t>
  </si>
  <si>
    <t>SC HERMAN trouser</t>
  </si>
  <si>
    <t>SC JONES skirt aop</t>
  </si>
  <si>
    <t>SC LOVA dress</t>
  </si>
  <si>
    <t>SC LUIS trousers</t>
  </si>
  <si>
    <t>SC MAGICA blouse</t>
  </si>
  <si>
    <t>SC MARCO trouser aop</t>
  </si>
  <si>
    <t>SC POMPERIPOSSA knit</t>
  </si>
  <si>
    <t>SC RITUAL trouser</t>
  </si>
  <si>
    <t>SC SOULMATE trouser</t>
  </si>
  <si>
    <t>SC TAROT leather jacket</t>
  </si>
  <si>
    <t>SC TEMPLE blouse</t>
  </si>
  <si>
    <t>SC UTAH blouse</t>
  </si>
  <si>
    <t>SC VOODOO blouse</t>
  </si>
  <si>
    <t>SC ZONE blouse</t>
  </si>
  <si>
    <t>Scala</t>
  </si>
  <si>
    <t>Scallop 5p Socks</t>
  </si>
  <si>
    <t>Scallop ballerina</t>
  </si>
  <si>
    <t>Scar Coat</t>
  </si>
  <si>
    <t>Scar playsuit</t>
  </si>
  <si>
    <t>Scarf Scrunchie</t>
  </si>
  <si>
    <t>SCARLET BLOUSE</t>
  </si>
  <si>
    <t>Scarlet cable cardigan</t>
  </si>
  <si>
    <t>Scarlett</t>
  </si>
  <si>
    <t>Scarlett Thong 3p</t>
  </si>
  <si>
    <t>Scone skirt</t>
  </si>
  <si>
    <t>Scorpio</t>
  </si>
  <si>
    <t>Scotty crewneck dress</t>
  </si>
  <si>
    <t>Scrambled eggs</t>
  </si>
  <si>
    <t>Seagull dressed</t>
  </si>
  <si>
    <t>Seahorse</t>
  </si>
  <si>
    <t>Sean wool biker</t>
  </si>
  <si>
    <t>SEBASTIAN TURTLE NECK</t>
  </si>
  <si>
    <t>Sebi</t>
  </si>
  <si>
    <t>SEC SPEED EVIE BLOUSE S.9</t>
  </si>
  <si>
    <t>SEC SPEED LUCKY SHIRT</t>
  </si>
  <si>
    <t>SEC SPEED MANDY TANK</t>
  </si>
  <si>
    <t>Seinfeld Long Padded</t>
  </si>
  <si>
    <t>Seinfeld Padded</t>
  </si>
  <si>
    <t>Selena kick flare</t>
  </si>
  <si>
    <t>Selena shopper (1)</t>
  </si>
  <si>
    <t>Selena sock sneaker</t>
  </si>
  <si>
    <t>Selma plisse dip dye</t>
  </si>
  <si>
    <t>Selma Plissé Skirt</t>
  </si>
  <si>
    <t>Selma Plisse solid</t>
  </si>
  <si>
    <t>Selma sporty dress j</t>
  </si>
  <si>
    <t>Semide tie dress</t>
  </si>
  <si>
    <t>Sensai skirt</t>
  </si>
  <si>
    <t>Sensei skirt</t>
  </si>
  <si>
    <t>September Micro Push w. Straps</t>
  </si>
  <si>
    <t>September Push Back Detail</t>
  </si>
  <si>
    <t>September SP Body</t>
  </si>
  <si>
    <t>September SP wide elastic</t>
  </si>
  <si>
    <t>Sergio sandal</t>
  </si>
  <si>
    <t>Serpente HW slim trouser</t>
  </si>
  <si>
    <t>Service Shirt</t>
  </si>
  <si>
    <t>Sesam sneaker (1)</t>
  </si>
  <si>
    <t>Sesam zip</t>
  </si>
  <si>
    <t>Sesame skirt</t>
  </si>
  <si>
    <t>Sevran dress</t>
  </si>
  <si>
    <t>Shake</t>
  </si>
  <si>
    <t>Shake it in Balconette</t>
  </si>
  <si>
    <t>Shake it in Balconette.</t>
  </si>
  <si>
    <t>Shake it in shape swimsuit</t>
  </si>
  <si>
    <t>Shake it in Tie Brief</t>
  </si>
  <si>
    <t>Shake it in twist brief</t>
  </si>
  <si>
    <t>Shallow coat</t>
  </si>
  <si>
    <t>SHANIQUA boxy ls</t>
  </si>
  <si>
    <t>Shape Up 30 den 1p Tights</t>
  </si>
  <si>
    <t>Shaping Bootcut</t>
  </si>
  <si>
    <t>Shaping Skinny H.W Ankle Patch</t>
  </si>
  <si>
    <t>Shaping Skinny R.W</t>
  </si>
  <si>
    <t>Shaping Skinny R.W.</t>
  </si>
  <si>
    <t>Shaping Ultra HW ankle</t>
  </si>
  <si>
    <t>Shark Boxy Sweater</t>
  </si>
  <si>
    <t>Shaun</t>
  </si>
  <si>
    <t>Shaun (1)</t>
  </si>
  <si>
    <t>SHEENA tights (1)</t>
  </si>
  <si>
    <t>Shell Belted Cardigan</t>
  </si>
  <si>
    <t>Shelley</t>
  </si>
  <si>
    <t>Shelley coat</t>
  </si>
  <si>
    <t>Shelly polo dress</t>
  </si>
  <si>
    <t>Shelly Poloneck</t>
  </si>
  <si>
    <t>Shenzi LP</t>
  </si>
  <si>
    <t>SHIELDS tights</t>
  </si>
  <si>
    <t>Shiloh lace</t>
  </si>
  <si>
    <t>Shimmer slip dress</t>
  </si>
  <si>
    <t>Shiny becca</t>
  </si>
  <si>
    <t>SHIRA bathingsuit</t>
  </si>
  <si>
    <t>Shirt Lisa</t>
  </si>
  <si>
    <t>Shirt Safari</t>
  </si>
  <si>
    <t>Shirtdress</t>
  </si>
  <si>
    <t>Shirtdress (Kylie)</t>
  </si>
  <si>
    <t>Shirtdress Lou</t>
  </si>
  <si>
    <t>Shitzu blazer</t>
  </si>
  <si>
    <t>Shona skirt</t>
  </si>
  <si>
    <t>Shorts classic</t>
  </si>
  <si>
    <t>Shorts H.W Stretch</t>
  </si>
  <si>
    <t>Shorts H.W Wide</t>
  </si>
  <si>
    <t>Shorts HW Pixie</t>
  </si>
  <si>
    <t>Shorts Knit 89</t>
  </si>
  <si>
    <t>Shorts R.W Bargain</t>
  </si>
  <si>
    <t>Shorts R.W Kelly Lee</t>
  </si>
  <si>
    <t>Shorts Skinny Barato (1)</t>
  </si>
  <si>
    <t>Shorts Skinny Tech Stretch</t>
  </si>
  <si>
    <t>Shorts Slim Cash 1</t>
  </si>
  <si>
    <t>Shorts Slim Cash Zip Fly</t>
  </si>
  <si>
    <t>Shorts Slim Midas (1)</t>
  </si>
  <si>
    <t>Shorts Slim Midas Zip Fly</t>
  </si>
  <si>
    <t>Shorts SS 89</t>
  </si>
  <si>
    <t>Shorts SS Trash 89</t>
  </si>
  <si>
    <t>Shorts Straight Midsummer (1)</t>
  </si>
  <si>
    <t>Shorts Straight Tani</t>
  </si>
  <si>
    <t>Siames slacks</t>
  </si>
  <si>
    <t>Siames solid slacks</t>
  </si>
  <si>
    <t>Sibling HW</t>
  </si>
  <si>
    <t>Sid dress</t>
  </si>
  <si>
    <t>Sid Pile</t>
  </si>
  <si>
    <t>Sienna biker</t>
  </si>
  <si>
    <t>Sienna hoodie</t>
  </si>
  <si>
    <t>Sigge Dressed Belt</t>
  </si>
  <si>
    <t>Sigge Fur Coat</t>
  </si>
  <si>
    <t>Sigge Shorts</t>
  </si>
  <si>
    <t>Sigge Sneaker Sock 5-p</t>
  </si>
  <si>
    <t>Sigge sneaker sock 5p.</t>
  </si>
  <si>
    <t>SIGNE BOAT NECK</t>
  </si>
  <si>
    <t>Silence jumpsuit</t>
  </si>
  <si>
    <t>Silvana Top</t>
  </si>
  <si>
    <t>Silver</t>
  </si>
  <si>
    <t>Silver lake</t>
  </si>
  <si>
    <t>Silverstone blouse</t>
  </si>
  <si>
    <t>Simba</t>
  </si>
  <si>
    <t>Simba playsuit</t>
  </si>
  <si>
    <t>Simba rib</t>
  </si>
  <si>
    <t>Simba skirt</t>
  </si>
  <si>
    <t>Simba Tencel</t>
  </si>
  <si>
    <t>Simon</t>
  </si>
  <si>
    <t>Simona</t>
  </si>
  <si>
    <t>Simone</t>
  </si>
  <si>
    <t>Simone skirt</t>
  </si>
  <si>
    <t>Simone softbra</t>
  </si>
  <si>
    <t>Simple as that Cheeky Tanga</t>
  </si>
  <si>
    <t>Simple as that Padded Swimsuit</t>
  </si>
  <si>
    <t>Simpson</t>
  </si>
  <si>
    <t>Simpson(1)</t>
  </si>
  <si>
    <t>Sinatra</t>
  </si>
  <si>
    <t>SINGAPORE</t>
  </si>
  <si>
    <t>Singo.</t>
  </si>
  <si>
    <t>Siri cardigan</t>
  </si>
  <si>
    <t>Siri Cardigan</t>
  </si>
  <si>
    <t>Siri jacket new</t>
  </si>
  <si>
    <t>SIRPA</t>
  </si>
  <si>
    <t>Sirpa Basic TVP</t>
  </si>
  <si>
    <t>Sissi singoalla blouse</t>
  </si>
  <si>
    <t>SISTER OL</t>
  </si>
  <si>
    <t>Siv</t>
  </si>
  <si>
    <t>Skat Blouse</t>
  </si>
  <si>
    <t>SKINFAXE SLIM MANDARIN SHIRT</t>
  </si>
  <si>
    <t>Skinny  RW Ankle Milo Zip</t>
  </si>
  <si>
    <t>Skinny 5pkt</t>
  </si>
  <si>
    <t>SKINNY 5-Pkt basic 89</t>
  </si>
  <si>
    <t>Skinny 5pkt Lowprice</t>
  </si>
  <si>
    <t>Skinny 5pkt Midprice</t>
  </si>
  <si>
    <t>Skinny 5pkt Premiumprice</t>
  </si>
  <si>
    <t>Skinny Ankel Denim</t>
  </si>
  <si>
    <t>Skinny ankle denim</t>
  </si>
  <si>
    <t>Skinny Ankle H.W</t>
  </si>
  <si>
    <t>Skinny Ankle R.W Brooklyn</t>
  </si>
  <si>
    <t>Skinny Ankle R.W Chic Trash</t>
  </si>
  <si>
    <t>SKINNY BASIC 79</t>
  </si>
  <si>
    <t>SKINNY BASIC 89</t>
  </si>
  <si>
    <t>Skinny Cheapo 79</t>
  </si>
  <si>
    <t>Skinny Cheapo 89</t>
  </si>
  <si>
    <t>Skinny denim (1)</t>
  </si>
  <si>
    <t>Skinny H.W</t>
  </si>
  <si>
    <t>Skinny H.W Air</t>
  </si>
  <si>
    <t>Skinny H.W Ankle</t>
  </si>
  <si>
    <t>Skinny H.W Ankle Comet Btn</t>
  </si>
  <si>
    <t>Skinny H.W Ankle Festive</t>
  </si>
  <si>
    <t>Skinny H.W Ankle Queens</t>
  </si>
  <si>
    <t>Skinny H.W Ankle Smith</t>
  </si>
  <si>
    <t>Skinny HW Ankle Comet Zip</t>
  </si>
  <si>
    <t>Skinny HW ankle Utility</t>
  </si>
  <si>
    <t>SKINNY HW PETRA</t>
  </si>
  <si>
    <t>Skinny HW shaping</t>
  </si>
  <si>
    <t>SKINNY Knit 89</t>
  </si>
  <si>
    <t>Skinny L.W Bargain (1)</t>
  </si>
  <si>
    <t>Skinny L.W Elite</t>
  </si>
  <si>
    <t>Skinny L.W Grand</t>
  </si>
  <si>
    <t>Skinny Malcolm Zip Fly</t>
  </si>
  <si>
    <t>SKINNY PRICE</t>
  </si>
  <si>
    <t>Skinny R.W Ankle Suzy</t>
  </si>
  <si>
    <t>Skinny R.W Chic</t>
  </si>
  <si>
    <t>Skinny RW denim</t>
  </si>
  <si>
    <t>Skinny Shaping</t>
  </si>
  <si>
    <t>Skinny Shaping R.W</t>
  </si>
  <si>
    <t>SKINNY SS 79</t>
  </si>
  <si>
    <t>SKINNY SS 89</t>
  </si>
  <si>
    <t>SKINNY SS Trash 89</t>
  </si>
  <si>
    <t>Skinny Tencel(1)</t>
  </si>
  <si>
    <t>SKINNY TRASH 89</t>
  </si>
  <si>
    <t>Skirt A-line Bella</t>
  </si>
  <si>
    <t>Skirt Lipstick (1)</t>
  </si>
  <si>
    <t>Skirt Midi Belted</t>
  </si>
  <si>
    <t>Skirt Midi Reworked</t>
  </si>
  <si>
    <t>Skirt Mini</t>
  </si>
  <si>
    <t>Skirt Mini Bea</t>
  </si>
  <si>
    <t>Skirt Mini Bea (1)</t>
  </si>
  <si>
    <t>Skirt Mini Stretch Edie</t>
  </si>
  <si>
    <t>Skirt Mini(1)</t>
  </si>
  <si>
    <t>Skirt Pencil S</t>
  </si>
  <si>
    <t>Skirt Pencil Stretch</t>
  </si>
  <si>
    <t>Skirt Pencil Stretch Slit</t>
  </si>
  <si>
    <t>Skirt Pencil Stretch.</t>
  </si>
  <si>
    <t>Skirt Shine</t>
  </si>
  <si>
    <t>Skirt Torn</t>
  </si>
  <si>
    <t>Skirt Utility</t>
  </si>
  <si>
    <t>Skirt Utility Campaign</t>
  </si>
  <si>
    <t>Skirt with Belt</t>
  </si>
  <si>
    <t>SKY BLOUSE</t>
  </si>
  <si>
    <t>Sky HW jogger</t>
  </si>
  <si>
    <t>Sky wide trousers</t>
  </si>
  <si>
    <t>Skylar Chunky Sweater</t>
  </si>
  <si>
    <t>Slim 5pkt</t>
  </si>
  <si>
    <t>Slim 5pkt 1</t>
  </si>
  <si>
    <t>Slim 5pkt Lowprice</t>
  </si>
  <si>
    <t>Slim 5pkt Midprice</t>
  </si>
  <si>
    <t>Slim 5pkt Zip Fly</t>
  </si>
  <si>
    <t>Slim cargo RW</t>
  </si>
  <si>
    <t>Slim cargo TVP RW</t>
  </si>
  <si>
    <t>Slim Midprice Button Fly</t>
  </si>
  <si>
    <t>Slim Midprice Zip Fly</t>
  </si>
  <si>
    <t>Slim R.W Ankle 29.99</t>
  </si>
  <si>
    <t>Slim Straight 5pkt (1)</t>
  </si>
  <si>
    <t>Slim Straight 5pkt Midprice</t>
  </si>
  <si>
    <t>Slim Straight 5pkt Midway</t>
  </si>
  <si>
    <t>Slim Straight 5pkt Midway 1</t>
  </si>
  <si>
    <t>Slim Straight Supreme Comfort</t>
  </si>
  <si>
    <t>Slipper BENNY</t>
  </si>
  <si>
    <t>Sloth tee</t>
  </si>
  <si>
    <t>Slurp long tregging</t>
  </si>
  <si>
    <t>slytherin single breasted</t>
  </si>
  <si>
    <t>Small dot 1p Tights</t>
  </si>
  <si>
    <t>Smedby blouse</t>
  </si>
  <si>
    <t>Smedby v-neck blouse</t>
  </si>
  <si>
    <t>Smicker dress</t>
  </si>
  <si>
    <t>Smith HW wide full</t>
  </si>
  <si>
    <t>Smuk Top</t>
  </si>
  <si>
    <t>Snail small jumper FOX</t>
  </si>
  <si>
    <t>Snake</t>
  </si>
  <si>
    <t>Snap 5 pocket</t>
  </si>
  <si>
    <t>Sneaky</t>
  </si>
  <si>
    <t>Snickers dress</t>
  </si>
  <si>
    <t>Snickers j</t>
  </si>
  <si>
    <t>Snipe LS</t>
  </si>
  <si>
    <t>snow</t>
  </si>
  <si>
    <t>Snow Chino R.W</t>
  </si>
  <si>
    <t>Snow chino TVP RW</t>
  </si>
  <si>
    <t>Snow chino TVP RW TVP</t>
  </si>
  <si>
    <t>So Woke Push Triangle</t>
  </si>
  <si>
    <t>SOHO SHIRT</t>
  </si>
  <si>
    <t>Solange</t>
  </si>
  <si>
    <t>Solange 5 pkt</t>
  </si>
  <si>
    <t>Solange 5pkt TVP HW</t>
  </si>
  <si>
    <t>Solange 5pkt TVP HW TVP</t>
  </si>
  <si>
    <t>Solange 5pkt TVP RW</t>
  </si>
  <si>
    <t>Solange 5pkt TVP RW TVP</t>
  </si>
  <si>
    <t>Solange Skinny R.W</t>
  </si>
  <si>
    <t>Solitude cardigan</t>
  </si>
  <si>
    <t>Soller fancy</t>
  </si>
  <si>
    <t>Soller RW wide cropped</t>
  </si>
  <si>
    <t>Solo dress</t>
  </si>
  <si>
    <t>Something Blue Wedding Dress</t>
  </si>
  <si>
    <t>Somme shirt dress</t>
  </si>
  <si>
    <t>Son Cable</t>
  </si>
  <si>
    <t>Son V-neck</t>
  </si>
  <si>
    <t>Sonic Embroidered Tank</t>
  </si>
  <si>
    <t>Sonja sweater dress</t>
  </si>
  <si>
    <t>Sonnur HW wide</t>
  </si>
  <si>
    <t>SOPHIA cropped running tigh</t>
  </si>
  <si>
    <t>Sophie LL PJ (W)</t>
  </si>
  <si>
    <t>Sophie n-shirt (W)</t>
  </si>
  <si>
    <t>Sorrel</t>
  </si>
  <si>
    <t>Sorreli</t>
  </si>
  <si>
    <t>Sorrelli</t>
  </si>
  <si>
    <t>Sorrento</t>
  </si>
  <si>
    <t>SORRENTO RW trs</t>
  </si>
  <si>
    <t>SORRENTO trousers</t>
  </si>
  <si>
    <t>SORRENTO trs</t>
  </si>
  <si>
    <t>Sorrento(1)</t>
  </si>
  <si>
    <t>Space 5 pkt RW tregging</t>
  </si>
  <si>
    <t>Space 5 pkt tregging</t>
  </si>
  <si>
    <t>Space Dungaree</t>
  </si>
  <si>
    <t>Space jegging</t>
  </si>
  <si>
    <t>Spanx alot shape Swimsuit</t>
  </si>
  <si>
    <t>Spanx alot Swimsuit</t>
  </si>
  <si>
    <t>Spark sweater</t>
  </si>
  <si>
    <t>Sparkle</t>
  </si>
  <si>
    <t>SPARKLES+</t>
  </si>
  <si>
    <t>SPARKLING TANK</t>
  </si>
  <si>
    <t>Sparling skinny blz</t>
  </si>
  <si>
    <t>SPARROW LS RIB TOP</t>
  </si>
  <si>
    <t>Spartan slim trs</t>
  </si>
  <si>
    <t>SPEARMINT</t>
  </si>
  <si>
    <t>SPEED 2 AVA BLOUSE</t>
  </si>
  <si>
    <t>SPEED Ace</t>
  </si>
  <si>
    <t>SPEED Afternoon dress GDC</t>
  </si>
  <si>
    <t>SPEED ANGEL BLOUSE</t>
  </si>
  <si>
    <t>SPEED Apple</t>
  </si>
  <si>
    <t>SPEED Beach skirt</t>
  </si>
  <si>
    <t>SPEED Brioche</t>
  </si>
  <si>
    <t>SPEED CORGIE BLOUSE</t>
  </si>
  <si>
    <t>SPEED Cracker dress</t>
  </si>
  <si>
    <t>SPEED Darcy top CN</t>
  </si>
  <si>
    <t>SPEED Elvis Top</t>
  </si>
  <si>
    <t>SPEED Frosty dress</t>
  </si>
  <si>
    <t>SPEED Garden top</t>
  </si>
  <si>
    <t>SPEED GIGI BLOUSE</t>
  </si>
  <si>
    <t>SPEED GRETA SKIRT</t>
  </si>
  <si>
    <t>Speed Katie Dress</t>
  </si>
  <si>
    <t>SPEED LADY SKIRT</t>
  </si>
  <si>
    <t>SPEED LEMON UTILITY SHIRT</t>
  </si>
  <si>
    <t>SPEED Lion knitted skirt</t>
  </si>
  <si>
    <t>SPEED Lucy Cable Sweater</t>
  </si>
  <si>
    <t>SPEED MAPLE SS SHIRT</t>
  </si>
  <si>
    <t>SPEED Meghan dress</t>
  </si>
  <si>
    <t>SPEED Michelle plisse</t>
  </si>
  <si>
    <t>SPEED Omaha</t>
  </si>
  <si>
    <t>SPEED PENNY BLOUSE</t>
  </si>
  <si>
    <t>SPEED Phoebe top</t>
  </si>
  <si>
    <t>SPEED Post dress</t>
  </si>
  <si>
    <t>SPEED Rotterdam</t>
  </si>
  <si>
    <t>SPEED Sea knitted top</t>
  </si>
  <si>
    <t>SPEED Snoop Roll neck</t>
  </si>
  <si>
    <t>SPEED Snowdrop Top GCD</t>
  </si>
  <si>
    <t>SPEED Spring Skirt GDC</t>
  </si>
  <si>
    <t>SPEED Timmy dress</t>
  </si>
  <si>
    <t>SPEED Vienna blazer</t>
  </si>
  <si>
    <t>SPEED VIOLET BLOUSE</t>
  </si>
  <si>
    <t>SPEEDY CONSCIOUS TEE</t>
  </si>
  <si>
    <t>SPEEDY TEE</t>
  </si>
  <si>
    <t>Spencer padded 2pk</t>
  </si>
  <si>
    <t>Spice Girl 3pk hipster</t>
  </si>
  <si>
    <t>Spice it Up Skimpy Tanga</t>
  </si>
  <si>
    <t>Spice it Up Triangle</t>
  </si>
  <si>
    <t>Spider HW wide cropped</t>
  </si>
  <si>
    <t>Spirit</t>
  </si>
  <si>
    <t>Spirulina</t>
  </si>
  <si>
    <t>Sport HAVANA tights</t>
  </si>
  <si>
    <t>SPORT Supreme RW tights</t>
  </si>
  <si>
    <t>Sportsneaker 3p socks</t>
  </si>
  <si>
    <t>Spring trousers</t>
  </si>
  <si>
    <t>Squad goals</t>
  </si>
  <si>
    <t>Squash bodycon</t>
  </si>
  <si>
    <t>Squeek Trench</t>
  </si>
  <si>
    <t>St Bernard blazer</t>
  </si>
  <si>
    <t>St Bernard jacquard blazer</t>
  </si>
  <si>
    <t>Stacey funnelneck dress</t>
  </si>
  <si>
    <t>Stairway blouse</t>
  </si>
  <si>
    <t>Stannis paperbag culotte HW</t>
  </si>
  <si>
    <t>STAR western belt</t>
  </si>
  <si>
    <t>Stardust</t>
  </si>
  <si>
    <t>Stardust linen</t>
  </si>
  <si>
    <t>Stark Fur Coat</t>
  </si>
  <si>
    <t>Stark skirt GTL</t>
  </si>
  <si>
    <t>Stark wool coat</t>
  </si>
  <si>
    <t>Starlight</t>
  </si>
  <si>
    <t>STARLING JUMPSUIT</t>
  </si>
  <si>
    <t>Steel</t>
  </si>
  <si>
    <t>Stefani PU Jumpsuit</t>
  </si>
  <si>
    <t>Stefania straples superpush</t>
  </si>
  <si>
    <t>Stefania superpush body</t>
  </si>
  <si>
    <t>Stella Padded Soft Bra</t>
  </si>
  <si>
    <t>STELLA PRINTED</t>
  </si>
  <si>
    <t>Stella Pull on TRS</t>
  </si>
  <si>
    <t>Stella RW skinny cropped</t>
  </si>
  <si>
    <t>Stella RW skinny cropped CN</t>
  </si>
  <si>
    <t>Stella SP Andes</t>
  </si>
  <si>
    <t>Stella treggings (1)</t>
  </si>
  <si>
    <t>Stella treggings (W)</t>
  </si>
  <si>
    <t>Stella Wireless top</t>
  </si>
  <si>
    <t>Stephanie Dress</t>
  </si>
  <si>
    <t>Stephanie LS</t>
  </si>
  <si>
    <t>Sterling</t>
  </si>
  <si>
    <t>Steven pull on</t>
  </si>
  <si>
    <t>Stevie HW wide trousers</t>
  </si>
  <si>
    <t>Stevie NW wide trousers</t>
  </si>
  <si>
    <t>Stevie strapless superpush</t>
  </si>
  <si>
    <t>Stina</t>
  </si>
  <si>
    <t>STINA 5-p fancy boxer</t>
  </si>
  <si>
    <t>Stina scarf new</t>
  </si>
  <si>
    <t>STOCKHOLM parka</t>
  </si>
  <si>
    <t>Stone jumper</t>
  </si>
  <si>
    <t>Stork dress</t>
  </si>
  <si>
    <t>STORK FANCY</t>
  </si>
  <si>
    <t>Storm</t>
  </si>
  <si>
    <t>Stormi pull-on RW</t>
  </si>
  <si>
    <t>Story</t>
  </si>
  <si>
    <t>Straight 1</t>
  </si>
  <si>
    <t>Straight 5pkt Lowprice</t>
  </si>
  <si>
    <t>Straight Edge 5p Socks</t>
  </si>
  <si>
    <t>Straight H.W</t>
  </si>
  <si>
    <t>Straight H.W Ankle Mies</t>
  </si>
  <si>
    <t>Straight Mezzo 1</t>
  </si>
  <si>
    <t>Straight R.W</t>
  </si>
  <si>
    <t>Strap top</t>
  </si>
  <si>
    <t>Strap Top 2 pack</t>
  </si>
  <si>
    <t>Strap Top.</t>
  </si>
  <si>
    <t>Strappy wedge</t>
  </si>
  <si>
    <t>Straptop 2-pack</t>
  </si>
  <si>
    <t>Strawberry Biker</t>
  </si>
  <si>
    <t>Strawberry HW pullon</t>
  </si>
  <si>
    <t>Strawberry Push Melbourne</t>
  </si>
  <si>
    <t>Street Dress</t>
  </si>
  <si>
    <t>Strindberg coat</t>
  </si>
  <si>
    <t>Stuart Jacket</t>
  </si>
  <si>
    <t>Stud Tee (1)</t>
  </si>
  <si>
    <t>Stud tee dress</t>
  </si>
  <si>
    <t>Studio dress</t>
  </si>
  <si>
    <t>Stureby</t>
  </si>
  <si>
    <t>STYLO SLIM SHIRT</t>
  </si>
  <si>
    <t>Sucre</t>
  </si>
  <si>
    <t>Suella Blazer</t>
  </si>
  <si>
    <t>SULIMA  jkt</t>
  </si>
  <si>
    <t>SULIMA jacket</t>
  </si>
  <si>
    <t>SULIMA jkt</t>
  </si>
  <si>
    <t>Summer Pam</t>
  </si>
  <si>
    <t>Summer pants (Saigon)</t>
  </si>
  <si>
    <t>Summer strap dress</t>
  </si>
  <si>
    <t>Sumo L/S</t>
  </si>
  <si>
    <t>Sunday SL-set (W)</t>
  </si>
  <si>
    <t>Sunderland dress</t>
  </si>
  <si>
    <t>Sunny</t>
  </si>
  <si>
    <t>SUNNY BLOUSE</t>
  </si>
  <si>
    <t>Sunny denim skirt GTL</t>
  </si>
  <si>
    <t>Sunny dress</t>
  </si>
  <si>
    <t>Sunrise jumpsuit</t>
  </si>
  <si>
    <t>Sunrize jumpsuit</t>
  </si>
  <si>
    <t>Sunset</t>
  </si>
  <si>
    <t>Sunset lurex</t>
  </si>
  <si>
    <t>Sunset Wide trouser</t>
  </si>
  <si>
    <t>Sunshine L/S</t>
  </si>
  <si>
    <t>Sunshine s/s</t>
  </si>
  <si>
    <t>Super skinny denim</t>
  </si>
  <si>
    <t>Super Skinny H.W Star</t>
  </si>
  <si>
    <t>Super Skinny HW ankle Star</t>
  </si>
  <si>
    <t>Super Skinny HW Ankle Vanessa</t>
  </si>
  <si>
    <t>Super Skinny L.W Elite</t>
  </si>
  <si>
    <t>Super Skinny L.W Epic</t>
  </si>
  <si>
    <t>Super Skinny Lowprice</t>
  </si>
  <si>
    <t>Super soft</t>
  </si>
  <si>
    <t>Supernova</t>
  </si>
  <si>
    <t>Superskinny</t>
  </si>
  <si>
    <t>Supersoft Skinny H.W</t>
  </si>
  <si>
    <t>Support 20 den 1p tights</t>
  </si>
  <si>
    <t>Support 40 den 1p Tights</t>
  </si>
  <si>
    <t>Support 70 den 1p Tights</t>
  </si>
  <si>
    <t>SUPREME conscious</t>
  </si>
  <si>
    <t>SUPREME RW tights</t>
  </si>
  <si>
    <t>SUPREME RW TIGHTS+</t>
  </si>
  <si>
    <t>SUPREME TIGHTS</t>
  </si>
  <si>
    <t>SUPREME tights OL</t>
  </si>
  <si>
    <t>Suraiya dress</t>
  </si>
  <si>
    <t>SUSS RW trs conscious</t>
  </si>
  <si>
    <t>SUSS trousers conscious</t>
  </si>
  <si>
    <t>Suzuki shopper</t>
  </si>
  <si>
    <t>SUZY HALF ZIP LOW LOW</t>
  </si>
  <si>
    <t>SUZY TWISTED STRAP TOP</t>
  </si>
  <si>
    <t>svart</t>
  </si>
  <si>
    <t>Svea Cropped Tank</t>
  </si>
  <si>
    <t>Swan V Neck</t>
  </si>
  <si>
    <t>Sweco dress</t>
  </si>
  <si>
    <t>Sweep chimney coat</t>
  </si>
  <si>
    <t>Sweet &amp; Bitter High Rise Brief</t>
  </si>
  <si>
    <t>Sweet &amp; Bitter Mid Tie Brief</t>
  </si>
  <si>
    <t>Sweet and Bitter Top</t>
  </si>
  <si>
    <t>Sweet smock</t>
  </si>
  <si>
    <t>Sweetheart boot</t>
  </si>
  <si>
    <t>Swift</t>
  </si>
  <si>
    <t>Swift Dress(1)</t>
  </si>
  <si>
    <t>Swift Padded Swimsuit</t>
  </si>
  <si>
    <t>Swing lace dress</t>
  </si>
  <si>
    <t>Swirly jersey trs STRAIGHT HW</t>
  </si>
  <si>
    <t>Swish Super Push</t>
  </si>
  <si>
    <t>Sydney maxi dress</t>
  </si>
  <si>
    <t>Sylvia Cross Bag</t>
  </si>
  <si>
    <t>Syrup ISW 19</t>
  </si>
  <si>
    <t>Syster Yster coat</t>
  </si>
  <si>
    <t>Tabatha highshaft</t>
  </si>
  <si>
    <t>Taco</t>
  </si>
  <si>
    <t>Tacoma boot</t>
  </si>
  <si>
    <t>tag top</t>
  </si>
  <si>
    <t>Tahiti shirt dress</t>
  </si>
  <si>
    <t>Taho top</t>
  </si>
  <si>
    <t>Takasa body</t>
  </si>
  <si>
    <t>Tale midi dress</t>
  </si>
  <si>
    <t>Talia (1)</t>
  </si>
  <si>
    <t>Tamarind dress</t>
  </si>
  <si>
    <t>Tambov</t>
  </si>
  <si>
    <t>Tammy</t>
  </si>
  <si>
    <t>Tammy jumpsuit</t>
  </si>
  <si>
    <t>Tan dress</t>
  </si>
  <si>
    <t>Tang PQ highshaft</t>
  </si>
  <si>
    <t>TANGA LS</t>
  </si>
  <si>
    <t>TANJA SKIRT</t>
  </si>
  <si>
    <t>Tanja TRS</t>
  </si>
  <si>
    <t>Tao bodycon dresses</t>
  </si>
  <si>
    <t>Tapas</t>
  </si>
  <si>
    <t>Tara Dress</t>
  </si>
  <si>
    <t>Tara slip dress</t>
  </si>
  <si>
    <t>Tara turtleneck top</t>
  </si>
  <si>
    <t>Tarly wrap playsuit</t>
  </si>
  <si>
    <t>Tarragona WL</t>
  </si>
  <si>
    <t>Tass wide trouser</t>
  </si>
  <si>
    <t>Tauros knitted top</t>
  </si>
  <si>
    <t>Taurus</t>
  </si>
  <si>
    <t>Tawny sweater dress</t>
  </si>
  <si>
    <t>Tax trench</t>
  </si>
  <si>
    <t>Taya Hood</t>
  </si>
  <si>
    <t>Taylor blouse</t>
  </si>
  <si>
    <t>Taylor shopper</t>
  </si>
  <si>
    <t>Taylor Straw Bag</t>
  </si>
  <si>
    <t>TAZ LONG RN T-SHIRT</t>
  </si>
  <si>
    <t>Taz Tee</t>
  </si>
  <si>
    <t>TD Hugo slim fit Stretch PQ</t>
  </si>
  <si>
    <t>TD Hugo Stretch PQ</t>
  </si>
  <si>
    <t>TD Roger eller TD Poplin 29 by</t>
  </si>
  <si>
    <t>Tea (1)</t>
  </si>
  <si>
    <t>TEA HOOD S.9</t>
  </si>
  <si>
    <t>TEA sport socks (1)</t>
  </si>
  <si>
    <t>TEAL T-SHIRT PRICE DRESS</t>
  </si>
  <si>
    <t>Tech Stretch Skinny</t>
  </si>
  <si>
    <t>Tech Stretch Slim</t>
  </si>
  <si>
    <t>Techno</t>
  </si>
  <si>
    <t>Teddy (1)</t>
  </si>
  <si>
    <t>Teddy Coat</t>
  </si>
  <si>
    <t>Teddy dress</t>
  </si>
  <si>
    <t>Teddy fur jacket</t>
  </si>
  <si>
    <t>Teddy jogger.</t>
  </si>
  <si>
    <t>Teddy turtleneck</t>
  </si>
  <si>
    <t>Teis Dress</t>
  </si>
  <si>
    <t>Tequila</t>
  </si>
  <si>
    <t>TEQUILA CONSCIOUS ls</t>
  </si>
  <si>
    <t>Tequila denim/fancy shorts</t>
  </si>
  <si>
    <t>Tequila shorts (1)</t>
  </si>
  <si>
    <t>Tequila shorts denim/fancy</t>
  </si>
  <si>
    <t>TERRIER TEE TVP</t>
  </si>
  <si>
    <t>Terrier- TVP- TM</t>
  </si>
  <si>
    <t>Tersk</t>
  </si>
  <si>
    <t>Tess</t>
  </si>
  <si>
    <t>Tess CN Unique</t>
  </si>
  <si>
    <t>Tess Sl-set DTP (W)</t>
  </si>
  <si>
    <t>Tess Tee</t>
  </si>
  <si>
    <t>Tess Tee.</t>
  </si>
  <si>
    <t>Tessa plissè (1)</t>
  </si>
  <si>
    <t>Thai dress w SPEED</t>
  </si>
  <si>
    <t>The Bill Padded Swimsuit</t>
  </si>
  <si>
    <t>The Firm (1)</t>
  </si>
  <si>
    <t>The Low Line Highwaist</t>
  </si>
  <si>
    <t>The Rebounder Padded Triangle</t>
  </si>
  <si>
    <t>The Rebounder tie tanga</t>
  </si>
  <si>
    <t>The worlds Greatest Dres</t>
  </si>
  <si>
    <t>Thelma</t>
  </si>
  <si>
    <t>Thelma dress</t>
  </si>
  <si>
    <t>THELMA SKIRT S.0</t>
  </si>
  <si>
    <t>Thelma tie top</t>
  </si>
  <si>
    <t>Theo space dye trousers</t>
  </si>
  <si>
    <t>Theodora PQ loafer</t>
  </si>
  <si>
    <t>Theon tie-waist jumpsuit</t>
  </si>
  <si>
    <t>Theresa loafer</t>
  </si>
  <si>
    <t>Therese tee</t>
  </si>
  <si>
    <t>Theron</t>
  </si>
  <si>
    <t>Theron (1)</t>
  </si>
  <si>
    <t>This is Sally Push Up Bra</t>
  </si>
  <si>
    <t>This Is Sally Tie Tanga</t>
  </si>
  <si>
    <t>tho</t>
  </si>
  <si>
    <t>Thomas paperbag wide</t>
  </si>
  <si>
    <t>Thomas PREMIUM</t>
  </si>
  <si>
    <t>Thomas wide</t>
  </si>
  <si>
    <t>Thyme Blouse</t>
  </si>
  <si>
    <t>Tiblisi paperwaist tapered</t>
  </si>
  <si>
    <t>Tie A Lot Shape Swimsuite</t>
  </si>
  <si>
    <t>Tiffany dress</t>
  </si>
  <si>
    <t>Tiger Cheeky Brief</t>
  </si>
  <si>
    <t>Tiger jumper BRO</t>
  </si>
  <si>
    <t>Tiger Padded Soft Bra</t>
  </si>
  <si>
    <t>Tiger Top</t>
  </si>
  <si>
    <t>Tika</t>
  </si>
  <si>
    <t>Tikki Pull-on TRS</t>
  </si>
  <si>
    <t>TILDA HIP BELT</t>
  </si>
  <si>
    <t>Tilda tank</t>
  </si>
  <si>
    <t>Tilda.</t>
  </si>
  <si>
    <t>Tilly</t>
  </si>
  <si>
    <t>Tilly jumpsuit</t>
  </si>
  <si>
    <t>Tilly Short dress</t>
  </si>
  <si>
    <t>Tilly.</t>
  </si>
  <si>
    <t>Time for Tie Triangle Top</t>
  </si>
  <si>
    <t>Timeles Cheeky Brief</t>
  </si>
  <si>
    <t>Timeless cheeky brief</t>
  </si>
  <si>
    <t>Timeless Cheeky V- Brief</t>
  </si>
  <si>
    <t>Timeless High Rise Hipster</t>
  </si>
  <si>
    <t>Timeless Highwaist</t>
  </si>
  <si>
    <t>Timeless Low V Shape Brief</t>
  </si>
  <si>
    <t>Timeless Mid Rise Hipster</t>
  </si>
  <si>
    <t>Timeless Padded</t>
  </si>
  <si>
    <t>Timeless Padded Bra</t>
  </si>
  <si>
    <t>Timeless Padded Swimsuit</t>
  </si>
  <si>
    <t>Timeless Price Triangle</t>
  </si>
  <si>
    <t>Timeless Push</t>
  </si>
  <si>
    <t>Timeless Push Bra</t>
  </si>
  <si>
    <t>Timeless Push Triangle</t>
  </si>
  <si>
    <t>Timeless Push Triangle(1)</t>
  </si>
  <si>
    <t>Timeless Push Up Tie back Bra</t>
  </si>
  <si>
    <t>Timeless Regular V Brief Price</t>
  </si>
  <si>
    <t>Timeless Tie Tanga</t>
  </si>
  <si>
    <t>Timeless Top</t>
  </si>
  <si>
    <t>Timeless Triangle Top</t>
  </si>
  <si>
    <t>Timeless Xtra cheeky brazilian</t>
  </si>
  <si>
    <t>Timon Coat</t>
  </si>
  <si>
    <t>Timon Light Coat</t>
  </si>
  <si>
    <t>Tina</t>
  </si>
  <si>
    <t>Tina Blouse</t>
  </si>
  <si>
    <t>Tina Fluffy Fur</t>
  </si>
  <si>
    <t>Tina Fur</t>
  </si>
  <si>
    <t>Tina fur jacket</t>
  </si>
  <si>
    <t>Tina leggings</t>
  </si>
  <si>
    <t>Tina skirt</t>
  </si>
  <si>
    <t>Tina(1)</t>
  </si>
  <si>
    <t>TINDRA sport socks</t>
  </si>
  <si>
    <t>Tiptop top</t>
  </si>
  <si>
    <t>Tiramisu lace tee</t>
  </si>
  <si>
    <t>Tissue</t>
  </si>
  <si>
    <t>Titti</t>
  </si>
  <si>
    <t>TJ chimney coat</t>
  </si>
  <si>
    <t>TLC coat</t>
  </si>
  <si>
    <t>Toby Lace top</t>
  </si>
  <si>
    <t>TOM FANCY</t>
  </si>
  <si>
    <t>Tom Lace Up Denim TRS</t>
  </si>
  <si>
    <t>TOM PRINT</t>
  </si>
  <si>
    <t>TOM SOLID</t>
  </si>
  <si>
    <t>TOM SUPER FANCY</t>
  </si>
  <si>
    <t>Tomasine swimsuit</t>
  </si>
  <si>
    <t>Tommy gymbag</t>
  </si>
  <si>
    <t>Tonia shorts</t>
  </si>
  <si>
    <t>Tony Tank</t>
  </si>
  <si>
    <t>Topaz</t>
  </si>
  <si>
    <t>Topaz sweater XMAS</t>
  </si>
  <si>
    <t>Topekachu Padded Top</t>
  </si>
  <si>
    <t>Topekachu Tanga</t>
  </si>
  <si>
    <t>Topher Leather Belt</t>
  </si>
  <si>
    <t>Topi bodycon dress j</t>
  </si>
  <si>
    <t>Tora</t>
  </si>
  <si>
    <t>Tortoise dress</t>
  </si>
  <si>
    <t>Tory price tee</t>
  </si>
  <si>
    <t>Totem (1)</t>
  </si>
  <si>
    <t>Toto jumpsuit</t>
  </si>
  <si>
    <t>Toucan jumpsuit</t>
  </si>
  <si>
    <t>Toulon jumper</t>
  </si>
  <si>
    <t>Tove</t>
  </si>
  <si>
    <t>Tove top.</t>
  </si>
  <si>
    <t>TP TAGE shorts BB</t>
  </si>
  <si>
    <t>Tracy</t>
  </si>
  <si>
    <t>Trainer 3p sock</t>
  </si>
  <si>
    <t>Trensa Dress</t>
  </si>
  <si>
    <t>Trinny</t>
  </si>
  <si>
    <t>Trisha tee dress</t>
  </si>
  <si>
    <t>Trisha tee dress(1)</t>
  </si>
  <si>
    <t>Trixie Parka</t>
  </si>
  <si>
    <t>Tropicana Brazilian</t>
  </si>
  <si>
    <t>Tropicana Top</t>
  </si>
  <si>
    <t>Trucker Jacket Pile</t>
  </si>
  <si>
    <t>Trucky Jacket</t>
  </si>
  <si>
    <t>Trudilutt skirt</t>
  </si>
  <si>
    <t>TRUFFEL SKIRT</t>
  </si>
  <si>
    <t>Truffle</t>
  </si>
  <si>
    <t>Truffle Dress</t>
  </si>
  <si>
    <t>Trunk dress</t>
  </si>
  <si>
    <t>Trust</t>
  </si>
  <si>
    <t>Trusty Coat</t>
  </si>
  <si>
    <t>TRUXTON HOOD</t>
  </si>
  <si>
    <t>Tuby</t>
  </si>
  <si>
    <t>Tuby skirt</t>
  </si>
  <si>
    <t>TUCK CLASSIC JOGGER</t>
  </si>
  <si>
    <t>Tuck cropped sweater</t>
  </si>
  <si>
    <t>Tudor</t>
  </si>
  <si>
    <t>Tula</t>
  </si>
  <si>
    <t>Tulip</t>
  </si>
  <si>
    <t>Tulip jumper</t>
  </si>
  <si>
    <t>Tulip PU shirt</t>
  </si>
  <si>
    <t>Tully coat</t>
  </si>
  <si>
    <t>Tully wool coat</t>
  </si>
  <si>
    <t>TULUM cutout swimsuit</t>
  </si>
  <si>
    <t>Tulum Tie Brief</t>
  </si>
  <si>
    <t>Tulum Triangle Top</t>
  </si>
  <si>
    <t>Tuna</t>
  </si>
  <si>
    <t>Tuna Button Sweater</t>
  </si>
  <si>
    <t>Tuna short</t>
  </si>
  <si>
    <t>Turando jumpsuit</t>
  </si>
  <si>
    <t>TURIN</t>
  </si>
  <si>
    <t>Turner stretch polo</t>
  </si>
  <si>
    <t>Turtle jumper BRO</t>
  </si>
  <si>
    <t>Tuss</t>
  </si>
  <si>
    <t>Tutti Frutti Thong 3.p</t>
  </si>
  <si>
    <t>TUXEDO pant</t>
  </si>
  <si>
    <t>Twelve top</t>
  </si>
  <si>
    <t>Twenty HW tapered</t>
  </si>
  <si>
    <t>Twiggs jersey dress</t>
  </si>
  <si>
    <t>Twilight dress</t>
  </si>
  <si>
    <t>Twilight fine knit</t>
  </si>
  <si>
    <t>Twist sandalette</t>
  </si>
  <si>
    <t>Twister</t>
  </si>
  <si>
    <t>TWISTER TURTLENECK</t>
  </si>
  <si>
    <t>Twisty dress</t>
  </si>
  <si>
    <t>Tyler boot</t>
  </si>
  <si>
    <t>Tyrell paper-bag waist skirt</t>
  </si>
  <si>
    <t>Tzatziki blouse</t>
  </si>
  <si>
    <t>Uffe</t>
  </si>
  <si>
    <t>ULLA COLD SHOULDER</t>
  </si>
  <si>
    <t>Ulla cold shoulder follow up</t>
  </si>
  <si>
    <t>Ulla long polo</t>
  </si>
  <si>
    <t>Ullis playsuit</t>
  </si>
  <si>
    <t>Ulrik</t>
  </si>
  <si>
    <t>Ultimate bomber</t>
  </si>
  <si>
    <t>Ultimate parka</t>
  </si>
  <si>
    <t>Una jumpsuit</t>
  </si>
  <si>
    <t>Unit puffer</t>
  </si>
  <si>
    <t>UNIVERSE tights</t>
  </si>
  <si>
    <t>Unni dress</t>
  </si>
  <si>
    <t>Uno</t>
  </si>
  <si>
    <t>Uno Hood (1)</t>
  </si>
  <si>
    <t>Uno Paperbag Skirt</t>
  </si>
  <si>
    <t>Ursula dress</t>
  </si>
  <si>
    <t>Utility HW Joggers</t>
  </si>
  <si>
    <t>Vacation fancy wide cropped</t>
  </si>
  <si>
    <t>Vacation HW wide cropped</t>
  </si>
  <si>
    <t>Valencia dress</t>
  </si>
  <si>
    <t>Valencia Jumper</t>
  </si>
  <si>
    <t>Valencia jumpsuit</t>
  </si>
  <si>
    <t>Valentina Rem Pad Body LS</t>
  </si>
  <si>
    <t>Valentine</t>
  </si>
  <si>
    <t>VALENTINE LONGSLEEVE</t>
  </si>
  <si>
    <t>VALENTINE LS +</t>
  </si>
  <si>
    <t>Valentino</t>
  </si>
  <si>
    <t>Valeria body</t>
  </si>
  <si>
    <t>Valeria thong 3p</t>
  </si>
  <si>
    <t>VALERIE BLOUSE</t>
  </si>
  <si>
    <t>Valerie Dress</t>
  </si>
  <si>
    <t>Valerie V Neck Sweater</t>
  </si>
  <si>
    <t>Valerie V-Neck Sweater</t>
  </si>
  <si>
    <t>Valerie Wide Leg trousers</t>
  </si>
  <si>
    <t>Valetta</t>
  </si>
  <si>
    <t>Valetta Blouse</t>
  </si>
  <si>
    <t>Vannes dress</t>
  </si>
  <si>
    <t>Vaughan sneaker</t>
  </si>
  <si>
    <t>Vecchio HW palazzo pants</t>
  </si>
  <si>
    <t>Vegas woven shorts</t>
  </si>
  <si>
    <t>Velma Maxi</t>
  </si>
  <si>
    <t>VELOUR HOOD</t>
  </si>
  <si>
    <t>VELOUR JOGGER</t>
  </si>
  <si>
    <t>Velour leggings</t>
  </si>
  <si>
    <t>Velvet scrunchie</t>
  </si>
  <si>
    <t>Venice</t>
  </si>
  <si>
    <t>Venice Bandeau</t>
  </si>
  <si>
    <t>Venice Highwaist Brief</t>
  </si>
  <si>
    <t>Venice tencel pull on RW</t>
  </si>
  <si>
    <t>Venice Tie Brazilian</t>
  </si>
  <si>
    <t>VENUS OFF SHOULDER</t>
  </si>
  <si>
    <t>VERA LACE TOP</t>
  </si>
  <si>
    <t>Vera wide</t>
  </si>
  <si>
    <t>Verbena</t>
  </si>
  <si>
    <t>Vermont essential slacks</t>
  </si>
  <si>
    <t>Vermont fancy slacks</t>
  </si>
  <si>
    <t>vermont fancy slacks (1)</t>
  </si>
  <si>
    <t>Vermont Summer Slacks</t>
  </si>
  <si>
    <t>verona tank</t>
  </si>
  <si>
    <t>Veronica dress</t>
  </si>
  <si>
    <t>VERONICA SEAMLESS BRA</t>
  </si>
  <si>
    <t>Veronica seamless bra</t>
  </si>
  <si>
    <t>Veronica swimsuit</t>
  </si>
  <si>
    <t>Vesper</t>
  </si>
  <si>
    <t>Veton party dress</t>
  </si>
  <si>
    <t>Vichy 5pkt slim trouser</t>
  </si>
  <si>
    <t>Vickan dress</t>
  </si>
  <si>
    <t>Vickan dress w</t>
  </si>
  <si>
    <t>Vicky Beret</t>
  </si>
  <si>
    <t>Vicky sandalette</t>
  </si>
  <si>
    <t>Vicky shoulder bag</t>
  </si>
  <si>
    <t>VICTOR 3PK SLIM VN T-SHIRT</t>
  </si>
  <si>
    <t>VICTOR SLIM VN T-SHIRT</t>
  </si>
  <si>
    <t>Victoria One Shoulder LS</t>
  </si>
  <si>
    <t>Victoria Pull- On TRS</t>
  </si>
  <si>
    <t>Victoria RW Pull- On TRS</t>
  </si>
  <si>
    <t>VICTORIA RW tights</t>
  </si>
  <si>
    <t>Victoria sneaker</t>
  </si>
  <si>
    <t>Victorville HW Pull-on TRS</t>
  </si>
  <si>
    <t>Victorville TRS</t>
  </si>
  <si>
    <t>Vienna Blazer Dress</t>
  </si>
  <si>
    <t>Villi Body</t>
  </si>
  <si>
    <t>Vincent</t>
  </si>
  <si>
    <t>Vincent boot</t>
  </si>
  <si>
    <t>Vincent Dress (1)</t>
  </si>
  <si>
    <t>Vino NW wide trousers</t>
  </si>
  <si>
    <t>Vintage Ankle H.W</t>
  </si>
  <si>
    <t>Vintage H.W Shorts</t>
  </si>
  <si>
    <t>Vintage Slim Ankle</t>
  </si>
  <si>
    <t>Vintage Slim Ankle H.W</t>
  </si>
  <si>
    <t>Vintage Slim HW ankle consc.</t>
  </si>
  <si>
    <t>Vintage Straight ankle</t>
  </si>
  <si>
    <t>Vintage Straight ankle trash</t>
  </si>
  <si>
    <t>Viola</t>
  </si>
  <si>
    <t>Viola wrap dress</t>
  </si>
  <si>
    <t>VIOLET COLD SHOULDER</t>
  </si>
  <si>
    <t>Violet dress</t>
  </si>
  <si>
    <t>Viper jumpsuit (1)</t>
  </si>
  <si>
    <t>Virginie 2p shorts (J)</t>
  </si>
  <si>
    <t>Virgo Hip belt</t>
  </si>
  <si>
    <t>Vishnu Dress</t>
  </si>
  <si>
    <t>Vishnu dress (occational)</t>
  </si>
  <si>
    <t>Vision highshaft</t>
  </si>
  <si>
    <t>Viva Las Vegas Push Bra</t>
  </si>
  <si>
    <t>Vivaldi</t>
  </si>
  <si>
    <t>Vivaldi dress</t>
  </si>
  <si>
    <t>Vivi boatneck</t>
  </si>
  <si>
    <t>Vivi Pleated Dress</t>
  </si>
  <si>
    <t>Vivi Strap Top</t>
  </si>
  <si>
    <t>Vivian wrap Dress</t>
  </si>
  <si>
    <t>Vixen round straw</t>
  </si>
  <si>
    <t>V-Neck Milan TVP</t>
  </si>
  <si>
    <t>V-neck rib top</t>
  </si>
  <si>
    <t>V-NECK SS SLIM 3 PK</t>
  </si>
  <si>
    <t>V-NECK SS SLIM FIT</t>
  </si>
  <si>
    <t>V-neck strap top</t>
  </si>
  <si>
    <t>V-neck strap top 2-pack(1)</t>
  </si>
  <si>
    <t>V-neck Strap Top.</t>
  </si>
  <si>
    <t>Vogue playsuit</t>
  </si>
  <si>
    <t>Volly jumper</t>
  </si>
  <si>
    <t>Volly Jumper</t>
  </si>
  <si>
    <t>Volpino slacks</t>
  </si>
  <si>
    <t>VonDuck PREMIUM</t>
  </si>
  <si>
    <t>Vov trousers</t>
  </si>
  <si>
    <t>Vovve shorts</t>
  </si>
  <si>
    <t>Voyeur Padded Swimsuit</t>
  </si>
  <si>
    <t>W Amanda</t>
  </si>
  <si>
    <t>W BARBERINI DRESS eq</t>
  </si>
  <si>
    <t>W CAMPANIA DRESS EQ</t>
  </si>
  <si>
    <t>W DAVID TRS EQ</t>
  </si>
  <si>
    <t>W ED WINNIE SKIRT EQ</t>
  </si>
  <si>
    <t>W FELICITY OL OFFER</t>
  </si>
  <si>
    <t>W GENOVA TRS EQ</t>
  </si>
  <si>
    <t>W LAURA SKIRT EQ</t>
  </si>
  <si>
    <t>W LUCY DRESS EQ</t>
  </si>
  <si>
    <t>W LUKE OL OFFER</t>
  </si>
  <si>
    <t>W MARILYN SKIRT EQ</t>
  </si>
  <si>
    <t>W RONAN DRESS EQ</t>
  </si>
  <si>
    <t>W SALLY DRESS EQ</t>
  </si>
  <si>
    <t>W STACY TRS EQ</t>
  </si>
  <si>
    <t>W TANYA BLOUSE EQ</t>
  </si>
  <si>
    <t>Wade skirt</t>
  </si>
  <si>
    <t>WAFFLE LS CTN SLIM FIT</t>
  </si>
  <si>
    <t>Waif Wide leg trouser RW</t>
  </si>
  <si>
    <t>Wake rib polo</t>
  </si>
  <si>
    <t>Wakkiki strap dress</t>
  </si>
  <si>
    <t>Waleo HW wide full</t>
  </si>
  <si>
    <t>WALES</t>
  </si>
  <si>
    <t>Walk Away Highwaist Brief</t>
  </si>
  <si>
    <t>Walk Away Top</t>
  </si>
  <si>
    <t>Walkover Unpadded Swimsuit</t>
  </si>
  <si>
    <t>Wanda</t>
  </si>
  <si>
    <t>Wanda Shorts</t>
  </si>
  <si>
    <t>Wannabe Highwaist</t>
  </si>
  <si>
    <t>Wannabe Superpush</t>
  </si>
  <si>
    <t>Warsaw Sports Jacket</t>
  </si>
  <si>
    <t>Wasabi fur jacket</t>
  </si>
  <si>
    <t>Washington Dress</t>
  </si>
  <si>
    <t>Wassy dress</t>
  </si>
  <si>
    <t>Waterloo</t>
  </si>
  <si>
    <t>Wave Relaxed Linen Trs</t>
  </si>
  <si>
    <t>Wave Relaxed Shorts</t>
  </si>
  <si>
    <t>Wendy</t>
  </si>
  <si>
    <t>Wendy (1)</t>
  </si>
  <si>
    <t>Wendy Bodycon Dress</t>
  </si>
  <si>
    <t>Wendy Coat</t>
  </si>
  <si>
    <t>Wera wrap top</t>
  </si>
  <si>
    <t>Westeros Shearling</t>
  </si>
  <si>
    <t>Westeros skirt</t>
  </si>
  <si>
    <t>Westeros wrap skirt</t>
  </si>
  <si>
    <t>whisper shorts</t>
  </si>
  <si>
    <t>Whitney top and shorts</t>
  </si>
  <si>
    <t>Whitney wrap dress</t>
  </si>
  <si>
    <t>Wickander</t>
  </si>
  <si>
    <t>Wide H.W</t>
  </si>
  <si>
    <t>Wide H.W Ankle</t>
  </si>
  <si>
    <t>Wideawake Push Triangle</t>
  </si>
  <si>
    <t>Wideawake Tie Tanga</t>
  </si>
  <si>
    <t>Wifey material</t>
  </si>
  <si>
    <t>Wild lace dress</t>
  </si>
  <si>
    <t>Wilder West Swimsuit Speed</t>
  </si>
  <si>
    <t>Willa</t>
  </si>
  <si>
    <t>Wille boot</t>
  </si>
  <si>
    <t>William</t>
  </si>
  <si>
    <t>Willie dress</t>
  </si>
  <si>
    <t>Willow</t>
  </si>
  <si>
    <t>Windsor down jacket</t>
  </si>
  <si>
    <t>Wing Dress</t>
  </si>
  <si>
    <t>Winnie dress</t>
  </si>
  <si>
    <t>Winnie top</t>
  </si>
  <si>
    <t>Winona</t>
  </si>
  <si>
    <t>WINONA PQ Boot</t>
  </si>
  <si>
    <t>Winona Roll Neck</t>
  </si>
  <si>
    <t>Wippet</t>
  </si>
  <si>
    <t>Witch slacks</t>
  </si>
  <si>
    <t>Witch tuxedo trouser</t>
  </si>
  <si>
    <t>WM Dahlia RW wide full length</t>
  </si>
  <si>
    <t>Wolf Raincoat</t>
  </si>
  <si>
    <t>Wood jacket</t>
  </si>
  <si>
    <t>Woodland HW</t>
  </si>
  <si>
    <t>Woodstock puffer</t>
  </si>
  <si>
    <t>Woody</t>
  </si>
  <si>
    <t>Woody (1)</t>
  </si>
  <si>
    <t>Woody hoodie</t>
  </si>
  <si>
    <t>Woody(1)</t>
  </si>
  <si>
    <t>Wow Hood 14.99:-</t>
  </si>
  <si>
    <t>Wow Hood 19.99</t>
  </si>
  <si>
    <t>Wow printed tee 6.99</t>
  </si>
  <si>
    <t>Wow Rispan Hood 19.99:-</t>
  </si>
  <si>
    <t>Wrap King Top</t>
  </si>
  <si>
    <t>Wrap King V Brief</t>
  </si>
  <si>
    <t>Wrap Queen Tie Tanga</t>
  </si>
  <si>
    <t>Wrap Queen top</t>
  </si>
  <si>
    <t>Wrap Queen Top</t>
  </si>
  <si>
    <t>Wrap Star Dress</t>
  </si>
  <si>
    <t>Wrap up jumpsuit</t>
  </si>
  <si>
    <t>Wrappy Dress</t>
  </si>
  <si>
    <t>Wrappy SPEED dress</t>
  </si>
  <si>
    <t>Wrappy SS dress</t>
  </si>
  <si>
    <t>XMAS Cherry sweater</t>
  </si>
  <si>
    <t>X-mas Pattern 5p socks</t>
  </si>
  <si>
    <t>Xtina Bandeau</t>
  </si>
  <si>
    <t>Xtina Cheeky Brief</t>
  </si>
  <si>
    <t>Xtina Swimsuit</t>
  </si>
  <si>
    <t>Yama sneaker</t>
  </si>
  <si>
    <t>Yanni Kaftan</t>
  </si>
  <si>
    <t>Yanny kaftan</t>
  </si>
  <si>
    <t>Yasmine LS</t>
  </si>
  <si>
    <t>Yate</t>
  </si>
  <si>
    <t>Yellow</t>
  </si>
  <si>
    <t>Yen</t>
  </si>
  <si>
    <t>Yen.</t>
  </si>
  <si>
    <t>Ygritte fur</t>
  </si>
  <si>
    <t>Yndi wedge</t>
  </si>
  <si>
    <t>Yoko ring</t>
  </si>
  <si>
    <t>Yolo Zip LS</t>
  </si>
  <si>
    <t>York Hairy Mock Neck</t>
  </si>
  <si>
    <t>Yuki shopper</t>
  </si>
  <si>
    <t>Zagora Trench</t>
  </si>
  <si>
    <t>Zaina</t>
  </si>
  <si>
    <t>Zandra bathing suit</t>
  </si>
  <si>
    <t>Zaza skirt</t>
  </si>
  <si>
    <t>ZEBRA CF TVP</t>
  </si>
  <si>
    <t>Zebra sweater TOP PRODUCT</t>
  </si>
  <si>
    <t>Zebra- TVP- TM</t>
  </si>
  <si>
    <t>Zeina sweater</t>
  </si>
  <si>
    <t>Zelda Midi</t>
  </si>
  <si>
    <t>ZELDA SKIRT NEW S.9</t>
  </si>
  <si>
    <t>Zena boot</t>
  </si>
  <si>
    <t>Zenit highlift sneaker</t>
  </si>
  <si>
    <t>Zeppelin</t>
  </si>
  <si>
    <t>Zeppelin HW tapered PU</t>
  </si>
  <si>
    <t>Zero Tee</t>
  </si>
  <si>
    <t>Zia</t>
  </si>
  <si>
    <t>Zidane blouse</t>
  </si>
  <si>
    <t>Zidane jumpsuit</t>
  </si>
  <si>
    <t>Ziggy</t>
  </si>
  <si>
    <t>Ziggy Linnen LS</t>
  </si>
  <si>
    <t>Zimmelie Tunic</t>
  </si>
  <si>
    <t>Zimmer dress (1)</t>
  </si>
  <si>
    <t>Zina shirt dress</t>
  </si>
  <si>
    <t>Zitta Scarf</t>
  </si>
  <si>
    <t>Zoe L/S</t>
  </si>
  <si>
    <t>ZOMBIE ZIP HOOD OL</t>
  </si>
  <si>
    <t>Zoo</t>
  </si>
  <si>
    <t>Zoo dress w</t>
  </si>
  <si>
    <t>Zorro half-zip sweater</t>
  </si>
  <si>
    <t>ZORROW</t>
  </si>
  <si>
    <t>ZORROW CLEAN</t>
  </si>
  <si>
    <t>Zubat Wool</t>
  </si>
  <si>
    <t>ZUPI HW biker.</t>
  </si>
  <si>
    <t>volume_percentile</t>
  </si>
  <si>
    <t>revenue_percentile</t>
  </si>
  <si>
    <t>avg_revenue</t>
  </si>
  <si>
    <t>group</t>
  </si>
  <si>
    <t>age_cohort</t>
  </si>
  <si>
    <t>news_frequency</t>
  </si>
  <si>
    <t>product_group_name</t>
  </si>
  <si>
    <t>average_selling_price</t>
  </si>
  <si>
    <t>25-38 (Millennials)</t>
  </si>
  <si>
    <t>Accessories</t>
  </si>
  <si>
    <t>Bags</t>
  </si>
  <si>
    <t>Cosmetic</t>
  </si>
  <si>
    <t>Furniture</t>
  </si>
  <si>
    <t>Garment Full body</t>
  </si>
  <si>
    <t>Garment Lower body</t>
  </si>
  <si>
    <t>Garment Upper body</t>
  </si>
  <si>
    <t>Items</t>
  </si>
  <si>
    <t>Nightwear</t>
  </si>
  <si>
    <t>Shoes</t>
  </si>
  <si>
    <t>Socks &amp; Tights</t>
  </si>
  <si>
    <t>Swimwear</t>
  </si>
  <si>
    <t>Underwear</t>
  </si>
  <si>
    <t>Underwear/nightwear</t>
  </si>
  <si>
    <t>Unknown</t>
  </si>
  <si>
    <t>39-55 (Gen X)</t>
  </si>
  <si>
    <t>Garment and Shoe care</t>
  </si>
  <si>
    <t>56+</t>
  </si>
  <si>
    <t>Under 25 (Gen Z)</t>
  </si>
  <si>
    <t>cnt_cust</t>
  </si>
  <si>
    <t xml:space="preserve">we will assume the FN status is same </t>
  </si>
  <si>
    <t>age_group</t>
  </si>
  <si>
    <t>subscriber_status</t>
  </si>
  <si>
    <t>active_customer_count</t>
  </si>
  <si>
    <t>total_segment_orders</t>
  </si>
  <si>
    <t>total_segment_revenue</t>
  </si>
  <si>
    <t>arpu</t>
  </si>
  <si>
    <t>aov</t>
  </si>
  <si>
    <t>orders_per_customer</t>
  </si>
  <si>
    <t>subscribers are more likely to make more orders</t>
  </si>
  <si>
    <t>although they buy less in each other, but they have higher revenue in total</t>
  </si>
  <si>
    <t>product_type_name</t>
  </si>
  <si>
    <t>Blazer</t>
  </si>
  <si>
    <t>Top</t>
  </si>
  <si>
    <t>Shirt</t>
  </si>
  <si>
    <t>Skirt</t>
  </si>
  <si>
    <t>Sweater</t>
  </si>
  <si>
    <t>Trousers</t>
  </si>
  <si>
    <t>Jacket</t>
  </si>
  <si>
    <t>Bra</t>
  </si>
  <si>
    <t>Shorts</t>
  </si>
  <si>
    <t>Vest top</t>
  </si>
  <si>
    <t>T-shirt</t>
  </si>
  <si>
    <t>Bikini top</t>
  </si>
  <si>
    <t>Blouse</t>
  </si>
  <si>
    <t>Swimwear bottom</t>
  </si>
  <si>
    <t>total revenue</t>
  </si>
  <si>
    <t>Total</t>
  </si>
  <si>
    <t>t_month</t>
  </si>
  <si>
    <t>Underwear bottom</t>
  </si>
  <si>
    <t>Leggings/Tights</t>
  </si>
  <si>
    <t>Hoodie</t>
  </si>
  <si>
    <t>Socks</t>
  </si>
  <si>
    <t>Cardigan</t>
  </si>
  <si>
    <t>Swimsuit</t>
  </si>
  <si>
    <t>Boots</t>
  </si>
  <si>
    <t>Pyjama set</t>
  </si>
  <si>
    <t>Underwear Tights</t>
  </si>
  <si>
    <t>Bag</t>
  </si>
  <si>
    <t>Scarf</t>
  </si>
  <si>
    <t>Hat/beanie</t>
  </si>
  <si>
    <t>Earring</t>
  </si>
  <si>
    <t>Belt</t>
  </si>
  <si>
    <t>Sneakers</t>
  </si>
  <si>
    <t>Other accessories</t>
  </si>
  <si>
    <t>Coat</t>
  </si>
  <si>
    <t>Pyjama bottom</t>
  </si>
  <si>
    <t>Bodysuit</t>
  </si>
  <si>
    <t>Underwear body</t>
  </si>
  <si>
    <t>Jumpsuit/Playsuit</t>
  </si>
  <si>
    <t>Garment Set</t>
  </si>
  <si>
    <t>Necklace</t>
  </si>
  <si>
    <t>Hair/alice band</t>
  </si>
  <si>
    <t>Sunglasses</t>
  </si>
  <si>
    <t>Gloves</t>
  </si>
  <si>
    <t>Night gown</t>
  </si>
  <si>
    <t>Flat shoe</t>
  </si>
  <si>
    <t>Sandals</t>
  </si>
  <si>
    <t>Cap/peaked</t>
  </si>
  <si>
    <t>Robe</t>
  </si>
  <si>
    <t>Slippers</t>
  </si>
  <si>
    <t>Hair string</t>
  </si>
  <si>
    <t>Pumps</t>
  </si>
  <si>
    <t>Polo shirt</t>
  </si>
  <si>
    <t>Dungarees</t>
  </si>
  <si>
    <t>Ring</t>
  </si>
  <si>
    <t>Underwear corset</t>
  </si>
  <si>
    <t>Outdoor trousers</t>
  </si>
  <si>
    <t>Other shoe</t>
  </si>
  <si>
    <t>Hair ties</t>
  </si>
  <si>
    <t>Outdoor Waistcoat</t>
  </si>
  <si>
    <t>Pyjama jumpsuit/playsuit</t>
  </si>
  <si>
    <t>Watch</t>
  </si>
  <si>
    <t>Hair clip</t>
  </si>
  <si>
    <t>Ballerinas</t>
  </si>
  <si>
    <t>Hat/brim</t>
  </si>
  <si>
    <t>Heeled sandals</t>
  </si>
  <si>
    <t>Waterbottle</t>
  </si>
  <si>
    <t>Beanie</t>
  </si>
  <si>
    <t>Flip flop</t>
  </si>
  <si>
    <t>Sarong</t>
  </si>
  <si>
    <t>Bootie</t>
  </si>
  <si>
    <t>Nipple covers</t>
  </si>
  <si>
    <t>Underdress</t>
  </si>
  <si>
    <t>Wallet</t>
  </si>
  <si>
    <t>Swimwear set</t>
  </si>
  <si>
    <t>Tie</t>
  </si>
  <si>
    <t>Wedge</t>
  </si>
  <si>
    <t>Costumes</t>
  </si>
  <si>
    <t>Tailored Waistcoat</t>
  </si>
  <si>
    <t>Outdoor overall</t>
  </si>
  <si>
    <t>Umbrella</t>
  </si>
  <si>
    <t>Kids Underwear top</t>
  </si>
  <si>
    <t>Long John</t>
  </si>
  <si>
    <t>Underwear set</t>
  </si>
  <si>
    <t>Bracelet</t>
  </si>
  <si>
    <t>Backpack</t>
  </si>
  <si>
    <t>Fine cosmetics</t>
  </si>
  <si>
    <t>Hairband</t>
  </si>
  <si>
    <t>Sleeping sack</t>
  </si>
  <si>
    <t>Earrings</t>
  </si>
  <si>
    <t>Heels</t>
  </si>
  <si>
    <t>Soft Toys</t>
  </si>
  <si>
    <t>Bra extender</t>
  </si>
  <si>
    <t>Bucket hat</t>
  </si>
  <si>
    <t>Leg warmers</t>
  </si>
  <si>
    <t>Swimwear top</t>
  </si>
  <si>
    <t>Felt hat</t>
  </si>
  <si>
    <t>Weekend/Gym bag</t>
  </si>
  <si>
    <t>Braces</t>
  </si>
  <si>
    <t>Straw hat</t>
  </si>
  <si>
    <t>Cap</t>
  </si>
  <si>
    <t>Flat shoes</t>
  </si>
  <si>
    <t>Tote bag</t>
  </si>
  <si>
    <t>Baby Bib</t>
  </si>
  <si>
    <t>Dog Wear</t>
  </si>
  <si>
    <t>Keychain</t>
  </si>
  <si>
    <t>Shoulder bag</t>
  </si>
  <si>
    <t>Headband</t>
  </si>
  <si>
    <t>Alice band</t>
  </si>
  <si>
    <t>Side table</t>
  </si>
  <si>
    <t>Chem. cosmetics</t>
  </si>
  <si>
    <t>Mobile case</t>
  </si>
  <si>
    <t>Giftbox</t>
  </si>
  <si>
    <t>Wood balls</t>
  </si>
  <si>
    <t>Sewing kit</t>
  </si>
  <si>
    <t>JAN</t>
  </si>
  <si>
    <t>FEB</t>
  </si>
  <si>
    <t>MAR</t>
  </si>
  <si>
    <t>avg_units_sold</t>
  </si>
  <si>
    <t>unit_index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</si>
  <si>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</si>
  <si>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</si>
  <si>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</si>
  <si>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</si>
  <si>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</si>
  <si>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</si>
  <si>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</si>
  <si>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</si>
  <si>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</si>
  <si>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feb-jun</t>
  </si>
  <si>
    <t>jun-aug</t>
  </si>
  <si>
    <t>aug-sep</t>
  </si>
  <si>
    <t>total number of sales</t>
  </si>
  <si>
    <t>number of non subscribers</t>
  </si>
  <si>
    <t>number of non subscriber</t>
  </si>
  <si>
    <t>rate of non subscribers</t>
  </si>
  <si>
    <t>rate of subscribers</t>
  </si>
  <si>
    <t>Product Category</t>
  </si>
  <si>
    <t>Top 10 Revenue</t>
  </si>
  <si>
    <t xml:space="preserve">Top 10 Unit Sales </t>
  </si>
  <si>
    <t xml:space="preserve"> </t>
  </si>
  <si>
    <t>39-55
(Gen X)</t>
  </si>
  <si>
    <t>TROUSERS</t>
  </si>
  <si>
    <t>DRESS</t>
  </si>
  <si>
    <t>SWEATER</t>
  </si>
  <si>
    <t>T-SHIRT</t>
  </si>
  <si>
    <t>BIKINI TOP</t>
  </si>
  <si>
    <t>TOP</t>
  </si>
  <si>
    <t>SWIMWEAR BOTTOM</t>
  </si>
  <si>
    <t>BRA</t>
  </si>
  <si>
    <t>VEST TOP</t>
  </si>
  <si>
    <t>BLOUSE</t>
  </si>
  <si>
    <t>SHORTS</t>
  </si>
  <si>
    <t>SHIRT</t>
  </si>
  <si>
    <t>SKIRT</t>
  </si>
  <si>
    <t>JACKET</t>
  </si>
  <si>
    <t>BLAZER</t>
  </si>
  <si>
    <t>dec-jun</t>
  </si>
  <si>
    <t>non subscriber</t>
  </si>
  <si>
    <t>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</si>
</sst>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[$$-409]* #,##0.00_);_([$$-409]* \(#,##0.00\);_([$$-409]* &quot;-&quot;??_);_(@_)"/>
    <numFmt numFmtId="165" formatCode="_([$$-409]* #,##0_);_([$$-409]* \(#,##0\);_([$$-409]* &quot;-&quot;??_);_(@_)"/>
    <numFmt numFmtId="166" formatCode="_(* #,##0_);_(* \(#,##0\);_(* &quot;-&quot;??_);_(@_)"/>
    <numFmt numFmtId="167" formatCode="0.000"/>
  </numFmts>
  <fonts count="7">
    <font>
      <sz val="11"/>
      <color theme="1"/>
      <name val="Calibri"/>
      <family val="2"/>
      <charset val="136"/>
      <scheme val="minor"/>
    </font>
    <font>
      <sz val="9"/>
      <color rgb="FF000000"/>
      <name val="Cascadia Mono"/>
      <family val="3"/>
    </font>
    <font>
      <sz val="9"/>
      <color rgb="FF008000"/>
      <name val="Cascadia Mono"/>
      <family val="3"/>
    </font>
    <font>
      <b/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0" fontId="5" fillId="3" borderId="0" xfId="0" applyFont="1" applyFill="1"/>
    <xf numFmtId="165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0" fillId="4" borderId="0" xfId="0" applyFill="1"/>
    <xf numFmtId="0" fontId="5" fillId="5" borderId="0" xfId="0" applyFont="1" applyFill="1" applyAlignment="1">
      <alignment horizontal="center"/>
    </xf>
    <xf numFmtId="166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BC2DF"/>
      <color rgb="FF6A51A3"/>
      <color rgb="FF70AD47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260462919922983E-2"/>
          <c:y val="0.18181368102476284"/>
          <c:w val="0.94273963585359544"/>
          <c:h val="0.73957640320265572"/>
        </c:manualLayout>
      </c:layout>
      <c:lineChart>
        <c:grouping val="standard"/>
        <c:varyColors val="0"/>
        <c:ser>
          <c:idx val="0"/>
          <c:order val="0"/>
          <c:tx>
            <c:strRef>
              <c:f>trans_dist_cust!$B$1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D91-49CC-A4D6-C7FA572795CF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D91-49CC-A4D6-C7FA572795CF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D91-49CC-A4D6-C7FA572795CF}"/>
              </c:ext>
            </c:extLst>
          </c:dPt>
          <c:dPt>
            <c:idx val="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D91-49CC-A4D6-C7FA572795CF}"/>
              </c:ext>
            </c:extLst>
          </c:dPt>
          <c:dPt>
            <c:idx val="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D91-49CC-A4D6-C7FA572795C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5B9BD5"/>
                </a:solidFill>
                <a:ln w="9525">
                  <a:solidFill>
                    <a:srgbClr val="5B9BD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D91-49CC-A4D6-C7FA572795CF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D91-49CC-A4D6-C7FA572795CF}"/>
              </c:ext>
            </c:extLst>
          </c:dPt>
          <c:dPt>
            <c:idx val="1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D91-49CC-A4D6-C7FA572795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91-49CC-A4D6-C7FA572795CF}"/>
                </c:ext>
              </c:extLst>
            </c:dLbl>
            <c:dLbl>
              <c:idx val="1"/>
              <c:layout>
                <c:manualLayout>
                  <c:x val="-6.2179679280967896E-2"/>
                  <c:y val="-9.24513010085407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91-49CC-A4D6-C7FA572795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91-49CC-A4D6-C7FA572795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91-49CC-A4D6-C7FA572795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91-49CC-A4D6-C7FA572795CF}"/>
                </c:ext>
              </c:extLst>
            </c:dLbl>
            <c:dLbl>
              <c:idx val="5"/>
              <c:layout>
                <c:manualLayout>
                  <c:x val="-6.2469043546815296E-2"/>
                  <c:y val="-7.0924914672022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D91-49CC-A4D6-C7FA572795C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91-49CC-A4D6-C7FA572795CF}"/>
                </c:ext>
              </c:extLst>
            </c:dLbl>
            <c:dLbl>
              <c:idx val="8"/>
              <c:layout>
                <c:manualLayout>
                  <c:x val="-5.390851810610834E-2"/>
                  <c:y val="-5.1480268030987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91-49CC-A4D6-C7FA572795C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91-49CC-A4D6-C7FA572795C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91-49CC-A4D6-C7FA572795CF}"/>
                </c:ext>
              </c:extLst>
            </c:dLbl>
            <c:dLbl>
              <c:idx val="11"/>
              <c:layout>
                <c:manualLayout>
                  <c:x val="-1.2725799709232188E-3"/>
                  <c:y val="-8.42317263154737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91-49CC-A4D6-C7FA572795CF}"/>
                </c:ext>
              </c:extLst>
            </c:dLbl>
            <c:numFmt formatCode="[$$-409]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trans_dist_cust!$A$2:$A$13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trans_dist_cust!$B$2:$B$13</c:f>
              <c:numCache>
                <c:formatCode>_([$$-409]* #,##0_);_([$$-409]* \(#,##0\);_([$$-409]* "-"??_);_(@_)</c:formatCode>
                <c:ptCount val="12"/>
                <c:pt idx="0">
                  <c:v>214827.962613857</c:v>
                </c:pt>
                <c:pt idx="1">
                  <c:v>200603.41911852601</c:v>
                </c:pt>
                <c:pt idx="2">
                  <c:v>239517.34782427701</c:v>
                </c:pt>
                <c:pt idx="3">
                  <c:v>272522.98318444501</c:v>
                </c:pt>
                <c:pt idx="4">
                  <c:v>276856.894935672</c:v>
                </c:pt>
                <c:pt idx="5">
                  <c:v>311344.46374160802</c:v>
                </c:pt>
                <c:pt idx="6">
                  <c:v>257194.55216369199</c:v>
                </c:pt>
                <c:pt idx="7">
                  <c:v>196031.08198968699</c:v>
                </c:pt>
                <c:pt idx="8">
                  <c:v>258165.53834108601</c:v>
                </c:pt>
                <c:pt idx="9">
                  <c:v>237630.372098839</c:v>
                </c:pt>
                <c:pt idx="10">
                  <c:v>248202.187709391</c:v>
                </c:pt>
                <c:pt idx="11">
                  <c:v>199955.69736543699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1-49CC-A4D6-C7FA57279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722335"/>
        <c:axId val="264373871"/>
        <c:extLst/>
      </c:lineChart>
      <c:catAx>
        <c:axId val="9447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373871"/>
        <c:crosses val="autoZero"/>
        <c:auto val="1"/>
        <c:lblAlgn val="ctr"/>
        <c:lblOffset val="100"/>
        <c:noMultiLvlLbl val="0"/>
      </c:catAx>
      <c:valAx>
        <c:axId val="264373871"/>
        <c:scaling>
          <c:orientation val="minMax"/>
        </c:scaling>
        <c:delete val="1"/>
        <c:axPos val="l"/>
        <c:numFmt formatCode="_([$$-409]* #,##0_);_([$$-409]* \(#,##0\);_([$$-409]* &quot;-&quot;??_);_(@_)" sourceLinked="1"/>
        <c:majorTickMark val="none"/>
        <c:minorTickMark val="none"/>
        <c:tickLblPos val="nextTo"/>
        <c:crossAx val="94472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288937765579106E-2"/>
          <c:y val="0.18107665364978193"/>
          <c:w val="0.93993135318923882"/>
          <c:h val="0.71407856686204574"/>
        </c:manualLayout>
      </c:layout>
      <c:lineChart>
        <c:grouping val="standard"/>
        <c:varyColors val="0"/>
        <c:ser>
          <c:idx val="0"/>
          <c:order val="0"/>
          <c:tx>
            <c:strRef>
              <c:f>trans_dist_cust!$C$1</c:f>
              <c:strCache>
                <c:ptCount val="1"/>
                <c:pt idx="0">
                  <c:v>total number of sales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9D2-4156-87CE-6FF3DA826BB1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9D2-4156-87CE-6FF3DA826BB1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9D2-4156-87CE-6FF3DA826BB1}"/>
              </c:ext>
            </c:extLst>
          </c:dPt>
          <c:dPt>
            <c:idx val="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9D2-4156-87CE-6FF3DA826BB1}"/>
              </c:ext>
            </c:extLst>
          </c:dPt>
          <c:dPt>
            <c:idx val="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9D2-4156-87CE-6FF3DA826BB1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9D2-4156-87CE-6FF3DA826BB1}"/>
              </c:ext>
            </c:extLst>
          </c:dPt>
          <c:dPt>
            <c:idx val="1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9D2-4156-87CE-6FF3DA826BB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D2-4156-87CE-6FF3DA826BB1}"/>
                </c:ext>
              </c:extLst>
            </c:dLbl>
            <c:dLbl>
              <c:idx val="1"/>
              <c:layout>
                <c:manualLayout>
                  <c:x val="-5.9151066064364273E-2"/>
                  <c:y val="5.6570698033321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9D2-4156-87CE-6FF3DA826BB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D2-4156-87CE-6FF3DA826BB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D2-4156-87CE-6FF3DA826BB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D2-4156-87CE-6FF3DA826BB1}"/>
                </c:ext>
              </c:extLst>
            </c:dLbl>
            <c:dLbl>
              <c:idx val="5"/>
              <c:layout>
                <c:manualLayout>
                  <c:x val="-5.2339350905710624E-2"/>
                  <c:y val="8.6131489146939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D2-4156-87CE-6FF3DA826BB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D2-4156-87CE-6FF3DA826BB1}"/>
                </c:ext>
              </c:extLst>
            </c:dLbl>
            <c:dLbl>
              <c:idx val="7"/>
              <c:layout>
                <c:manualLayout>
                  <c:x val="-6.1350438556511157E-2"/>
                  <c:y val="4.5460321819442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D2-4156-87CE-6FF3DA826BB1}"/>
                </c:ext>
              </c:extLst>
            </c:dLbl>
            <c:dLbl>
              <c:idx val="8"/>
              <c:layout>
                <c:manualLayout>
                  <c:x val="-4.2469208900461165E-2"/>
                  <c:y val="5.1770092755217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D2-4156-87CE-6FF3DA826BB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D2-4156-87CE-6FF3DA826BB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D2-4156-87CE-6FF3DA826BB1}"/>
                </c:ext>
              </c:extLst>
            </c:dLbl>
            <c:dLbl>
              <c:idx val="11"/>
              <c:layout>
                <c:manualLayout>
                  <c:x val="-1.7937044545657893E-2"/>
                  <c:y val="5.325709411876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D2-4156-87CE-6FF3DA826BB1}"/>
                </c:ext>
              </c:extLst>
            </c:dLbl>
            <c:numFmt formatCode="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trans_dist_cust!$A$2:$A$13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trans_dist_cust!$C$2:$C$13</c:f>
              <c:numCache>
                <c:formatCode>_(* #,##0_);_(* \(#,##0\);_(* "-"??_);_(@_)</c:formatCode>
                <c:ptCount val="12"/>
                <c:pt idx="0">
                  <c:v>67751</c:v>
                </c:pt>
                <c:pt idx="1">
                  <c:v>62336</c:v>
                </c:pt>
                <c:pt idx="2">
                  <c:v>68567</c:v>
                </c:pt>
                <c:pt idx="3">
                  <c:v>77696</c:v>
                </c:pt>
                <c:pt idx="4">
                  <c:v>82688</c:v>
                </c:pt>
                <c:pt idx="5">
                  <c:v>100109</c:v>
                </c:pt>
                <c:pt idx="6">
                  <c:v>95093</c:v>
                </c:pt>
                <c:pt idx="7">
                  <c:v>67198</c:v>
                </c:pt>
                <c:pt idx="8">
                  <c:v>66172</c:v>
                </c:pt>
                <c:pt idx="9">
                  <c:v>63498</c:v>
                </c:pt>
                <c:pt idx="10">
                  <c:v>65849</c:v>
                </c:pt>
                <c:pt idx="11">
                  <c:v>62304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2-4156-87CE-6FF3DA82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088303"/>
        <c:axId val="598502063"/>
        <c:extLst/>
      </c:lineChart>
      <c:catAx>
        <c:axId val="743088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8502063"/>
        <c:crosses val="autoZero"/>
        <c:auto val="1"/>
        <c:lblAlgn val="ctr"/>
        <c:lblOffset val="100"/>
        <c:noMultiLvlLbl val="0"/>
      </c:catAx>
      <c:valAx>
        <c:axId val="598502063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74308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0829027283644"/>
          <c:y val="0.1244101965059663"/>
          <c:w val="0.86116680399306578"/>
          <c:h val="0.71597509118973435"/>
        </c:manualLayout>
      </c:layout>
      <c:lineChart>
        <c:grouping val="standard"/>
        <c:varyColors val="0"/>
        <c:ser>
          <c:idx val="0"/>
          <c:order val="0"/>
          <c:tx>
            <c:strRef>
              <c:f>trans_dist_cust!$D$1</c:f>
              <c:strCache>
                <c:ptCount val="1"/>
                <c:pt idx="0">
                  <c:v>monthly_aov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DB5-4A2A-9024-4E0974BDF515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DB5-4A2A-9024-4E0974BDF515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DB5-4A2A-9024-4E0974BDF515}"/>
              </c:ext>
            </c:extLst>
          </c:dPt>
          <c:dPt>
            <c:idx val="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DB5-4A2A-9024-4E0974BDF51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5B9BD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DB5-4A2A-9024-4E0974BDF515}"/>
              </c:ext>
            </c:extLst>
          </c:dPt>
          <c:dPt>
            <c:idx val="7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DB5-4A2A-9024-4E0974BDF515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DB5-4A2A-9024-4E0974BDF515}"/>
              </c:ext>
            </c:extLst>
          </c:dPt>
          <c:dPt>
            <c:idx val="1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DB5-4A2A-9024-4E0974BDF51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B5-4A2A-9024-4E0974BDF515}"/>
                </c:ext>
              </c:extLst>
            </c:dLbl>
            <c:dLbl>
              <c:idx val="1"/>
              <c:layout>
                <c:manualLayout>
                  <c:x val="-7.9837904990942121E-2"/>
                  <c:y val="-7.5377825787451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B5-4A2A-9024-4E0974BDF5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B5-4A2A-9024-4E0974BDF5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B5-4A2A-9024-4E0974BDF51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B5-4A2A-9024-4E0974BDF515}"/>
                </c:ext>
              </c:extLst>
            </c:dLbl>
            <c:dLbl>
              <c:idx val="5"/>
              <c:layout>
                <c:manualLayout>
                  <c:x val="-4.0413633814277976E-2"/>
                  <c:y val="-5.441231288152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B5-4A2A-9024-4E0974BDF515}"/>
                </c:ext>
              </c:extLst>
            </c:dLbl>
            <c:dLbl>
              <c:idx val="6"/>
              <c:layout>
                <c:manualLayout>
                  <c:x val="-4.2301760222279126E-2"/>
                  <c:y val="-5.869739000008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B5-4A2A-9024-4E0974BDF51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B5-4A2A-9024-4E0974BDF515}"/>
                </c:ext>
              </c:extLst>
            </c:dLbl>
            <c:dLbl>
              <c:idx val="8"/>
              <c:layout>
                <c:manualLayout>
                  <c:x val="-4.3013828025595405E-2"/>
                  <c:y val="-6.1762508324355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B5-4A2A-9024-4E0974BDF51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B5-4A2A-9024-4E0974BDF51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B5-4A2A-9024-4E0974BDF515}"/>
                </c:ext>
              </c:extLst>
            </c:dLbl>
            <c:dLbl>
              <c:idx val="11"/>
              <c:layout>
                <c:manualLayout>
                  <c:x val="-1.9028247541685264E-2"/>
                  <c:y val="-7.0148770306557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B5-4A2A-9024-4E0974BDF5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trans_dist_cust!$A$2:$A$13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trans_dist_cust!$D$2:$D$13</c:f>
              <c:numCache>
                <c:formatCode>_([$$-409]* #,##0.00_);_([$$-409]* \(#,##0.00\);_([$$-409]* "-"??_);_(@_)</c:formatCode>
                <c:ptCount val="12"/>
                <c:pt idx="0">
                  <c:v>3.1708456349552998</c:v>
                </c:pt>
                <c:pt idx="1">
                  <c:v>3.2180989976662899</c:v>
                </c:pt>
                <c:pt idx="2">
                  <c:v>3.4931869240928801</c:v>
                </c:pt>
                <c:pt idx="3">
                  <c:v>3.5075548700633901</c:v>
                </c:pt>
                <c:pt idx="4">
                  <c:v>3.3482112874379801</c:v>
                </c:pt>
                <c:pt idx="5">
                  <c:v>3.11005467781726</c:v>
                </c:pt>
                <c:pt idx="6">
                  <c:v>2.7046633523360502</c:v>
                </c:pt>
                <c:pt idx="7">
                  <c:v>2.9172160181804099</c:v>
                </c:pt>
                <c:pt idx="8">
                  <c:v>3.9014316983178099</c:v>
                </c:pt>
                <c:pt idx="9">
                  <c:v>3.74232845284638</c:v>
                </c:pt>
                <c:pt idx="10">
                  <c:v>3.7692628241794299</c:v>
                </c:pt>
                <c:pt idx="11">
                  <c:v>3.2093556973137698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5-4A2A-9024-4E0974BDF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17583"/>
        <c:axId val="2094909423"/>
        <c:extLst/>
      </c:lineChart>
      <c:catAx>
        <c:axId val="1535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909423"/>
        <c:crosses val="autoZero"/>
        <c:auto val="1"/>
        <c:lblAlgn val="ctr"/>
        <c:lblOffset val="100"/>
        <c:noMultiLvlLbl val="0"/>
      </c:catAx>
      <c:valAx>
        <c:axId val="2094909423"/>
        <c:scaling>
          <c:orientation val="minMax"/>
        </c:scaling>
        <c:delete val="1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crossAx val="1535175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30088748418791"/>
          <c:y val="0.2070909867577958"/>
          <c:w val="0.86116680399306578"/>
          <c:h val="0.5287918674489156"/>
        </c:manualLayout>
      </c:layout>
      <c:lineChart>
        <c:grouping val="standard"/>
        <c:varyColors val="0"/>
        <c:ser>
          <c:idx val="1"/>
          <c:order val="1"/>
          <c:tx>
            <c:strRef>
              <c:f>trans_dist_cust!$E$1</c:f>
              <c:strCache>
                <c:ptCount val="1"/>
                <c:pt idx="0">
                  <c:v>avg_orders_per_customer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04E-47F5-885D-CB67734ED94E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04E-47F5-885D-CB67734ED94E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04E-47F5-885D-CB67734ED94E}"/>
              </c:ext>
            </c:extLst>
          </c:dPt>
          <c:dPt>
            <c:idx val="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04E-47F5-885D-CB67734ED94E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5B9BD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49D-4E43-8562-F5CC99AAE06E}"/>
              </c:ext>
            </c:extLst>
          </c:dPt>
          <c:dPt>
            <c:idx val="7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04E-47F5-885D-CB67734ED94E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04E-47F5-885D-CB67734ED94E}"/>
              </c:ext>
            </c:extLst>
          </c:dPt>
          <c:dPt>
            <c:idx val="1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04E-47F5-885D-CB67734ED94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4E-47F5-885D-CB67734ED94E}"/>
                </c:ext>
              </c:extLst>
            </c:dLbl>
            <c:dLbl>
              <c:idx val="1"/>
              <c:layout>
                <c:manualLayout>
                  <c:x val="-1.0664407715589819E-2"/>
                  <c:y val="7.10913738734536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9D-4E43-8562-F5CC99AAE06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4E-47F5-885D-CB67734ED9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4E-47F5-885D-CB67734ED9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4E-47F5-885D-CB67734ED94E}"/>
                </c:ext>
              </c:extLst>
            </c:dLbl>
            <c:dLbl>
              <c:idx val="5"/>
              <c:layout>
                <c:manualLayout>
                  <c:x val="-3.9340270075954968E-2"/>
                  <c:y val="0.10485348796264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04E-47F5-885D-CB67734ED94E}"/>
                </c:ext>
              </c:extLst>
            </c:dLbl>
            <c:dLbl>
              <c:idx val="6"/>
              <c:layout>
                <c:manualLayout>
                  <c:x val="-4.0364521910424632E-2"/>
                  <c:y val="9.2615068231989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9D-4E43-8562-F5CC99AAE06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04E-47F5-885D-CB67734ED94E}"/>
                </c:ext>
              </c:extLst>
            </c:dLbl>
            <c:dLbl>
              <c:idx val="8"/>
              <c:layout>
                <c:manualLayout>
                  <c:x val="-4.2109580727538384E-2"/>
                  <c:y val="9.6033178905433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04E-47F5-885D-CB67734ED94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04E-47F5-885D-CB67734ED9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04E-47F5-885D-CB67734ED94E}"/>
                </c:ext>
              </c:extLst>
            </c:dLbl>
            <c:dLbl>
              <c:idx val="11"/>
              <c:layout>
                <c:manualLayout>
                  <c:x val="-4.0364521910424549E-2"/>
                  <c:y val="7.2768982182277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9D-4E43-8562-F5CC99AAE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trans_dist_cust!$A$2:$A$13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trans_dist_cust!$E$2:$E$13</c:f>
              <c:numCache>
                <c:formatCode>0.000</c:formatCode>
                <c:ptCount val="12"/>
                <c:pt idx="0">
                  <c:v>1.0945057430413101</c:v>
                </c:pt>
                <c:pt idx="1">
                  <c:v>1.0865798602032499</c:v>
                </c:pt>
                <c:pt idx="2">
                  <c:v>1.0995349583066101</c:v>
                </c:pt>
                <c:pt idx="3">
                  <c:v>1.10703294198108</c:v>
                </c:pt>
                <c:pt idx="4">
                  <c:v>1.1124145724587</c:v>
                </c:pt>
                <c:pt idx="5">
                  <c:v>1.1203764842814501</c:v>
                </c:pt>
                <c:pt idx="6">
                  <c:v>1.12270365997639</c:v>
                </c:pt>
                <c:pt idx="7">
                  <c:v>1.1067411103974201</c:v>
                </c:pt>
                <c:pt idx="8">
                  <c:v>1.0904177309055001</c:v>
                </c:pt>
                <c:pt idx="9">
                  <c:v>1.0821063394682999</c:v>
                </c:pt>
                <c:pt idx="10">
                  <c:v>1.0876222251585601</c:v>
                </c:pt>
                <c:pt idx="11">
                  <c:v>1.0812912183269701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04E-47F5-885D-CB67734ED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17583"/>
        <c:axId val="2094909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trans_dist_cust!$E$1</c15:sqref>
                        </c15:formulaRef>
                      </c:ext>
                    </c:extLst>
                    <c:strCache>
                      <c:ptCount val="1"/>
                      <c:pt idx="0">
                        <c:v>avg_orders_per_customer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trans_dist_cust!$A$2:$A$13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trans_dist_cust!$E$2:$E$13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1.0945057430413101</c:v>
                      </c:pt>
                      <c:pt idx="1">
                        <c:v>1.0865798602032499</c:v>
                      </c:pt>
                      <c:pt idx="2">
                        <c:v>1.0995349583066101</c:v>
                      </c:pt>
                      <c:pt idx="3">
                        <c:v>1.10703294198108</c:v>
                      </c:pt>
                      <c:pt idx="4">
                        <c:v>1.1124145724587</c:v>
                      </c:pt>
                      <c:pt idx="5">
                        <c:v>1.1203764842814501</c:v>
                      </c:pt>
                      <c:pt idx="6">
                        <c:v>1.12270365997639</c:v>
                      </c:pt>
                      <c:pt idx="7">
                        <c:v>1.1067411103974201</c:v>
                      </c:pt>
                      <c:pt idx="8">
                        <c:v>1.0904177309055001</c:v>
                      </c:pt>
                      <c:pt idx="9">
                        <c:v>1.0821063394682999</c:v>
                      </c:pt>
                      <c:pt idx="10">
                        <c:v>1.0876222251585601</c:v>
                      </c:pt>
                      <c:pt idx="11">
                        <c:v>1.0812912183269701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004E-47F5-885D-CB67734ED94E}"/>
                  </c:ext>
                </c:extLst>
              </c15:ser>
            </c15:filteredLineSeries>
          </c:ext>
        </c:extLst>
      </c:lineChart>
      <c:catAx>
        <c:axId val="153517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4909423"/>
        <c:crosses val="autoZero"/>
        <c:auto val="1"/>
        <c:lblAlgn val="ctr"/>
        <c:lblOffset val="100"/>
        <c:noMultiLvlLbl val="0"/>
      </c:catAx>
      <c:valAx>
        <c:axId val="2094909423"/>
        <c:scaling>
          <c:orientation val="minMax"/>
        </c:scaling>
        <c:delete val="1"/>
        <c:axPos val="l"/>
        <c:numFmt formatCode="0.000" sourceLinked="1"/>
        <c:majorTickMark val="out"/>
        <c:minorTickMark val="none"/>
        <c:tickLblPos val="nextTo"/>
        <c:crossAx val="1535175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subscription!$N$1</c:f>
              <c:strCache>
                <c:ptCount val="1"/>
                <c:pt idx="0">
                  <c:v>rate of non subscribers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subscription!$J$2:$J$5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subscription!$N$2:$N$5</c:f>
              <c:numCache>
                <c:formatCode>General</c:formatCode>
                <c:ptCount val="4"/>
                <c:pt idx="0">
                  <c:v>0.55169522744883825</c:v>
                </c:pt>
                <c:pt idx="1">
                  <c:v>0.6437370402213729</c:v>
                </c:pt>
                <c:pt idx="2">
                  <c:v>0.57666573180015224</c:v>
                </c:pt>
                <c:pt idx="3">
                  <c:v>0.52484013772749627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A-483E-B1B9-D1F327B1401A}"/>
            </c:ext>
          </c:extLst>
        </c:ser>
        <c:ser>
          <c:idx val="1"/>
          <c:order val="1"/>
          <c:tx>
            <c:strRef>
              <c:f>subscription!$O$1</c:f>
              <c:strCache>
                <c:ptCount val="1"/>
                <c:pt idx="0">
                  <c:v>rate of subscribers</c:v>
                </c:pt>
              </c:strCache>
            </c:strRef>
          </c:tx>
          <c:spPr>
            <a:solidFill>
              <a:srgbClr val="CBC2DF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75-41C0-AFD5-12B7D4181B0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subscription!$J$2:$J$5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subscription!$O$2:$O$5</c:f>
              <c:numCache>
                <c:formatCode>General</c:formatCode>
                <c:ptCount val="4"/>
                <c:pt idx="0">
                  <c:v>0.44830477255116169</c:v>
                </c:pt>
                <c:pt idx="1">
                  <c:v>0.3562629597786271</c:v>
                </c:pt>
                <c:pt idx="2">
                  <c:v>0.42333426819984776</c:v>
                </c:pt>
                <c:pt idx="3">
                  <c:v>0.47515986227250367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A-483E-B1B9-D1F327B14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62141247"/>
        <c:axId val="598516943"/>
      </c:barChart>
      <c:catAx>
        <c:axId val="66214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16943"/>
        <c:crosses val="autoZero"/>
        <c:auto val="1"/>
        <c:lblAlgn val="ctr"/>
        <c:lblOffset val="100"/>
        <c:noMultiLvlLbl val="0"/>
      </c:catAx>
      <c:valAx>
        <c:axId val="5985169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214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subscription!$V$1</c:f>
              <c:strCache>
                <c:ptCount val="1"/>
                <c:pt idx="0">
                  <c:v>arpu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86E-4CAA-BB29-05110F27A611}"/>
              </c:ext>
            </c:extLst>
          </c:dPt>
          <c:dPt>
            <c:idx val="1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86E-4CAA-BB29-05110F27A61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6E-4CAA-BB29-05110F27A611}"/>
              </c:ext>
            </c:extLst>
          </c:dPt>
          <c:dPt>
            <c:idx val="3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86E-4CAA-BB29-05110F27A611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86E-4CAA-BB29-05110F27A611}"/>
              </c:ext>
            </c:extLst>
          </c:dPt>
          <c:dPt>
            <c:idx val="5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86E-4CAA-BB29-05110F27A611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86E-4CAA-BB29-05110F27A611}"/>
              </c:ext>
            </c:extLst>
          </c:dPt>
          <c:dPt>
            <c:idx val="7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6E-4CAA-BB29-05110F27A6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subscription!$Q$2:$R$9</c:f>
              <c:multiLvlStrCache>
                <c:ptCount val="8"/>
                <c:lvl>
                  <c:pt idx="1">
                    <c:v> </c:v>
                  </c:pt>
                  <c:pt idx="3">
                    <c:v> </c:v>
                  </c:pt>
                  <c:pt idx="7">
                    <c:v> </c:v>
                  </c:pt>
                </c:lvl>
                <c:lvl>
                  <c:pt idx="0">
                    <c:v>Under 25 (Gen Z)</c:v>
                  </c:pt>
                  <c:pt idx="2">
                    <c:v>25-38 (Millennials)</c:v>
                  </c:pt>
                  <c:pt idx="4">
                    <c:v>39-55
(Gen X)</c:v>
                  </c:pt>
                  <c:pt idx="6">
                    <c:v>56+</c:v>
                  </c:pt>
                </c:lvl>
              </c:multiLvlStrCache>
            </c:multiLvlStrRef>
          </c:cat>
          <c:val>
            <c:numRef>
              <c:f>subscription!$V$2:$V$9</c:f>
              <c:numCache>
                <c:formatCode>_([$$-409]* #,##0.00_);_([$$-409]* \(#,##0.00\);_([$$-409]* "-"??_);_(@_)</c:formatCode>
                <c:ptCount val="8"/>
                <c:pt idx="0">
                  <c:v>5.0716329071044903</c:v>
                </c:pt>
                <c:pt idx="1">
                  <c:v>5.3284009243211017</c:v>
                </c:pt>
                <c:pt idx="2">
                  <c:v>6.7123165833078486</c:v>
                </c:pt>
                <c:pt idx="3">
                  <c:v>7.4145378398297304</c:v>
                </c:pt>
                <c:pt idx="4">
                  <c:v>6.215486011648875</c:v>
                </c:pt>
                <c:pt idx="5">
                  <c:v>7.0543066302522011</c:v>
                </c:pt>
                <c:pt idx="6">
                  <c:v>5.8709807026816101</c:v>
                </c:pt>
                <c:pt idx="7">
                  <c:v>6.7373143284280541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83-4BAE-9F09-85CB970CD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82210191"/>
        <c:axId val="574484687"/>
        <c:extLst/>
      </c:barChart>
      <c:catAx>
        <c:axId val="582210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84687"/>
        <c:crosses val="autoZero"/>
        <c:auto val="1"/>
        <c:lblAlgn val="ctr"/>
        <c:lblOffset val="100"/>
        <c:noMultiLvlLbl val="0"/>
      </c:catAx>
      <c:valAx>
        <c:axId val="574484687"/>
        <c:scaling>
          <c:orientation val="minMax"/>
        </c:scaling>
        <c:delete val="1"/>
        <c:axPos val="t"/>
        <c:numFmt formatCode="_([$$-409]* #,##0.00_);_([$$-409]* \(#,##0.00\);_([$$-409]* &quot;-&quot;??_);_(@_)" sourceLinked="1"/>
        <c:majorTickMark val="none"/>
        <c:minorTickMark val="none"/>
        <c:tickLblPos val="nextTo"/>
        <c:crossAx val="58221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subscription!$W$1</c:f>
              <c:strCache>
                <c:ptCount val="1"/>
                <c:pt idx="0">
                  <c:v>aov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F8-47A9-B7E8-E575738EA2F7}"/>
              </c:ext>
            </c:extLst>
          </c:dPt>
          <c:dPt>
            <c:idx val="3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4F8-47A9-B7E8-E575738EA2F7}"/>
              </c:ext>
            </c:extLst>
          </c:dPt>
          <c:dPt>
            <c:idx val="5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F8-47A9-B7E8-E575738EA2F7}"/>
              </c:ext>
            </c:extLst>
          </c:dPt>
          <c:dPt>
            <c:idx val="7"/>
            <c:invertIfNegative val="0"/>
            <c:bubble3D val="0"/>
            <c:spPr>
              <a:solidFill>
                <a:srgbClr val="CBC2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4F8-47A9-B7E8-E575738EA2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subscription!$Q$2:$R$9</c:f>
              <c:multiLvlStrCache>
                <c:ptCount val="8"/>
                <c:lvl>
                  <c:pt idx="1">
                    <c:v> </c:v>
                  </c:pt>
                  <c:pt idx="3">
                    <c:v> </c:v>
                  </c:pt>
                  <c:pt idx="7">
                    <c:v> </c:v>
                  </c:pt>
                </c:lvl>
                <c:lvl>
                  <c:pt idx="0">
                    <c:v>Under 25 (Gen Z)</c:v>
                  </c:pt>
                  <c:pt idx="2">
                    <c:v>25-38 (Millennials)</c:v>
                  </c:pt>
                  <c:pt idx="4">
                    <c:v>39-55
(Gen X)</c:v>
                  </c:pt>
                  <c:pt idx="6">
                    <c:v>56+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subscription!$W$2:$W$9</c:f>
              <c:numCache>
                <c:formatCode>_([$$-409]* #,##0.00_);_([$$-409]* \(#,##0.00\);_([$$-409]* "-"??_);_(@_)</c:formatCode>
                <c:ptCount val="8"/>
                <c:pt idx="0">
                  <c:v>3.0621578917773946</c:v>
                </c:pt>
                <c:pt idx="1">
                  <c:v>2.9384723102199581</c:v>
                </c:pt>
                <c:pt idx="2">
                  <c:v>3.4550610077363908</c:v>
                </c:pt>
                <c:pt idx="3">
                  <c:v>3.3674507320672369</c:v>
                </c:pt>
                <c:pt idx="4">
                  <c:v>3.3612117175552458</c:v>
                </c:pt>
                <c:pt idx="5">
                  <c:v>3.305723643652057</c:v>
                </c:pt>
                <c:pt idx="6">
                  <c:v>3.4270881823507082</c:v>
                </c:pt>
                <c:pt idx="7">
                  <c:v>3.409938045195954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152E-458C-8CD1-7EFE14FB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82210191"/>
        <c:axId val="574484687"/>
        <c:extLst/>
      </c:barChart>
      <c:catAx>
        <c:axId val="582210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84687"/>
        <c:crosses val="autoZero"/>
        <c:auto val="1"/>
        <c:lblAlgn val="ctr"/>
        <c:lblOffset val="100"/>
        <c:noMultiLvlLbl val="0"/>
      </c:catAx>
      <c:valAx>
        <c:axId val="574484687"/>
        <c:scaling>
          <c:orientation val="minMax"/>
        </c:scaling>
        <c:delete val="1"/>
        <c:axPos val="t"/>
        <c:numFmt formatCode="_([$$-409]* #,##0.00_);_([$$-409]* \(#,##0.00\);_([$$-409]* &quot;-&quot;??_);_(@_)" sourceLinked="1"/>
        <c:majorTickMark val="none"/>
        <c:minorTickMark val="none"/>
        <c:tickLblPos val="nextTo"/>
        <c:crossAx val="58221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CBC2DF"/>
            </a:solidFill>
            <a:ln w="19050">
              <a:solidFill>
                <a:schemeClr val="bg1"/>
              </a:solidFill>
            </a:ln>
            <a:effectLst/>
          </c:spPr>
          <c:dPt>
            <c:idx val="0"/>
            <c:bubble3D val="0"/>
            <c:spPr>
              <a:solidFill>
                <a:srgbClr val="CBC2DF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D7-4A38-94EF-7E136BB8089E}"/>
              </c:ext>
            </c:extLst>
          </c:dPt>
          <c:dPt>
            <c:idx val="1"/>
            <c:bubble3D val="0"/>
            <c:spPr>
              <a:solidFill>
                <a:srgbClr val="6A51A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D7-4A38-94EF-7E136BB8089E}"/>
              </c:ext>
            </c:extLst>
          </c:dPt>
          <c:dPt>
            <c:idx val="2"/>
            <c:bubble3D val="0"/>
            <c:spPr>
              <a:solidFill>
                <a:srgbClr val="6A51A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D7-4A38-94EF-7E136BB8089E}"/>
              </c:ext>
            </c:extLst>
          </c:dPt>
          <c:dPt>
            <c:idx val="3"/>
            <c:bubble3D val="0"/>
            <c:spPr>
              <a:solidFill>
                <a:srgbClr val="CBC2DF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D7-4A38-94EF-7E136BB8089E}"/>
              </c:ext>
            </c:extLst>
          </c:dPt>
          <c:dLbls>
            <c:dLbl>
              <c:idx val="1"/>
              <c:layout>
                <c:manualLayout>
                  <c:x val="-0.18332266312388981"/>
                  <c:y val="-0.168762828294566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82508163044364"/>
                      <c:h val="0.25786172035250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0D7-4A38-94EF-7E136BB8089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subscription!$J$2:$J$5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subscription!$K$2:$K$5</c:f>
              <c:numCache>
                <c:formatCode>General</c:formatCode>
                <c:ptCount val="4"/>
                <c:pt idx="0">
                  <c:v>78721</c:v>
                </c:pt>
                <c:pt idx="1">
                  <c:v>138409</c:v>
                </c:pt>
                <c:pt idx="2">
                  <c:v>99836</c:v>
                </c:pt>
                <c:pt idx="3">
                  <c:v>36594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B-4B51-B680-FCD2A6FF2E3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661007587944323E-2"/>
          <c:y val="0.23015353594479501"/>
          <c:w val="0.94181767653915804"/>
          <c:h val="0.71848152443198909"/>
        </c:manualLayout>
      </c:layout>
      <c:lineChart>
        <c:grouping val="standard"/>
        <c:varyColors val="0"/>
        <c:ser>
          <c:idx val="0"/>
          <c:order val="0"/>
          <c:tx>
            <c:strRef>
              <c:f>ranking!$K$3</c:f>
              <c:strCache>
                <c:ptCount val="1"/>
                <c:pt idx="0">
                  <c:v>TROUSERS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6A51A3"/>
              </a:solidFill>
              <a:ln w="9525">
                <a:noFill/>
              </a:ln>
              <a:effectLst/>
            </c:spPr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91-4776-8307-9181FB98604C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91-4776-8307-9181FB9860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ranking!$L$3:$O$3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B-4E0B-AB4C-CAA587E616C1}"/>
            </c:ext>
          </c:extLst>
        </c:ser>
        <c:ser>
          <c:idx val="1"/>
          <c:order val="1"/>
          <c:tx>
            <c:strRef>
              <c:f>ranking!$K$4</c:f>
              <c:strCache>
                <c:ptCount val="1"/>
                <c:pt idx="0">
                  <c:v>DRESS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6A51A3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ranking!$L$4:$O$4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B-4E0B-AB4C-CAA587E616C1}"/>
            </c:ext>
          </c:extLst>
        </c:ser>
        <c:ser>
          <c:idx val="2"/>
          <c:order val="2"/>
          <c:tx>
            <c:strRef>
              <c:f>ranking!$K$5</c:f>
              <c:strCache>
                <c:ptCount val="1"/>
                <c:pt idx="0">
                  <c:v>SWEATER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6A51A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12"/>
              <c:spPr>
                <a:solidFill>
                  <a:srgbClr val="6A51A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B2B-4E0B-AB4C-CAA587E616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ranking!$L$5:$O$5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B-4E0B-AB4C-CAA587E616C1}"/>
            </c:ext>
          </c:extLst>
        </c:ser>
        <c:ser>
          <c:idx val="3"/>
          <c:order val="3"/>
          <c:tx>
            <c:strRef>
              <c:f>ranking!$K$6</c:f>
              <c:strCache>
                <c:ptCount val="1"/>
                <c:pt idx="0">
                  <c:v>T-SHIRT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ranking!$L$6:$O$6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2B-4E0B-AB4C-CAA587E616C1}"/>
            </c:ext>
          </c:extLst>
        </c:ser>
        <c:ser>
          <c:idx val="4"/>
          <c:order val="4"/>
          <c:tx>
            <c:strRef>
              <c:f>ranking!$K$7</c:f>
              <c:strCache>
                <c:ptCount val="1"/>
                <c:pt idx="0">
                  <c:v>BIKINI TOP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ranking!$L$7:$O$7</c:f>
              <c:numCache>
                <c:formatCode>General</c:formatCode>
                <c:ptCount val="4"/>
                <c:pt idx="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2B-4E0B-AB4C-CAA587E616C1}"/>
            </c:ext>
          </c:extLst>
        </c:ser>
        <c:ser>
          <c:idx val="5"/>
          <c:order val="5"/>
          <c:tx>
            <c:strRef>
              <c:f>ranking!$K$8</c:f>
              <c:strCache>
                <c:ptCount val="1"/>
                <c:pt idx="0">
                  <c:v>TOP</c:v>
                </c:pt>
              </c:strCache>
            </c:strRef>
          </c:tx>
          <c:spPr>
            <a:ln w="28575" cap="rnd">
              <a:solidFill>
                <a:srgbClr val="CBC2DF">
                  <a:alpha val="91000"/>
                </a:srgb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ranking!$L$8:$O$8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2B-4E0B-AB4C-CAA587E616C1}"/>
            </c:ext>
          </c:extLst>
        </c:ser>
        <c:ser>
          <c:idx val="6"/>
          <c:order val="6"/>
          <c:tx>
            <c:strRef>
              <c:f>ranking!$K$9</c:f>
              <c:strCache>
                <c:ptCount val="1"/>
                <c:pt idx="0">
                  <c:v>SWIMWEAR BOTTOM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ranking!$L$9:$O$9</c:f>
              <c:numCache>
                <c:formatCode>General</c:formatCode>
                <c:ptCount val="4"/>
                <c:pt idx="0">
                  <c:v>7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2B-4E0B-AB4C-CAA587E616C1}"/>
            </c:ext>
          </c:extLst>
        </c:ser>
        <c:ser>
          <c:idx val="7"/>
          <c:order val="7"/>
          <c:tx>
            <c:strRef>
              <c:f>ranking!$K$10</c:f>
              <c:strCache>
                <c:ptCount val="1"/>
                <c:pt idx="0">
                  <c:v>BRA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ranking!$L$10:$O$10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2B-4E0B-AB4C-CAA587E616C1}"/>
            </c:ext>
          </c:extLst>
        </c:ser>
        <c:ser>
          <c:idx val="8"/>
          <c:order val="8"/>
          <c:tx>
            <c:strRef>
              <c:f>ranking!$K$11</c:f>
              <c:strCache>
                <c:ptCount val="1"/>
                <c:pt idx="0">
                  <c:v>VEST TOP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ranking!$L$11:$O$11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2B-4E0B-AB4C-CAA587E616C1}"/>
            </c:ext>
          </c:extLst>
        </c:ser>
        <c:ser>
          <c:idx val="9"/>
          <c:order val="9"/>
          <c:tx>
            <c:strRef>
              <c:f>ranking!$K$12</c:f>
              <c:strCache>
                <c:ptCount val="1"/>
                <c:pt idx="0">
                  <c:v>BLOUSE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ranking!$L$12:$O$12</c:f>
              <c:numCache>
                <c:formatCode>General</c:formatCode>
                <c:ptCount val="4"/>
                <c:pt idx="0">
                  <c:v>10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B2B-4E0B-AB4C-CAA587E616C1}"/>
            </c:ext>
          </c:extLst>
        </c:ser>
        <c:ser>
          <c:idx val="10"/>
          <c:order val="10"/>
          <c:tx>
            <c:strRef>
              <c:f>ranking!$K$13</c:f>
              <c:strCache>
                <c:ptCount val="1"/>
                <c:pt idx="0">
                  <c:v>SHORTS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ranking!$L$13:$O$13</c:f>
              <c:numCache>
                <c:formatCode>General</c:formatCode>
                <c:ptCount val="4"/>
                <c:pt idx="1">
                  <c:v>9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2B-4E0B-AB4C-CAA587E616C1}"/>
            </c:ext>
          </c:extLst>
        </c:ser>
        <c:ser>
          <c:idx val="11"/>
          <c:order val="11"/>
          <c:tx>
            <c:strRef>
              <c:f>ranking!$K$14</c:f>
              <c:strCache>
                <c:ptCount val="1"/>
                <c:pt idx="0">
                  <c:v>SHIRT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ranking!$L$14:$O$14</c:f>
              <c:numCache>
                <c:formatCode>General</c:formatCode>
                <c:ptCount val="4"/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B2B-4E0B-AB4C-CAA587E616C1}"/>
            </c:ext>
          </c:extLst>
        </c:ser>
        <c:ser>
          <c:idx val="12"/>
          <c:order val="12"/>
          <c:tx>
            <c:strRef>
              <c:f>ranking!$K$15</c:f>
              <c:strCache>
                <c:ptCount val="1"/>
                <c:pt idx="0">
                  <c:v>SKIRT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B2B-4E0B-AB4C-CAA587E616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ranking!$L$2:$O$2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ranking!$L$15:$O$15</c:f>
              <c:numCache>
                <c:formatCode>General</c:formatCode>
                <c:ptCount val="4"/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2B-4E0B-AB4C-CAA587E61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690736"/>
        <c:axId val="1456692656"/>
      </c:lineChart>
      <c:catAx>
        <c:axId val="145669073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692656"/>
        <c:crosses val="autoZero"/>
        <c:auto val="1"/>
        <c:lblAlgn val="ctr"/>
        <c:lblOffset val="100"/>
        <c:noMultiLvlLbl val="0"/>
      </c:catAx>
      <c:valAx>
        <c:axId val="1456692656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45669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661007587944323E-2"/>
          <c:y val="0.23015353594479501"/>
          <c:w val="0.94181767653915804"/>
          <c:h val="0.71848152443198909"/>
        </c:manualLayout>
      </c:layout>
      <c:lineChart>
        <c:grouping val="standard"/>
        <c:varyColors val="0"/>
        <c:ser>
          <c:idx val="0"/>
          <c:order val="0"/>
          <c:tx>
            <c:strRef>
              <c:f>ranking!$K$19</c:f>
              <c:strCache>
                <c:ptCount val="1"/>
                <c:pt idx="0">
                  <c:v>TROUSERS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6A51A3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ranking!$L$19:$O$19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2D9-4568-8394-9C9C359386FD}"/>
            </c:ext>
          </c:extLst>
        </c:ser>
        <c:ser>
          <c:idx val="1"/>
          <c:order val="1"/>
          <c:tx>
            <c:strRef>
              <c:f>ranking!$K$20</c:f>
              <c:strCache>
                <c:ptCount val="1"/>
                <c:pt idx="0">
                  <c:v>DRESS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6A51A3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ranking!$L$20:$O$20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2D9-4568-8394-9C9C359386FD}"/>
            </c:ext>
          </c:extLst>
        </c:ser>
        <c:ser>
          <c:idx val="2"/>
          <c:order val="2"/>
          <c:tx>
            <c:strRef>
              <c:f>ranking!$K$21</c:f>
              <c:strCache>
                <c:ptCount val="1"/>
                <c:pt idx="0">
                  <c:v>SWEATER</c:v>
                </c:pt>
              </c:strCache>
            </c:strRef>
          </c:tx>
          <c:spPr>
            <a:ln w="28575" cap="rnd">
              <a:solidFill>
                <a:srgbClr val="6A51A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6A51A3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ranking!$L$21:$O$21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2D9-4568-8394-9C9C359386FD}"/>
            </c:ext>
          </c:extLst>
        </c:ser>
        <c:ser>
          <c:idx val="3"/>
          <c:order val="3"/>
          <c:tx>
            <c:strRef>
              <c:f>ranking!$K$22</c:f>
              <c:strCache>
                <c:ptCount val="1"/>
                <c:pt idx="0">
                  <c:v>BIKINI TOP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ranking!$L$22:$O$22</c:f>
              <c:numCache>
                <c:formatCode>General</c:formatCode>
                <c:ptCount val="4"/>
                <c:pt idx="0">
                  <c:v>4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2D9-4568-8394-9C9C359386FD}"/>
            </c:ext>
          </c:extLst>
        </c:ser>
        <c:ser>
          <c:idx val="4"/>
          <c:order val="4"/>
          <c:tx>
            <c:strRef>
              <c:f>ranking!$K$23</c:f>
              <c:strCache>
                <c:ptCount val="1"/>
                <c:pt idx="0">
                  <c:v>BLOUSE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ranking!$L$23:$O$23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2D9-4568-8394-9C9C359386FD}"/>
            </c:ext>
          </c:extLst>
        </c:ser>
        <c:ser>
          <c:idx val="5"/>
          <c:order val="5"/>
          <c:tx>
            <c:strRef>
              <c:f>ranking!$K$24</c:f>
              <c:strCache>
                <c:ptCount val="1"/>
                <c:pt idx="0">
                  <c:v>BRA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ranking!$L$24:$O$24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2D9-4568-8394-9C9C359386FD}"/>
            </c:ext>
          </c:extLst>
        </c:ser>
        <c:ser>
          <c:idx val="6"/>
          <c:order val="6"/>
          <c:tx>
            <c:strRef>
              <c:f>ranking!$K$25</c:f>
              <c:strCache>
                <c:ptCount val="1"/>
                <c:pt idx="0">
                  <c:v>JACKET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ranking!$L$25:$O$25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2D9-4568-8394-9C9C359386FD}"/>
            </c:ext>
          </c:extLst>
        </c:ser>
        <c:ser>
          <c:idx val="7"/>
          <c:order val="7"/>
          <c:tx>
            <c:strRef>
              <c:f>ranking!$K$26</c:f>
              <c:strCache>
                <c:ptCount val="1"/>
                <c:pt idx="0">
                  <c:v>SKIRT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ranking!$L$26:$O$26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2D9-4568-8394-9C9C359386FD}"/>
            </c:ext>
          </c:extLst>
        </c:ser>
        <c:ser>
          <c:idx val="8"/>
          <c:order val="8"/>
          <c:tx>
            <c:strRef>
              <c:f>ranking!$K$27</c:f>
              <c:strCache>
                <c:ptCount val="1"/>
                <c:pt idx="0">
                  <c:v>SHORTS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ranking!$L$27:$O$27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2D9-4568-8394-9C9C359386FD}"/>
            </c:ext>
          </c:extLst>
        </c:ser>
        <c:ser>
          <c:idx val="9"/>
          <c:order val="9"/>
          <c:tx>
            <c:strRef>
              <c:f>ranking!$K$28</c:f>
              <c:strCache>
                <c:ptCount val="1"/>
                <c:pt idx="0">
                  <c:v>TOP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ranking!$L$28:$O$28</c:f>
              <c:numCache>
                <c:formatCode>General</c:formatCode>
                <c:ptCount val="4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2D9-4568-8394-9C9C359386FD}"/>
            </c:ext>
          </c:extLst>
        </c:ser>
        <c:ser>
          <c:idx val="10"/>
          <c:order val="10"/>
          <c:tx>
            <c:strRef>
              <c:f>ranking!$K$29</c:f>
              <c:strCache>
                <c:ptCount val="1"/>
                <c:pt idx="0">
                  <c:v>T-SHIRT</c:v>
                </c:pt>
              </c:strCache>
            </c:strRef>
          </c:tx>
          <c:spPr>
            <a:ln w="28575" cap="rnd">
              <a:solidFill>
                <a:srgbClr val="CBC2DF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ranking!$L$29:$O$29</c:f>
              <c:numCache>
                <c:formatCode>General</c:formatCode>
                <c:ptCount val="4"/>
                <c:pt idx="1">
                  <c:v>9</c:v>
                </c:pt>
                <c:pt idx="2">
                  <c:v>9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2D9-4568-8394-9C9C359386FD}"/>
            </c:ext>
          </c:extLst>
        </c:ser>
        <c:ser>
          <c:idx val="11"/>
          <c:order val="11"/>
          <c:tx>
            <c:strRef>
              <c:f>ranking!$K$30</c:f>
              <c:strCache>
                <c:ptCount val="1"/>
                <c:pt idx="0">
                  <c:v>SHIRT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ranking!$L$30:$O$30</c:f>
              <c:numCache>
                <c:formatCode>General</c:formatCode>
                <c:ptCount val="4"/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2D9-4568-8394-9C9C359386FD}"/>
            </c:ext>
          </c:extLst>
        </c:ser>
        <c:ser>
          <c:idx val="12"/>
          <c:order val="12"/>
          <c:tx>
            <c:strRef>
              <c:f>ranking!$K$31</c:f>
              <c:strCache>
                <c:ptCount val="1"/>
                <c:pt idx="0">
                  <c:v>BLAZER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BC2D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ranking!$L$18:$O$18</c:f>
              <c:strCache>
                <c:ptCount val="4"/>
                <c:pt idx="0">
                  <c:v>Under 25 (Gen Z)</c:v>
                </c:pt>
                <c:pt idx="1">
                  <c:v>25-38 (Millennials)</c:v>
                </c:pt>
                <c:pt idx="2">
                  <c:v>39-55 (Gen X)</c:v>
                </c:pt>
                <c:pt idx="3">
                  <c:v>56+</c:v>
                </c:pt>
              </c:strCache>
            </c:strRef>
          </c:cat>
          <c:val>
            <c:numRef>
              <c:f>ranking!$L$31:$O$31</c:f>
              <c:numCache>
                <c:formatCode>General</c:formatCode>
                <c:ptCount val="4"/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2D9-4568-8394-9C9C35938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690736"/>
        <c:axId val="1456692656"/>
      </c:lineChart>
      <c:catAx>
        <c:axId val="14566907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56692656"/>
        <c:crosses val="autoZero"/>
        <c:auto val="1"/>
        <c:lblAlgn val="ctr"/>
        <c:lblOffset val="100"/>
        <c:noMultiLvlLbl val="0"/>
      </c:catAx>
      <c:valAx>
        <c:axId val="1456692656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456690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 sz="1800" b="1">
                <a:solidFill>
                  <a:schemeClr val="bg1">
                    <a:lumMod val="65000"/>
                  </a:schemeClr>
                </a:solidFill>
              </a:rPr>
              <a:t>2019 Top 3 BestSellers by Month</a:t>
            </a:r>
          </a:p>
        </c:rich>
      </c:tx>
      <c:layout>
        <c:manualLayout>
          <c:xMode val="edge"/>
          <c:yMode val="edge"/>
          <c:x val="9.328178063237073E-3"/>
          <c:y val="8.908687010351029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64278707515866"/>
          <c:y val="5.655531470404513E-2"/>
          <c:w val="0.76733682425668037"/>
          <c:h val="0.928596873612036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'3bestsellers'!$A$39:$B$87</c15:sqref>
                  </c15:fullRef>
                </c:ext>
              </c:extLst>
              <c:f>('3bestsellers'!$A$41:$B$43,'3bestsellers'!$A$45:$B$47,'3bestsellers'!$A$49:$B$51,'3bestsellers'!$A$53:$B$55,'3bestsellers'!$A$57:$B$59,'3bestsellers'!$A$61:$B$63,'3bestsellers'!$A$65:$B$67,'3bestsellers'!$A$69:$B$71,'3bestsellers'!$A$73:$B$75,'3bestsellers'!$A$77:$B$79,'3bestsellers'!$A$81:$B$83,'3bestsellers'!$A$85:$B$87)</c:f>
              <c:multiLvlStrCache>
                <c:ptCount val="36"/>
                <c:lvl>
                  <c:pt idx="0">
                    <c:v>Jade HW Skinny Denim TRS</c:v>
                  </c:pt>
                  <c:pt idx="1">
                    <c:v>Timeless Sports Top</c:v>
                  </c:pt>
                  <c:pt idx="2">
                    <c:v>Luna skinny RW</c:v>
                  </c:pt>
                  <c:pt idx="3">
                    <c:v>Jade HW Skinny Denim TRS</c:v>
                  </c:pt>
                  <c:pt idx="4">
                    <c:v>Tilly (1)</c:v>
                  </c:pt>
                  <c:pt idx="5">
                    <c:v>SUPREME tights</c:v>
                  </c:pt>
                  <c:pt idx="6">
                    <c:v>Jade HW Skinny Denim TRS</c:v>
                  </c:pt>
                  <c:pt idx="7">
                    <c:v>Tilly (1)</c:v>
                  </c:pt>
                  <c:pt idx="8">
                    <c:v>Luna skinny RW</c:v>
                  </c:pt>
                  <c:pt idx="9">
                    <c:v>Kanta slacks RW</c:v>
                  </c:pt>
                  <c:pt idx="10">
                    <c:v>Tilly (1)</c:v>
                  </c:pt>
                  <c:pt idx="11">
                    <c:v>Timeless Midrise Brief</c:v>
                  </c:pt>
                  <c:pt idx="12">
                    <c:v>Simple as That Triangle Top</c:v>
                  </c:pt>
                  <c:pt idx="13">
                    <c:v>Cornelia Thong LP</c:v>
                  </c:pt>
                  <c:pt idx="14">
                    <c:v>Kelso HW fancy</c:v>
                  </c:pt>
                  <c:pt idx="15">
                    <c:v>Kelso HW fancy</c:v>
                  </c:pt>
                  <c:pt idx="16">
                    <c:v>Tilly (1)</c:v>
                  </c:pt>
                  <c:pt idx="17">
                    <c:v>Simple as That Triangle Top</c:v>
                  </c:pt>
                  <c:pt idx="18">
                    <c:v>Cat Tee.</c:v>
                  </c:pt>
                  <c:pt idx="19">
                    <c:v>Shake it in Balconette_</c:v>
                  </c:pt>
                  <c:pt idx="20">
                    <c:v>Kelso HW fancy</c:v>
                  </c:pt>
                  <c:pt idx="21">
                    <c:v>Jade HW Skinny Denim TRS</c:v>
                  </c:pt>
                  <c:pt idx="22">
                    <c:v>Mona polo</c:v>
                  </c:pt>
                  <c:pt idx="23">
                    <c:v>CAMILLA OL OFFER</c:v>
                  </c:pt>
                  <c:pt idx="24">
                    <c:v>Jade HW Skinny Denim TRS</c:v>
                  </c:pt>
                  <c:pt idx="25">
                    <c:v>Baraboom (1)</c:v>
                  </c:pt>
                  <c:pt idx="26">
                    <c:v>Henry polo. (1)</c:v>
                  </c:pt>
                  <c:pt idx="27">
                    <c:v>Jade HW Skinny Denim TRS</c:v>
                  </c:pt>
                  <c:pt idx="28">
                    <c:v>Luna skinny RW</c:v>
                  </c:pt>
                  <c:pt idx="29">
                    <c:v>Henry polo. (1)</c:v>
                  </c:pt>
                  <c:pt idx="30">
                    <c:v>Jade HW Skinny Denim TRS</c:v>
                  </c:pt>
                  <c:pt idx="31">
                    <c:v>Luna skinny RW</c:v>
                  </c:pt>
                  <c:pt idx="32">
                    <c:v>Henry polo. (1)</c:v>
                  </c:pt>
                  <c:pt idx="33">
                    <c:v>Luna skinny RW</c:v>
                  </c:pt>
                  <c:pt idx="34">
                    <c:v>Jade HW Skinny Denim TRS</c:v>
                  </c:pt>
                  <c:pt idx="35">
                    <c:v>Madison skinny HW (1)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'3bestsellers'!$C$39:$C$87</c15:sqref>
                  </c15:fullRef>
                </c:ext>
              </c:extLst>
              <c:f>('3bestsellers'!$C$41:$C$43,'3bestsellers'!$C$45:$C$47,'3bestsellers'!$C$49:$C$51,'3bestsellers'!$C$53:$C$55,'3bestsellers'!$C$57:$C$59,'3bestsellers'!$C$61:$C$63,'3bestsellers'!$C$65:$C$67,'3bestsellers'!$C$69:$C$71,'3bestsellers'!$C$73:$C$75,'3bestsellers'!$C$77:$C$79,'3bestsellers'!$C$81:$C$83,'3bestsellers'!$C$85:$C$87)</c:f>
              <c:numCache>
                <c:formatCode>General</c:formatCode>
                <c:ptCount val="36"/>
                <c:pt idx="0">
                  <c:v>670</c:v>
                </c:pt>
                <c:pt idx="3">
                  <c:v>640</c:v>
                </c:pt>
                <c:pt idx="6">
                  <c:v>565</c:v>
                </c:pt>
                <c:pt idx="9">
                  <c:v>729</c:v>
                </c:pt>
                <c:pt idx="12">
                  <c:v>620</c:v>
                </c:pt>
                <c:pt idx="15">
                  <c:v>674</c:v>
                </c:pt>
                <c:pt idx="18">
                  <c:v>710</c:v>
                </c:pt>
                <c:pt idx="21">
                  <c:v>471</c:v>
                </c:pt>
                <c:pt idx="24">
                  <c:v>784</c:v>
                </c:pt>
                <c:pt idx="27">
                  <c:v>645</c:v>
                </c:pt>
                <c:pt idx="30">
                  <c:v>992</c:v>
                </c:pt>
                <c:pt idx="33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C-46CB-AEAF-FA1AC1830EB5}"/>
            </c:ext>
          </c:extLst>
        </c:ser>
        <c:ser>
          <c:idx val="2"/>
          <c:order val="1"/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'3bestsellers'!$A$39:$B$87</c15:sqref>
                  </c15:fullRef>
                </c:ext>
              </c:extLst>
              <c:f>('3bestsellers'!$A$41:$B$43,'3bestsellers'!$A$45:$B$47,'3bestsellers'!$A$49:$B$51,'3bestsellers'!$A$53:$B$55,'3bestsellers'!$A$57:$B$59,'3bestsellers'!$A$61:$B$63,'3bestsellers'!$A$65:$B$67,'3bestsellers'!$A$69:$B$71,'3bestsellers'!$A$73:$B$75,'3bestsellers'!$A$77:$B$79,'3bestsellers'!$A$81:$B$83,'3bestsellers'!$A$85:$B$87)</c:f>
              <c:multiLvlStrCache>
                <c:ptCount val="36"/>
                <c:lvl>
                  <c:pt idx="0">
                    <c:v>Jade HW Skinny Denim TRS</c:v>
                  </c:pt>
                  <c:pt idx="1">
                    <c:v>Timeless Sports Top</c:v>
                  </c:pt>
                  <c:pt idx="2">
                    <c:v>Luna skinny RW</c:v>
                  </c:pt>
                  <c:pt idx="3">
                    <c:v>Jade HW Skinny Denim TRS</c:v>
                  </c:pt>
                  <c:pt idx="4">
                    <c:v>Tilly (1)</c:v>
                  </c:pt>
                  <c:pt idx="5">
                    <c:v>SUPREME tights</c:v>
                  </c:pt>
                  <c:pt idx="6">
                    <c:v>Jade HW Skinny Denim TRS</c:v>
                  </c:pt>
                  <c:pt idx="7">
                    <c:v>Tilly (1)</c:v>
                  </c:pt>
                  <c:pt idx="8">
                    <c:v>Luna skinny RW</c:v>
                  </c:pt>
                  <c:pt idx="9">
                    <c:v>Kanta slacks RW</c:v>
                  </c:pt>
                  <c:pt idx="10">
                    <c:v>Tilly (1)</c:v>
                  </c:pt>
                  <c:pt idx="11">
                    <c:v>Timeless Midrise Brief</c:v>
                  </c:pt>
                  <c:pt idx="12">
                    <c:v>Simple as That Triangle Top</c:v>
                  </c:pt>
                  <c:pt idx="13">
                    <c:v>Cornelia Thong LP</c:v>
                  </c:pt>
                  <c:pt idx="14">
                    <c:v>Kelso HW fancy</c:v>
                  </c:pt>
                  <c:pt idx="15">
                    <c:v>Kelso HW fancy</c:v>
                  </c:pt>
                  <c:pt idx="16">
                    <c:v>Tilly (1)</c:v>
                  </c:pt>
                  <c:pt idx="17">
                    <c:v>Simple as That Triangle Top</c:v>
                  </c:pt>
                  <c:pt idx="18">
                    <c:v>Cat Tee.</c:v>
                  </c:pt>
                  <c:pt idx="19">
                    <c:v>Shake it in Balconette_</c:v>
                  </c:pt>
                  <c:pt idx="20">
                    <c:v>Kelso HW fancy</c:v>
                  </c:pt>
                  <c:pt idx="21">
                    <c:v>Jade HW Skinny Denim TRS</c:v>
                  </c:pt>
                  <c:pt idx="22">
                    <c:v>Mona polo</c:v>
                  </c:pt>
                  <c:pt idx="23">
                    <c:v>CAMILLA OL OFFER</c:v>
                  </c:pt>
                  <c:pt idx="24">
                    <c:v>Jade HW Skinny Denim TRS</c:v>
                  </c:pt>
                  <c:pt idx="25">
                    <c:v>Baraboom (1)</c:v>
                  </c:pt>
                  <c:pt idx="26">
                    <c:v>Henry polo. (1)</c:v>
                  </c:pt>
                  <c:pt idx="27">
                    <c:v>Jade HW Skinny Denim TRS</c:v>
                  </c:pt>
                  <c:pt idx="28">
                    <c:v>Luna skinny RW</c:v>
                  </c:pt>
                  <c:pt idx="29">
                    <c:v>Henry polo. (1)</c:v>
                  </c:pt>
                  <c:pt idx="30">
                    <c:v>Jade HW Skinny Denim TRS</c:v>
                  </c:pt>
                  <c:pt idx="31">
                    <c:v>Luna skinny RW</c:v>
                  </c:pt>
                  <c:pt idx="32">
                    <c:v>Henry polo. (1)</c:v>
                  </c:pt>
                  <c:pt idx="33">
                    <c:v>Luna skinny RW</c:v>
                  </c:pt>
                  <c:pt idx="34">
                    <c:v>Jade HW Skinny Denim TRS</c:v>
                  </c:pt>
                  <c:pt idx="35">
                    <c:v>Madison skinny HW (1)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'3bestsellers'!$E$39:$E$87</c15:sqref>
                  </c15:fullRef>
                </c:ext>
              </c:extLst>
              <c:f>('3bestsellers'!$E$41:$E$43,'3bestsellers'!$E$45:$E$47,'3bestsellers'!$E$49:$E$51,'3bestsellers'!$E$53:$E$55,'3bestsellers'!$E$57:$E$59,'3bestsellers'!$E$61:$E$63,'3bestsellers'!$E$65:$E$67,'3bestsellers'!$E$69:$E$71,'3bestsellers'!$E$73:$E$75,'3bestsellers'!$E$77:$E$79,'3bestsellers'!$E$81:$E$83,'3bestsellers'!$E$85:$E$87)</c:f>
              <c:numCache>
                <c:formatCode>General</c:formatCode>
                <c:ptCount val="36"/>
                <c:pt idx="2">
                  <c:v>466</c:v>
                </c:pt>
                <c:pt idx="5">
                  <c:v>402</c:v>
                </c:pt>
                <c:pt idx="8">
                  <c:v>557</c:v>
                </c:pt>
                <c:pt idx="11">
                  <c:v>588</c:v>
                </c:pt>
                <c:pt idx="14">
                  <c:v>559</c:v>
                </c:pt>
                <c:pt idx="17">
                  <c:v>504</c:v>
                </c:pt>
                <c:pt idx="20">
                  <c:v>453</c:v>
                </c:pt>
                <c:pt idx="23">
                  <c:v>411</c:v>
                </c:pt>
                <c:pt idx="26">
                  <c:v>525</c:v>
                </c:pt>
                <c:pt idx="29">
                  <c:v>518</c:v>
                </c:pt>
                <c:pt idx="32">
                  <c:v>447</c:v>
                </c:pt>
                <c:pt idx="35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AC-46CB-AEAF-FA1AC1830EB5}"/>
            </c:ext>
          </c:extLst>
        </c:ser>
        <c:ser>
          <c:idx val="1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'3bestsellers'!$A$39:$B$87</c15:sqref>
                  </c15:fullRef>
                </c:ext>
              </c:extLst>
              <c:f>('3bestsellers'!$A$41:$B$43,'3bestsellers'!$A$45:$B$47,'3bestsellers'!$A$49:$B$51,'3bestsellers'!$A$53:$B$55,'3bestsellers'!$A$57:$B$59,'3bestsellers'!$A$61:$B$63,'3bestsellers'!$A$65:$B$67,'3bestsellers'!$A$69:$B$71,'3bestsellers'!$A$73:$B$75,'3bestsellers'!$A$77:$B$79,'3bestsellers'!$A$81:$B$83,'3bestsellers'!$A$85:$B$87)</c:f>
              <c:multiLvlStrCache>
                <c:ptCount val="36"/>
                <c:lvl>
                  <c:pt idx="0">
                    <c:v>Jade HW Skinny Denim TRS</c:v>
                  </c:pt>
                  <c:pt idx="1">
                    <c:v>Timeless Sports Top</c:v>
                  </c:pt>
                  <c:pt idx="2">
                    <c:v>Luna skinny RW</c:v>
                  </c:pt>
                  <c:pt idx="3">
                    <c:v>Jade HW Skinny Denim TRS</c:v>
                  </c:pt>
                  <c:pt idx="4">
                    <c:v>Tilly (1)</c:v>
                  </c:pt>
                  <c:pt idx="5">
                    <c:v>SUPREME tights</c:v>
                  </c:pt>
                  <c:pt idx="6">
                    <c:v>Jade HW Skinny Denim TRS</c:v>
                  </c:pt>
                  <c:pt idx="7">
                    <c:v>Tilly (1)</c:v>
                  </c:pt>
                  <c:pt idx="8">
                    <c:v>Luna skinny RW</c:v>
                  </c:pt>
                  <c:pt idx="9">
                    <c:v>Kanta slacks RW</c:v>
                  </c:pt>
                  <c:pt idx="10">
                    <c:v>Tilly (1)</c:v>
                  </c:pt>
                  <c:pt idx="11">
                    <c:v>Timeless Midrise Brief</c:v>
                  </c:pt>
                  <c:pt idx="12">
                    <c:v>Simple as That Triangle Top</c:v>
                  </c:pt>
                  <c:pt idx="13">
                    <c:v>Cornelia Thong LP</c:v>
                  </c:pt>
                  <c:pt idx="14">
                    <c:v>Kelso HW fancy</c:v>
                  </c:pt>
                  <c:pt idx="15">
                    <c:v>Kelso HW fancy</c:v>
                  </c:pt>
                  <c:pt idx="16">
                    <c:v>Tilly (1)</c:v>
                  </c:pt>
                  <c:pt idx="17">
                    <c:v>Simple as That Triangle Top</c:v>
                  </c:pt>
                  <c:pt idx="18">
                    <c:v>Cat Tee.</c:v>
                  </c:pt>
                  <c:pt idx="19">
                    <c:v>Shake it in Balconette_</c:v>
                  </c:pt>
                  <c:pt idx="20">
                    <c:v>Kelso HW fancy</c:v>
                  </c:pt>
                  <c:pt idx="21">
                    <c:v>Jade HW Skinny Denim TRS</c:v>
                  </c:pt>
                  <c:pt idx="22">
                    <c:v>Mona polo</c:v>
                  </c:pt>
                  <c:pt idx="23">
                    <c:v>CAMILLA OL OFFER</c:v>
                  </c:pt>
                  <c:pt idx="24">
                    <c:v>Jade HW Skinny Denim TRS</c:v>
                  </c:pt>
                  <c:pt idx="25">
                    <c:v>Baraboom (1)</c:v>
                  </c:pt>
                  <c:pt idx="26">
                    <c:v>Henry polo. (1)</c:v>
                  </c:pt>
                  <c:pt idx="27">
                    <c:v>Jade HW Skinny Denim TRS</c:v>
                  </c:pt>
                  <c:pt idx="28">
                    <c:v>Luna skinny RW</c:v>
                  </c:pt>
                  <c:pt idx="29">
                    <c:v>Henry polo. (1)</c:v>
                  </c:pt>
                  <c:pt idx="30">
                    <c:v>Jade HW Skinny Denim TRS</c:v>
                  </c:pt>
                  <c:pt idx="31">
                    <c:v>Luna skinny RW</c:v>
                  </c:pt>
                  <c:pt idx="32">
                    <c:v>Henry polo. (1)</c:v>
                  </c:pt>
                  <c:pt idx="33">
                    <c:v>Luna skinny RW</c:v>
                  </c:pt>
                  <c:pt idx="34">
                    <c:v>Jade HW Skinny Denim TRS</c:v>
                  </c:pt>
                  <c:pt idx="35">
                    <c:v>Madison skinny HW (1)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'3bestsellers'!$D$39:$D$87</c15:sqref>
                  </c15:fullRef>
                </c:ext>
              </c:extLst>
              <c:f>('3bestsellers'!$D$41:$D$43,'3bestsellers'!$D$45:$D$47,'3bestsellers'!$D$49:$D$51,'3bestsellers'!$D$53:$D$55,'3bestsellers'!$D$57:$D$59,'3bestsellers'!$D$61:$D$63,'3bestsellers'!$D$65:$D$67,'3bestsellers'!$D$69:$D$71,'3bestsellers'!$D$73:$D$75,'3bestsellers'!$D$77:$D$79,'3bestsellers'!$D$81:$D$83,'3bestsellers'!$D$85:$D$87)</c:f>
              <c:numCache>
                <c:formatCode>General</c:formatCode>
                <c:ptCount val="36"/>
                <c:pt idx="1">
                  <c:v>540</c:v>
                </c:pt>
                <c:pt idx="4">
                  <c:v>511</c:v>
                </c:pt>
                <c:pt idx="7">
                  <c:v>428</c:v>
                </c:pt>
                <c:pt idx="10">
                  <c:v>656</c:v>
                </c:pt>
                <c:pt idx="13">
                  <c:v>611</c:v>
                </c:pt>
                <c:pt idx="16">
                  <c:v>636</c:v>
                </c:pt>
                <c:pt idx="19">
                  <c:v>528</c:v>
                </c:pt>
                <c:pt idx="22">
                  <c:v>413</c:v>
                </c:pt>
                <c:pt idx="25">
                  <c:v>531</c:v>
                </c:pt>
                <c:pt idx="28">
                  <c:v>578</c:v>
                </c:pt>
                <c:pt idx="31">
                  <c:v>526</c:v>
                </c:pt>
                <c:pt idx="34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AC-46CB-AEAF-FA1AC1830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41577487"/>
        <c:axId val="940262671"/>
      </c:barChart>
      <c:catAx>
        <c:axId val="9415774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62671"/>
        <c:crosses val="autoZero"/>
        <c:auto val="1"/>
        <c:lblAlgn val="ctr"/>
        <c:lblOffset val="100"/>
        <c:noMultiLvlLbl val="0"/>
      </c:catAx>
      <c:valAx>
        <c:axId val="940262671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4157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 sz="1800" b="0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</a:rPr>
              <a:t>2019 Top 3 Products Revenue by Month</a:t>
            </a:r>
          </a:p>
        </c:rich>
      </c:tx>
      <c:layout>
        <c:manualLayout>
          <c:xMode val="edge"/>
          <c:yMode val="edge"/>
          <c:x val="1.1531010174380286E-2"/>
          <c:y val="8.893829386472835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'3bestrevenue'!$A$40:$B$87</c15:sqref>
                  </c15:fullRef>
                </c:ext>
              </c:extLst>
              <c:f>('3bestrevenue'!$A$41:$B$43,'3bestrevenue'!$A$45:$B$47,'3bestrevenue'!$A$49:$B$51,'3bestrevenue'!$A$53:$B$55,'3bestrevenue'!$A$57:$B$59,'3bestrevenue'!$A$61:$B$63,'3bestrevenue'!$A$65:$B$67,'3bestrevenue'!$A$69:$B$71,'3bestrevenue'!$A$73:$B$75,'3bestrevenue'!$A$77:$B$79,'3bestrevenue'!$A$81:$B$83,'3bestrevenue'!$A$85:$B$87)</c:f>
              <c:multiLvlStrCache>
                <c:ptCount val="36"/>
                <c:lvl>
                  <c:pt idx="0">
                    <c:v>Jade HW Skinny Denim TRS</c:v>
                  </c:pt>
                  <c:pt idx="1">
                    <c:v>Shaping Skinny H.W</c:v>
                  </c:pt>
                  <c:pt idx="2">
                    <c:v>Luna skinny RW</c:v>
                  </c:pt>
                  <c:pt idx="3">
                    <c:v>Jade HW Skinny Denim TRS</c:v>
                  </c:pt>
                  <c:pt idx="4">
                    <c:v>SUPREME tights</c:v>
                  </c:pt>
                  <c:pt idx="5">
                    <c:v>Shaping Skinny H.W</c:v>
                  </c:pt>
                  <c:pt idx="6">
                    <c:v>Jade HW Skinny Denim TRS</c:v>
                  </c:pt>
                  <c:pt idx="7">
                    <c:v>Gyda blouse</c:v>
                  </c:pt>
                  <c:pt idx="8">
                    <c:v>Luna skinny RW</c:v>
                  </c:pt>
                  <c:pt idx="9">
                    <c:v>Kanta slacks RW</c:v>
                  </c:pt>
                  <c:pt idx="10">
                    <c:v>Jade HW Skinny Denim TRS</c:v>
                  </c:pt>
                  <c:pt idx="11">
                    <c:v>Simple as That Triangle Top</c:v>
                  </c:pt>
                  <c:pt idx="12">
                    <c:v>Sorrel(1)</c:v>
                  </c:pt>
                  <c:pt idx="13">
                    <c:v>Simple as That Triangle Top</c:v>
                  </c:pt>
                  <c:pt idx="14">
                    <c:v>Kanta slacks RW</c:v>
                  </c:pt>
                  <c:pt idx="15">
                    <c:v>Sorrel(1)</c:v>
                  </c:pt>
                  <c:pt idx="16">
                    <c:v>Iris Linen Jogger R.W TVP</c:v>
                  </c:pt>
                  <c:pt idx="17">
                    <c:v>Simple as That Triangle Top</c:v>
                  </c:pt>
                  <c:pt idx="18">
                    <c:v>Jade HW Skinny Denim TRS</c:v>
                  </c:pt>
                  <c:pt idx="19">
                    <c:v>Shake it in Balconette_</c:v>
                  </c:pt>
                  <c:pt idx="20">
                    <c:v>Simple as That Triangle Top</c:v>
                  </c:pt>
                  <c:pt idx="21">
                    <c:v>Jade HW Skinny Denim TRS</c:v>
                  </c:pt>
                  <c:pt idx="22">
                    <c:v>Pluto RW slacks (1)</c:v>
                  </c:pt>
                  <c:pt idx="23">
                    <c:v>Mariette Blazer</c:v>
                  </c:pt>
                  <c:pt idx="24">
                    <c:v>Jade HW Skinny Denim TRS</c:v>
                  </c:pt>
                  <c:pt idx="25">
                    <c:v>Mariette Blazer</c:v>
                  </c:pt>
                  <c:pt idx="26">
                    <c:v>L Lilo Pile Coat</c:v>
                  </c:pt>
                  <c:pt idx="27">
                    <c:v>Jade HW Skinny Denim TRS</c:v>
                  </c:pt>
                  <c:pt idx="28">
                    <c:v>Luna skinny RW</c:v>
                  </c:pt>
                  <c:pt idx="29">
                    <c:v>Gyda blouse</c:v>
                  </c:pt>
                  <c:pt idx="30">
                    <c:v>Jade HW Skinny Denim TRS</c:v>
                  </c:pt>
                  <c:pt idx="31">
                    <c:v>Femme (1)</c:v>
                  </c:pt>
                  <c:pt idx="32">
                    <c:v>Luna skinny RW</c:v>
                  </c:pt>
                  <c:pt idx="33">
                    <c:v>Jade HW Skinny Denim TRS</c:v>
                  </c:pt>
                  <c:pt idx="34">
                    <c:v>Luna skinny RW</c:v>
                  </c:pt>
                  <c:pt idx="35">
                    <c:v>Madison skinny HW (1)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'3bestrevenue'!$C$40:$C$87</c15:sqref>
                  </c15:fullRef>
                </c:ext>
              </c:extLst>
              <c:f>('3bestrevenue'!$C$41:$C$43,'3bestrevenue'!$C$45:$C$47,'3bestrevenue'!$C$49:$C$51,'3bestrevenue'!$C$53:$C$55,'3bestrevenue'!$C$57:$C$59,'3bestrevenue'!$C$61:$C$63,'3bestrevenue'!$C$65:$C$67,'3bestrevenue'!$C$69:$C$71,'3bestrevenue'!$C$73:$C$75,'3bestrevenue'!$C$77:$C$79,'3bestrevenue'!$C$81:$C$83,'3bestrevenue'!$C$85:$C$87)</c:f>
              <c:numCache>
                <c:formatCode>General</c:formatCode>
                <c:ptCount val="36"/>
                <c:pt idx="0">
                  <c:v>2246.3372373953498</c:v>
                </c:pt>
                <c:pt idx="3">
                  <c:v>2087.9152063280299</c:v>
                </c:pt>
                <c:pt idx="6">
                  <c:v>1879.8372475430399</c:v>
                </c:pt>
                <c:pt idx="9">
                  <c:v>1783.65932442248</c:v>
                </c:pt>
                <c:pt idx="12">
                  <c:v>1631.1525151133501</c:v>
                </c:pt>
                <c:pt idx="15">
                  <c:v>1515.6796328723401</c:v>
                </c:pt>
                <c:pt idx="18">
                  <c:v>1122.7762497961501</c:v>
                </c:pt>
                <c:pt idx="21">
                  <c:v>1512.8270930610599</c:v>
                </c:pt>
                <c:pt idx="24">
                  <c:v>2487.6796268858002</c:v>
                </c:pt>
                <c:pt idx="27">
                  <c:v>2113.74233551323</c:v>
                </c:pt>
                <c:pt idx="30">
                  <c:v>2974.0762609988501</c:v>
                </c:pt>
                <c:pt idx="33">
                  <c:v>1740.64573170617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6-40BE-BE6D-19B1008EE66D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'3bestrevenue'!$A$40:$B$87</c15:sqref>
                  </c15:fullRef>
                </c:ext>
              </c:extLst>
              <c:f>('3bestrevenue'!$A$41:$B$43,'3bestrevenue'!$A$45:$B$47,'3bestrevenue'!$A$49:$B$51,'3bestrevenue'!$A$53:$B$55,'3bestrevenue'!$A$57:$B$59,'3bestrevenue'!$A$61:$B$63,'3bestrevenue'!$A$65:$B$67,'3bestrevenue'!$A$69:$B$71,'3bestrevenue'!$A$73:$B$75,'3bestrevenue'!$A$77:$B$79,'3bestrevenue'!$A$81:$B$83,'3bestrevenue'!$A$85:$B$87)</c:f>
              <c:multiLvlStrCache>
                <c:ptCount val="36"/>
                <c:lvl>
                  <c:pt idx="0">
                    <c:v>Jade HW Skinny Denim TRS</c:v>
                  </c:pt>
                  <c:pt idx="1">
                    <c:v>Shaping Skinny H.W</c:v>
                  </c:pt>
                  <c:pt idx="2">
                    <c:v>Luna skinny RW</c:v>
                  </c:pt>
                  <c:pt idx="3">
                    <c:v>Jade HW Skinny Denim TRS</c:v>
                  </c:pt>
                  <c:pt idx="4">
                    <c:v>SUPREME tights</c:v>
                  </c:pt>
                  <c:pt idx="5">
                    <c:v>Shaping Skinny H.W</c:v>
                  </c:pt>
                  <c:pt idx="6">
                    <c:v>Jade HW Skinny Denim TRS</c:v>
                  </c:pt>
                  <c:pt idx="7">
                    <c:v>Gyda blouse</c:v>
                  </c:pt>
                  <c:pt idx="8">
                    <c:v>Luna skinny RW</c:v>
                  </c:pt>
                  <c:pt idx="9">
                    <c:v>Kanta slacks RW</c:v>
                  </c:pt>
                  <c:pt idx="10">
                    <c:v>Jade HW Skinny Denim TRS</c:v>
                  </c:pt>
                  <c:pt idx="11">
                    <c:v>Simple as That Triangle Top</c:v>
                  </c:pt>
                  <c:pt idx="12">
                    <c:v>Sorrel(1)</c:v>
                  </c:pt>
                  <c:pt idx="13">
                    <c:v>Simple as That Triangle Top</c:v>
                  </c:pt>
                  <c:pt idx="14">
                    <c:v>Kanta slacks RW</c:v>
                  </c:pt>
                  <c:pt idx="15">
                    <c:v>Sorrel(1)</c:v>
                  </c:pt>
                  <c:pt idx="16">
                    <c:v>Iris Linen Jogger R.W TVP</c:v>
                  </c:pt>
                  <c:pt idx="17">
                    <c:v>Simple as That Triangle Top</c:v>
                  </c:pt>
                  <c:pt idx="18">
                    <c:v>Jade HW Skinny Denim TRS</c:v>
                  </c:pt>
                  <c:pt idx="19">
                    <c:v>Shake it in Balconette_</c:v>
                  </c:pt>
                  <c:pt idx="20">
                    <c:v>Simple as That Triangle Top</c:v>
                  </c:pt>
                  <c:pt idx="21">
                    <c:v>Jade HW Skinny Denim TRS</c:v>
                  </c:pt>
                  <c:pt idx="22">
                    <c:v>Pluto RW slacks (1)</c:v>
                  </c:pt>
                  <c:pt idx="23">
                    <c:v>Mariette Blazer</c:v>
                  </c:pt>
                  <c:pt idx="24">
                    <c:v>Jade HW Skinny Denim TRS</c:v>
                  </c:pt>
                  <c:pt idx="25">
                    <c:v>Mariette Blazer</c:v>
                  </c:pt>
                  <c:pt idx="26">
                    <c:v>L Lilo Pile Coat</c:v>
                  </c:pt>
                  <c:pt idx="27">
                    <c:v>Jade HW Skinny Denim TRS</c:v>
                  </c:pt>
                  <c:pt idx="28">
                    <c:v>Luna skinny RW</c:v>
                  </c:pt>
                  <c:pt idx="29">
                    <c:v>Gyda blouse</c:v>
                  </c:pt>
                  <c:pt idx="30">
                    <c:v>Jade HW Skinny Denim TRS</c:v>
                  </c:pt>
                  <c:pt idx="31">
                    <c:v>Femme (1)</c:v>
                  </c:pt>
                  <c:pt idx="32">
                    <c:v>Luna skinny RW</c:v>
                  </c:pt>
                  <c:pt idx="33">
                    <c:v>Jade HW Skinny Denim TRS</c:v>
                  </c:pt>
                  <c:pt idx="34">
                    <c:v>Luna skinny RW</c:v>
                  </c:pt>
                  <c:pt idx="35">
                    <c:v>Madison skinny HW (1)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'3bestrevenue'!$D$40:$D$87</c15:sqref>
                  </c15:fullRef>
                </c:ext>
              </c:extLst>
              <c:f>('3bestrevenue'!$D$41:$D$43,'3bestrevenue'!$D$45:$D$47,'3bestrevenue'!$D$49:$D$51,'3bestrevenue'!$D$53:$D$55,'3bestrevenue'!$D$57:$D$59,'3bestrevenue'!$D$61:$D$63,'3bestrevenue'!$D$65:$D$67,'3bestrevenue'!$D$69:$D$71,'3bestrevenue'!$D$73:$D$75,'3bestrevenue'!$D$77:$D$79,'3bestrevenue'!$D$81:$D$83,'3bestrevenue'!$D$85:$D$87)</c:f>
              <c:numCache>
                <c:formatCode>General</c:formatCode>
                <c:ptCount val="36"/>
                <c:pt idx="1">
                  <c:v>1476.79493017495</c:v>
                </c:pt>
                <c:pt idx="4">
                  <c:v>1292.49997287989</c:v>
                </c:pt>
                <c:pt idx="7">
                  <c:v>1351.77115909755</c:v>
                </c:pt>
                <c:pt idx="10">
                  <c:v>1361.4677730947701</c:v>
                </c:pt>
                <c:pt idx="13">
                  <c:v>1499.0881404839499</c:v>
                </c:pt>
                <c:pt idx="16">
                  <c:v>1461.34917810559</c:v>
                </c:pt>
                <c:pt idx="19">
                  <c:v>1016.66609668173</c:v>
                </c:pt>
                <c:pt idx="22">
                  <c:v>1310.53387764841</c:v>
                </c:pt>
                <c:pt idx="25">
                  <c:v>1746.0339287295899</c:v>
                </c:pt>
                <c:pt idx="28">
                  <c:v>1716.3423410616799</c:v>
                </c:pt>
                <c:pt idx="31">
                  <c:v>1704.87118810415</c:v>
                </c:pt>
                <c:pt idx="34">
                  <c:v>1545.8694512024499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6-40BE-BE6D-19B1008EE66D}"/>
            </c:ext>
          </c:extLst>
        </c:ser>
        <c:ser>
          <c:idx val="2"/>
          <c:order val="2"/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'3bestrevenue'!$A$40:$B$87</c15:sqref>
                  </c15:fullRef>
                </c:ext>
              </c:extLst>
              <c:f>('3bestrevenue'!$A$41:$B$43,'3bestrevenue'!$A$45:$B$47,'3bestrevenue'!$A$49:$B$51,'3bestrevenue'!$A$53:$B$55,'3bestrevenue'!$A$57:$B$59,'3bestrevenue'!$A$61:$B$63,'3bestrevenue'!$A$65:$B$67,'3bestrevenue'!$A$69:$B$71,'3bestrevenue'!$A$73:$B$75,'3bestrevenue'!$A$77:$B$79,'3bestrevenue'!$A$81:$B$83,'3bestrevenue'!$A$85:$B$87)</c:f>
              <c:multiLvlStrCache>
                <c:ptCount val="36"/>
                <c:lvl>
                  <c:pt idx="0">
                    <c:v>Jade HW Skinny Denim TRS</c:v>
                  </c:pt>
                  <c:pt idx="1">
                    <c:v>Shaping Skinny H.W</c:v>
                  </c:pt>
                  <c:pt idx="2">
                    <c:v>Luna skinny RW</c:v>
                  </c:pt>
                  <c:pt idx="3">
                    <c:v>Jade HW Skinny Denim TRS</c:v>
                  </c:pt>
                  <c:pt idx="4">
                    <c:v>SUPREME tights</c:v>
                  </c:pt>
                  <c:pt idx="5">
                    <c:v>Shaping Skinny H.W</c:v>
                  </c:pt>
                  <c:pt idx="6">
                    <c:v>Jade HW Skinny Denim TRS</c:v>
                  </c:pt>
                  <c:pt idx="7">
                    <c:v>Gyda blouse</c:v>
                  </c:pt>
                  <c:pt idx="8">
                    <c:v>Luna skinny RW</c:v>
                  </c:pt>
                  <c:pt idx="9">
                    <c:v>Kanta slacks RW</c:v>
                  </c:pt>
                  <c:pt idx="10">
                    <c:v>Jade HW Skinny Denim TRS</c:v>
                  </c:pt>
                  <c:pt idx="11">
                    <c:v>Simple as That Triangle Top</c:v>
                  </c:pt>
                  <c:pt idx="12">
                    <c:v>Sorrel(1)</c:v>
                  </c:pt>
                  <c:pt idx="13">
                    <c:v>Simple as That Triangle Top</c:v>
                  </c:pt>
                  <c:pt idx="14">
                    <c:v>Kanta slacks RW</c:v>
                  </c:pt>
                  <c:pt idx="15">
                    <c:v>Sorrel(1)</c:v>
                  </c:pt>
                  <c:pt idx="16">
                    <c:v>Iris Linen Jogger R.W TVP</c:v>
                  </c:pt>
                  <c:pt idx="17">
                    <c:v>Simple as That Triangle Top</c:v>
                  </c:pt>
                  <c:pt idx="18">
                    <c:v>Jade HW Skinny Denim TRS</c:v>
                  </c:pt>
                  <c:pt idx="19">
                    <c:v>Shake it in Balconette_</c:v>
                  </c:pt>
                  <c:pt idx="20">
                    <c:v>Simple as That Triangle Top</c:v>
                  </c:pt>
                  <c:pt idx="21">
                    <c:v>Jade HW Skinny Denim TRS</c:v>
                  </c:pt>
                  <c:pt idx="22">
                    <c:v>Pluto RW slacks (1)</c:v>
                  </c:pt>
                  <c:pt idx="23">
                    <c:v>Mariette Blazer</c:v>
                  </c:pt>
                  <c:pt idx="24">
                    <c:v>Jade HW Skinny Denim TRS</c:v>
                  </c:pt>
                  <c:pt idx="25">
                    <c:v>Mariette Blazer</c:v>
                  </c:pt>
                  <c:pt idx="26">
                    <c:v>L Lilo Pile Coat</c:v>
                  </c:pt>
                  <c:pt idx="27">
                    <c:v>Jade HW Skinny Denim TRS</c:v>
                  </c:pt>
                  <c:pt idx="28">
                    <c:v>Luna skinny RW</c:v>
                  </c:pt>
                  <c:pt idx="29">
                    <c:v>Gyda blouse</c:v>
                  </c:pt>
                  <c:pt idx="30">
                    <c:v>Jade HW Skinny Denim TRS</c:v>
                  </c:pt>
                  <c:pt idx="31">
                    <c:v>Femme (1)</c:v>
                  </c:pt>
                  <c:pt idx="32">
                    <c:v>Luna skinny RW</c:v>
                  </c:pt>
                  <c:pt idx="33">
                    <c:v>Jade HW Skinny Denim TRS</c:v>
                  </c:pt>
                  <c:pt idx="34">
                    <c:v>Luna skinny RW</c:v>
                  </c:pt>
                  <c:pt idx="35">
                    <c:v>Madison skinny HW (1)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'3bestrevenue'!$E$40:$E$87</c15:sqref>
                  </c15:fullRef>
                </c:ext>
              </c:extLst>
              <c:f>('3bestrevenue'!$E$41:$E$43,'3bestrevenue'!$E$45:$E$47,'3bestrevenue'!$E$49:$E$51,'3bestrevenue'!$E$53:$E$55,'3bestrevenue'!$E$57:$E$59,'3bestrevenue'!$E$61:$E$63,'3bestrevenue'!$E$65:$E$67,'3bestrevenue'!$E$69:$E$71,'3bestrevenue'!$E$73:$E$75,'3bestrevenue'!$E$77:$E$79,'3bestrevenue'!$E$81:$E$83,'3bestrevenue'!$E$85:$E$87)</c:f>
              <c:numCache>
                <c:formatCode>General</c:formatCode>
                <c:ptCount val="36"/>
                <c:pt idx="2">
                  <c:v>1310.9152163378899</c:v>
                </c:pt>
                <c:pt idx="5">
                  <c:v>1170.6254232674801</c:v>
                </c:pt>
                <c:pt idx="8">
                  <c:v>1228.8220061920599</c:v>
                </c:pt>
                <c:pt idx="11">
                  <c:v>1287.2881392017</c:v>
                </c:pt>
                <c:pt idx="14">
                  <c:v>1319.5915274322001</c:v>
                </c:pt>
                <c:pt idx="17">
                  <c:v>1248.1016978621501</c:v>
                </c:pt>
                <c:pt idx="20">
                  <c:v>839.60000057704701</c:v>
                </c:pt>
                <c:pt idx="23">
                  <c:v>1293.6288313940199</c:v>
                </c:pt>
                <c:pt idx="26">
                  <c:v>1654.76608425379</c:v>
                </c:pt>
                <c:pt idx="29">
                  <c:v>1436.90166994929</c:v>
                </c:pt>
                <c:pt idx="32">
                  <c:v>1546.88473325223</c:v>
                </c:pt>
                <c:pt idx="35">
                  <c:v>1193.9677735790599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6-40BE-BE6D-19B1008E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41457775"/>
        <c:axId val="940233391"/>
      </c:barChart>
      <c:catAx>
        <c:axId val="9414577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33391"/>
        <c:crosses val="autoZero"/>
        <c:auto val="1"/>
        <c:lblAlgn val="ctr"/>
        <c:lblOffset val="100"/>
        <c:tickLblSkip val="1"/>
        <c:noMultiLvlLbl val="0"/>
      </c:catAx>
      <c:valAx>
        <c:axId val="940233391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4145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416829</xdr:colOff>
      <xdr:row>1</xdr:row>
      <xdr:rowOff>161156</xdr:rowOff>
    </xdr:from>
    <xdr:to>
      <xdr:col>20</xdr:col>
      <xdr:colOff>626237</xdr:colOff>
      <xdr:row>22</xdr:row>
      <xdr:rowOff>32458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49442E2-FF72-11D4-E3CB-700B8262773F}"/>
            </a:ext>
          </a:extLst>
        </xdr:cNvPr>
        <xdr:cNvGrpSpPr/>
      </xdr:nvGrpSpPr>
      <xdr:grpSpPr>
        <a:xfrm>
          <a:off x="8036829" y="340450"/>
          <a:ext cx="6063641" cy="3641241"/>
          <a:chOff x="5052557" y="3038052"/>
          <a:chExt cx="4892286" cy="363339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16E13E1-7EE3-D6FC-3F15-ABAE7D99E0AF}"/>
              </a:ext>
            </a:extLst>
          </xdr:cNvPr>
          <xdr:cNvGraphicFramePr>
            <a:graphicFrameLocks noChangeAspect="1"/>
          </xdr:cNvGraphicFramePr>
        </xdr:nvGraphicFramePr>
        <xdr:xfrm>
          <a:off x="5059896" y="3038052"/>
          <a:ext cx="4879466" cy="2944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7143235-286F-6B02-7682-E55F731E3C35}"/>
              </a:ext>
            </a:extLst>
          </xdr:cNvPr>
          <xdr:cNvGraphicFramePr>
            <a:graphicFrameLocks noChangeAspect="1"/>
          </xdr:cNvGraphicFramePr>
        </xdr:nvGraphicFramePr>
        <xdr:xfrm>
          <a:off x="5052557" y="3719704"/>
          <a:ext cx="4892286" cy="2951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21</xdr:col>
      <xdr:colOff>321892</xdr:colOff>
      <xdr:row>1</xdr:row>
      <xdr:rowOff>72763</xdr:rowOff>
    </xdr:from>
    <xdr:to>
      <xdr:col>30</xdr:col>
      <xdr:colOff>474292</xdr:colOff>
      <xdr:row>17</xdr:row>
      <xdr:rowOff>153992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BE7BEDB2-2765-EDAD-C755-31587D8737A2}"/>
            </a:ext>
          </a:extLst>
        </xdr:cNvPr>
        <xdr:cNvGrpSpPr>
          <a:grpSpLocks noChangeAspect="1"/>
        </xdr:cNvGrpSpPr>
      </xdr:nvGrpSpPr>
      <xdr:grpSpPr>
        <a:xfrm>
          <a:off x="14441304" y="256819"/>
          <a:ext cx="6001870" cy="2945173"/>
          <a:chOff x="9890114" y="2642921"/>
          <a:chExt cx="4549406" cy="2213822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6E80FB8D-6088-489E-AA0D-BA215C37FB31}"/>
              </a:ext>
            </a:extLst>
          </xdr:cNvPr>
          <xdr:cNvGraphicFramePr>
            <a:graphicFrameLocks noChangeAspect="1"/>
          </xdr:cNvGraphicFramePr>
        </xdr:nvGraphicFramePr>
        <xdr:xfrm>
          <a:off x="9890114" y="2642921"/>
          <a:ext cx="4536152" cy="22138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2EA5FDDE-E82E-4029-B2B4-C2F2CF19E34B}"/>
              </a:ext>
            </a:extLst>
          </xdr:cNvPr>
          <xdr:cNvGraphicFramePr>
            <a:graphicFrameLocks noChangeAspect="1"/>
          </xdr:cNvGraphicFramePr>
        </xdr:nvGraphicFramePr>
        <xdr:xfrm>
          <a:off x="9924803" y="3601303"/>
          <a:ext cx="4514717" cy="781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345280</xdr:colOff>
      <xdr:row>29</xdr:row>
      <xdr:rowOff>19047</xdr:rowOff>
    </xdr:from>
    <xdr:to>
      <xdr:col>13</xdr:col>
      <xdr:colOff>619125</xdr:colOff>
      <xdr:row>47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27D0FF-AF2C-BB22-DB00-534F27C2C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259554</xdr:colOff>
      <xdr:row>9</xdr:row>
      <xdr:rowOff>171450</xdr:rowOff>
    </xdr:from>
    <xdr:to>
      <xdr:col>22</xdr:col>
      <xdr:colOff>152399</xdr:colOff>
      <xdr:row>30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B4486E-BF91-24A1-D1EF-6F475EA51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447675</xdr:colOff>
      <xdr:row>9</xdr:row>
      <xdr:rowOff>171450</xdr:rowOff>
    </xdr:from>
    <xdr:to>
      <xdr:col>30</xdr:col>
      <xdr:colOff>238125</xdr:colOff>
      <xdr:row>30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55F295-8D2B-4A21-9183-77E53DB99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326230</xdr:colOff>
      <xdr:row>12</xdr:row>
      <xdr:rowOff>28575</xdr:rowOff>
    </xdr:from>
    <xdr:to>
      <xdr:col>13</xdr:col>
      <xdr:colOff>619125</xdr:colOff>
      <xdr:row>28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20B0EF-50AC-5940-D36C-19AB67266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421248</xdr:colOff>
      <xdr:row>0</xdr:row>
      <xdr:rowOff>166338</xdr:rowOff>
    </xdr:from>
    <xdr:to>
      <xdr:col>25</xdr:col>
      <xdr:colOff>534265</xdr:colOff>
      <xdr:row>25</xdr:row>
      <xdr:rowOff>33355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3D0B6-40FD-2DFF-705A-7F38C8889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546954</xdr:colOff>
      <xdr:row>0</xdr:row>
      <xdr:rowOff>183172</xdr:rowOff>
    </xdr:from>
    <xdr:to>
      <xdr:col>36</xdr:col>
      <xdr:colOff>10441</xdr:colOff>
      <xdr:row>25</xdr:row>
      <xdr:rowOff>54951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AA07D4-5CC9-4CE8-95EE-FD4C54303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280987</xdr:colOff>
      <xdr:row>38</xdr:row>
      <xdr:rowOff>90488</xdr:rowOff>
    </xdr:from>
    <xdr:to>
      <xdr:col>19</xdr:col>
      <xdr:colOff>581025</xdr:colOff>
      <xdr:row>85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D91A8-3187-7EBF-453E-F4D87E10E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14288</xdr:colOff>
      <xdr:row>37</xdr:row>
      <xdr:rowOff>152400</xdr:rowOff>
    </xdr:from>
    <xdr:to>
      <xdr:col>20</xdr:col>
      <xdr:colOff>314326</xdr:colOff>
      <xdr:row>85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FE959C-10A5-4A0E-A937-C281E5B39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8039-A553-4AC7-A5FA-56E961DA0C0C}">
  <dimension ref="A1:B55"/>
  <sheetViews>
    <sheetView tabSelected="1" workbookViewId="0">
      <selection activeCell="M32" sqref="M32"/>
    </sheetView>
  </sheetViews>
  <sheetFormatPr defaultRowHeight="14.25"/>
  <cols>
    <col min="1" max="1" width="13.06640625" customWidth="1"/>
  </cols>
  <sheetData>
    <row r="1" spans="1:2">
      <c r="A1" s="2" t="s">
        <v>6</v>
      </c>
      <c r="B1">
        <v>1048575</v>
      </c>
    </row>
    <row r="2" spans="1:2">
      <c r="A2" s="1"/>
    </row>
    <row r="3" spans="1:2">
      <c r="A3" s="2" t="s">
        <v>0</v>
      </c>
    </row>
    <row r="4" spans="1:2">
      <c r="A4" s="2" t="s">
        <v>1</v>
      </c>
    </row>
    <row r="5" spans="1:2">
      <c r="A5" s="2" t="s">
        <v>2</v>
      </c>
    </row>
    <row r="6" spans="1:2">
      <c r="A6" s="2" t="s">
        <v>3</v>
      </c>
    </row>
    <row r="7" spans="1:2">
      <c r="A7" s="2" t="s">
        <v>4</v>
      </c>
    </row>
    <row r="8" spans="1:2">
      <c r="A8" s="1"/>
    </row>
    <row r="9" spans="1:2">
      <c r="A9" s="3" t="s">
        <v>5</v>
      </c>
    </row>
    <row r="10" spans="1:2">
      <c r="A10" t="s">
        <v>9</v>
      </c>
    </row>
    <row r="11" spans="1:2">
      <c r="A11" t="s">
        <v>7</v>
      </c>
    </row>
    <row r="12" spans="1:2">
      <c r="A12" t="s">
        <v>8</v>
      </c>
    </row>
    <row r="14" spans="1:2">
      <c r="A14" t="s">
        <v>10</v>
      </c>
      <c r="B14" s="2">
        <v>1048575</v>
      </c>
    </row>
    <row r="16" spans="1:2">
      <c r="A16" s="2" t="s">
        <v>11</v>
      </c>
      <c r="B16" t="s">
        <v>20</v>
      </c>
    </row>
    <row r="17" spans="1:2">
      <c r="A17" s="2" t="s">
        <v>12</v>
      </c>
      <c r="B17" t="s">
        <v>21</v>
      </c>
    </row>
    <row r="18" spans="1:2">
      <c r="A18" s="2" t="s">
        <v>13</v>
      </c>
      <c r="B18" t="s">
        <v>22</v>
      </c>
    </row>
    <row r="19" spans="1:2">
      <c r="A19" s="2" t="s">
        <v>14</v>
      </c>
      <c r="B19" t="s">
        <v>17</v>
      </c>
    </row>
    <row r="20" spans="1:2">
      <c r="A20" s="2" t="s">
        <v>15</v>
      </c>
      <c r="B20" t="s">
        <v>18</v>
      </c>
    </row>
    <row r="21" spans="1:2">
      <c r="A21" s="2" t="s">
        <v>16</v>
      </c>
      <c r="B21" t="s">
        <v>19</v>
      </c>
    </row>
    <row r="22" spans="1:2">
      <c r="A22" s="2"/>
    </row>
    <row r="23" spans="1:2">
      <c r="A23" s="2" t="s">
        <v>5304</v>
      </c>
    </row>
    <row r="25" spans="1:2">
      <c r="A25" s="2" t="s">
        <v>23</v>
      </c>
      <c r="B25">
        <v>105542</v>
      </c>
    </row>
    <row r="27" spans="1:2">
      <c r="A27" s="2" t="s">
        <v>24</v>
      </c>
      <c r="B27" t="s">
        <v>49</v>
      </c>
    </row>
    <row r="28" spans="1:2">
      <c r="A28" s="2" t="s">
        <v>25</v>
      </c>
      <c r="B28" t="s">
        <v>50</v>
      </c>
    </row>
    <row r="29" spans="1:2">
      <c r="A29" s="2" t="s">
        <v>26</v>
      </c>
      <c r="B29" t="s">
        <v>54</v>
      </c>
    </row>
    <row r="30" spans="1:2">
      <c r="A30" s="2" t="s">
        <v>27</v>
      </c>
      <c r="B30" t="s">
        <v>52</v>
      </c>
    </row>
    <row r="31" spans="1:2">
      <c r="A31" s="2" t="s">
        <v>28</v>
      </c>
      <c r="B31" t="s">
        <v>53</v>
      </c>
    </row>
    <row r="32" spans="1:2">
      <c r="A32" s="2" t="s">
        <v>29</v>
      </c>
      <c r="B32" t="s">
        <v>55</v>
      </c>
    </row>
    <row r="33" spans="1:1">
      <c r="A33" s="2" t="s">
        <v>30</v>
      </c>
    </row>
    <row r="34" spans="1:1">
      <c r="A34" s="2" t="s">
        <v>31</v>
      </c>
    </row>
    <row r="35" spans="1:1">
      <c r="A35" s="2" t="s">
        <v>32</v>
      </c>
    </row>
    <row r="36" spans="1:1">
      <c r="A36" s="2" t="s">
        <v>33</v>
      </c>
    </row>
    <row r="37" spans="1:1">
      <c r="A37" s="2" t="s">
        <v>34</v>
      </c>
    </row>
    <row r="38" spans="1:1">
      <c r="A38" s="2" t="s">
        <v>35</v>
      </c>
    </row>
    <row r="39" spans="1:1">
      <c r="A39" s="2" t="s">
        <v>36</v>
      </c>
    </row>
    <row r="40" spans="1:1">
      <c r="A40" s="2" t="s">
        <v>37</v>
      </c>
    </row>
    <row r="41" spans="1:1">
      <c r="A41" s="2" t="s">
        <v>38</v>
      </c>
    </row>
    <row r="42" spans="1:1">
      <c r="A42" s="2" t="s">
        <v>39</v>
      </c>
    </row>
    <row r="43" spans="1:1">
      <c r="A43" s="2" t="s">
        <v>40</v>
      </c>
    </row>
    <row r="44" spans="1:1">
      <c r="A44" s="2" t="s">
        <v>41</v>
      </c>
    </row>
    <row r="45" spans="1:1">
      <c r="A45" s="2" t="s">
        <v>42</v>
      </c>
    </row>
    <row r="46" spans="1:1">
      <c r="A46" s="2" t="s">
        <v>43</v>
      </c>
    </row>
    <row r="47" spans="1:1">
      <c r="A47" s="2" t="s">
        <v>44</v>
      </c>
    </row>
    <row r="48" spans="1:1">
      <c r="A48" s="2" t="s">
        <v>45</v>
      </c>
    </row>
    <row r="49" spans="1:2">
      <c r="A49" s="2" t="s">
        <v>46</v>
      </c>
    </row>
    <row r="50" spans="1:2">
      <c r="A50" s="2" t="s">
        <v>47</v>
      </c>
    </row>
    <row r="51" spans="1:2">
      <c r="A51" s="2" t="s">
        <v>48</v>
      </c>
      <c r="B51" t="s">
        <v>51</v>
      </c>
    </row>
    <row r="54" spans="1:2">
      <c r="A54" s="2"/>
    </row>
    <row r="55" spans="1:2">
      <c r="A5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CED8-84A1-4F8C-B3E4-F59A5AE4EEBF}">
  <dimension ref="A1:J18"/>
  <sheetViews>
    <sheetView zoomScale="85" zoomScaleNormal="85" workbookViewId="0">
      <selection activeCell="T35" sqref="T35"/>
    </sheetView>
  </sheetViews>
  <sheetFormatPr defaultRowHeight="14.25"/>
  <cols>
    <col min="2" max="2" width="13.265625" bestFit="1" customWidth="1"/>
    <col min="3" max="3" width="11.1328125" bestFit="1" customWidth="1"/>
    <col min="5" max="5" width="9.3984375" customWidth="1"/>
  </cols>
  <sheetData>
    <row r="1" spans="1:10">
      <c r="A1" t="s">
        <v>56</v>
      </c>
      <c r="B1" t="s">
        <v>5330</v>
      </c>
      <c r="C1" t="s">
        <v>5447</v>
      </c>
      <c r="D1" t="s">
        <v>57</v>
      </c>
      <c r="E1" t="s">
        <v>58</v>
      </c>
      <c r="H1" t="s">
        <v>56</v>
      </c>
      <c r="I1" t="s">
        <v>57</v>
      </c>
      <c r="J1" t="s">
        <v>58</v>
      </c>
    </row>
    <row r="2" spans="1:10">
      <c r="A2" t="s">
        <v>5430</v>
      </c>
      <c r="B2" s="13">
        <v>214827.962613857</v>
      </c>
      <c r="C2" s="14">
        <v>67751</v>
      </c>
      <c r="D2" s="11">
        <v>3.1708456349552998</v>
      </c>
      <c r="E2" s="15">
        <v>1.0945057430413101</v>
      </c>
      <c r="H2" t="s">
        <v>5430</v>
      </c>
      <c r="I2" s="11">
        <v>3.1708456349552998</v>
      </c>
      <c r="J2" s="15">
        <v>1.0945057430413101</v>
      </c>
    </row>
    <row r="3" spans="1:10">
      <c r="A3" t="s">
        <v>5431</v>
      </c>
      <c r="B3" s="13">
        <v>200603.41911852601</v>
      </c>
      <c r="C3" s="14">
        <v>62336</v>
      </c>
      <c r="D3" s="11">
        <v>3.2180989976662899</v>
      </c>
      <c r="E3" s="15">
        <v>1.0865798602032499</v>
      </c>
      <c r="H3" t="s">
        <v>5431</v>
      </c>
      <c r="I3" s="11">
        <v>3.2180989976662899</v>
      </c>
      <c r="J3" s="15">
        <v>1.0865798602032499</v>
      </c>
    </row>
    <row r="4" spans="1:10">
      <c r="A4" t="s">
        <v>5432</v>
      </c>
      <c r="B4" s="13">
        <v>239517.34782427701</v>
      </c>
      <c r="C4" s="14">
        <v>68567</v>
      </c>
      <c r="D4" s="11">
        <v>3.4931869240928801</v>
      </c>
      <c r="E4" s="15">
        <v>1.0995349583066101</v>
      </c>
      <c r="H4" t="s">
        <v>5432</v>
      </c>
      <c r="I4" s="11">
        <v>3.4931869240928801</v>
      </c>
      <c r="J4" s="15">
        <v>1.0995349583066101</v>
      </c>
    </row>
    <row r="5" spans="1:10">
      <c r="A5" t="s">
        <v>5435</v>
      </c>
      <c r="B5" s="13">
        <v>272522.98318444501</v>
      </c>
      <c r="C5" s="14">
        <v>77696</v>
      </c>
      <c r="D5" s="11">
        <v>3.5075548700633901</v>
      </c>
      <c r="E5" s="15">
        <v>1.10703294198108</v>
      </c>
      <c r="H5" t="s">
        <v>5435</v>
      </c>
      <c r="I5" s="11">
        <v>3.5075548700633901</v>
      </c>
      <c r="J5" s="15">
        <v>1.10703294198108</v>
      </c>
    </row>
    <row r="6" spans="1:10">
      <c r="A6" t="s">
        <v>5436</v>
      </c>
      <c r="B6" s="13">
        <v>276856.894935672</v>
      </c>
      <c r="C6" s="14">
        <v>82688</v>
      </c>
      <c r="D6" s="11">
        <v>3.3482112874379801</v>
      </c>
      <c r="E6" s="15">
        <v>1.1124145724587</v>
      </c>
      <c r="H6" t="s">
        <v>5436</v>
      </c>
      <c r="I6" s="11">
        <v>3.3482112874379801</v>
      </c>
      <c r="J6" s="15">
        <v>1.1124145724587</v>
      </c>
    </row>
    <row r="7" spans="1:10">
      <c r="A7" t="s">
        <v>5437</v>
      </c>
      <c r="B7" s="13">
        <v>311344.46374160802</v>
      </c>
      <c r="C7" s="14">
        <v>100109</v>
      </c>
      <c r="D7" s="11">
        <v>3.11005467781726</v>
      </c>
      <c r="E7" s="15">
        <v>1.1203764842814501</v>
      </c>
      <c r="F7">
        <f>(C8-C7)/C8</f>
        <v>-5.2748362129704608E-2</v>
      </c>
      <c r="H7" t="s">
        <v>5437</v>
      </c>
      <c r="I7" s="11">
        <v>3.11005467781726</v>
      </c>
      <c r="J7" s="15">
        <v>1.1203764842814501</v>
      </c>
    </row>
    <row r="8" spans="1:10">
      <c r="A8" t="s">
        <v>5438</v>
      </c>
      <c r="B8" s="13">
        <v>257194.55216369199</v>
      </c>
      <c r="C8" s="14">
        <v>95093</v>
      </c>
      <c r="D8" s="11">
        <v>2.7046633523360502</v>
      </c>
      <c r="E8" s="15">
        <v>1.12270365997639</v>
      </c>
      <c r="H8" t="s">
        <v>5438</v>
      </c>
      <c r="I8" s="11">
        <v>2.7046633523360502</v>
      </c>
      <c r="J8" s="15">
        <v>1.12270365997639</v>
      </c>
    </row>
    <row r="9" spans="1:10">
      <c r="A9" t="s">
        <v>5439</v>
      </c>
      <c r="B9" s="13">
        <v>196031.08198968699</v>
      </c>
      <c r="C9" s="14">
        <v>67198</v>
      </c>
      <c r="D9" s="11">
        <v>2.9172160181804099</v>
      </c>
      <c r="E9" s="15">
        <v>1.1067411103974201</v>
      </c>
      <c r="F9">
        <f>(C9-C8)/C9</f>
        <v>-0.41511652132503946</v>
      </c>
      <c r="H9" t="s">
        <v>5439</v>
      </c>
      <c r="I9" s="11">
        <v>2.9172160181804099</v>
      </c>
      <c r="J9" s="15">
        <v>1.1067411103974201</v>
      </c>
    </row>
    <row r="10" spans="1:10">
      <c r="A10" t="s">
        <v>5440</v>
      </c>
      <c r="B10" s="13">
        <v>258165.53834108601</v>
      </c>
      <c r="C10" s="14">
        <v>66172</v>
      </c>
      <c r="D10" s="11">
        <v>3.9014316983178099</v>
      </c>
      <c r="E10" s="15">
        <v>1.0904177309055001</v>
      </c>
      <c r="H10" t="s">
        <v>5440</v>
      </c>
      <c r="I10" s="11">
        <v>3.9014316983178099</v>
      </c>
      <c r="J10" s="15">
        <v>1.0904177309055001</v>
      </c>
    </row>
    <row r="11" spans="1:10">
      <c r="A11" t="s">
        <v>5441</v>
      </c>
      <c r="B11" s="13">
        <v>237630.372098839</v>
      </c>
      <c r="C11" s="14">
        <v>63498</v>
      </c>
      <c r="D11" s="11">
        <v>3.74232845284638</v>
      </c>
      <c r="E11" s="15">
        <v>1.0821063394682999</v>
      </c>
      <c r="H11" t="s">
        <v>5441</v>
      </c>
      <c r="I11" s="11">
        <v>3.74232845284638</v>
      </c>
      <c r="J11" s="15">
        <v>1.0821063394682999</v>
      </c>
    </row>
    <row r="12" spans="1:10">
      <c r="A12" t="s">
        <v>5442</v>
      </c>
      <c r="B12" s="13">
        <v>248202.187709391</v>
      </c>
      <c r="C12" s="14">
        <v>65849</v>
      </c>
      <c r="D12" s="11">
        <v>3.7692628241794299</v>
      </c>
      <c r="E12" s="15">
        <v>1.0876222251585601</v>
      </c>
      <c r="H12" t="s">
        <v>5442</v>
      </c>
      <c r="I12" s="11">
        <v>3.7692628241794299</v>
      </c>
      <c r="J12" s="15">
        <v>1.0876222251585601</v>
      </c>
    </row>
    <row r="13" spans="1:10">
      <c r="A13" t="s">
        <v>5443</v>
      </c>
      <c r="B13" s="13">
        <v>199955.69736543699</v>
      </c>
      <c r="C13" s="14">
        <v>62304</v>
      </c>
      <c r="D13" s="11">
        <v>3.2093556973137698</v>
      </c>
      <c r="E13" s="15">
        <v>1.0812912183269701</v>
      </c>
      <c r="H13" t="s">
        <v>5443</v>
      </c>
      <c r="I13" s="11">
        <v>3.2093556973137698</v>
      </c>
      <c r="J13" s="15">
        <v>1.0812912183269701</v>
      </c>
    </row>
    <row r="14" spans="1:10">
      <c r="B14">
        <f>SUM(B2:B13)</f>
        <v>2912852.5010865172</v>
      </c>
      <c r="C14" s="18">
        <f>SUM(C2:C13)</f>
        <v>879261</v>
      </c>
    </row>
    <row r="16" spans="1:10">
      <c r="A16" t="s">
        <v>5444</v>
      </c>
      <c r="B16" s="11">
        <f>(B7-B3)/B3</f>
        <v>0.55203966667014259</v>
      </c>
      <c r="C16">
        <f>(C7-C3)/C3</f>
        <v>0.60595803388090352</v>
      </c>
    </row>
    <row r="17" spans="1:3">
      <c r="A17" t="s">
        <v>5445</v>
      </c>
      <c r="B17" s="11">
        <f>(B9-B7)/B7</f>
        <v>-0.37037235339319308</v>
      </c>
      <c r="C17" s="11">
        <f>(C9-C7)/C7</f>
        <v>-0.32875166068984807</v>
      </c>
    </row>
    <row r="18" spans="1:3">
      <c r="A18" t="s">
        <v>5446</v>
      </c>
      <c r="B18">
        <f>(B10-B9)/B9</f>
        <v>0.31696226802782146</v>
      </c>
      <c r="C18">
        <f>(C10-C9)/C9</f>
        <v>-1.5268311556891574E-2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2773-2704-4092-A962-9C55AE713E48}">
  <dimension ref="A1:AK115"/>
  <sheetViews>
    <sheetView workbookViewId="0">
      <selection activeCell="T43" sqref="T43"/>
    </sheetView>
  </sheetViews>
  <sheetFormatPr defaultRowHeight="14.25"/>
  <cols>
    <col min="1" max="1" width="15.6640625" bestFit="1" customWidth="1"/>
    <col min="10" max="10" width="15.6640625" bestFit="1" customWidth="1"/>
    <col min="11" max="11" width="13.73046875" bestFit="1" customWidth="1"/>
    <col min="12" max="12" width="9.6640625" bestFit="1" customWidth="1"/>
    <col min="17" max="18" width="12.9296875" bestFit="1" customWidth="1"/>
    <col min="31" max="31" width="18" customWidth="1"/>
  </cols>
  <sheetData>
    <row r="1" spans="1:37">
      <c r="A1" t="s">
        <v>5279</v>
      </c>
      <c r="B1" t="s">
        <v>5280</v>
      </c>
      <c r="C1" t="s">
        <v>5281</v>
      </c>
      <c r="D1" t="s">
        <v>5303</v>
      </c>
      <c r="E1" t="s">
        <v>61</v>
      </c>
      <c r="F1" t="s">
        <v>62</v>
      </c>
      <c r="G1" t="s">
        <v>5282</v>
      </c>
      <c r="K1" t="s">
        <v>5331</v>
      </c>
      <c r="L1" t="s">
        <v>5448</v>
      </c>
      <c r="M1" t="s">
        <v>5449</v>
      </c>
      <c r="N1" t="s">
        <v>5450</v>
      </c>
      <c r="O1" t="s">
        <v>5451</v>
      </c>
      <c r="Q1" s="4" t="s">
        <v>5305</v>
      </c>
      <c r="R1" s="4" t="s">
        <v>5306</v>
      </c>
      <c r="S1" s="4" t="s">
        <v>5307</v>
      </c>
      <c r="T1" s="4" t="s">
        <v>5308</v>
      </c>
      <c r="U1" s="4" t="s">
        <v>5309</v>
      </c>
      <c r="V1" s="4" t="s">
        <v>5310</v>
      </c>
      <c r="W1" s="4" t="s">
        <v>5311</v>
      </c>
      <c r="X1" s="4" t="s">
        <v>5312</v>
      </c>
      <c r="AE1" s="4" t="s">
        <v>5305</v>
      </c>
      <c r="AF1" s="4" t="s">
        <v>5306</v>
      </c>
      <c r="AG1" s="4" t="s">
        <v>5307</v>
      </c>
      <c r="AH1" s="4" t="s">
        <v>5308</v>
      </c>
      <c r="AI1" s="4" t="s">
        <v>5309</v>
      </c>
      <c r="AJ1" t="s">
        <v>5310</v>
      </c>
      <c r="AK1" s="4" t="s">
        <v>5311</v>
      </c>
    </row>
    <row r="2" spans="1:37">
      <c r="A2" t="s">
        <v>5283</v>
      </c>
      <c r="B2">
        <v>0</v>
      </c>
      <c r="C2" t="s">
        <v>5284</v>
      </c>
      <c r="D2">
        <v>9236</v>
      </c>
      <c r="E2">
        <v>10573</v>
      </c>
      <c r="F2">
        <v>16936.640501920199</v>
      </c>
      <c r="G2">
        <v>1.60187652529274</v>
      </c>
      <c r="J2" t="s">
        <v>5302</v>
      </c>
      <c r="K2">
        <v>78721</v>
      </c>
      <c r="L2">
        <v>43430</v>
      </c>
      <c r="M2">
        <v>35291</v>
      </c>
      <c r="N2">
        <f>L2/K2</f>
        <v>0.55169522744883825</v>
      </c>
      <c r="O2">
        <f>M2/K2</f>
        <v>0.44830477255116169</v>
      </c>
      <c r="Q2" t="s">
        <v>5302</v>
      </c>
      <c r="S2">
        <v>43430</v>
      </c>
      <c r="T2">
        <v>71930</v>
      </c>
      <c r="U2">
        <v>220261.017155548</v>
      </c>
      <c r="V2" s="11">
        <f>U2/S2</f>
        <v>5.0716329071044903</v>
      </c>
      <c r="W2" s="11">
        <f>U2/T2</f>
        <v>3.0621578917773946</v>
      </c>
      <c r="X2">
        <v>1.66</v>
      </c>
      <c r="Y2">
        <f>(V3-V2)/V2</f>
        <v>5.0628273362790764E-2</v>
      </c>
      <c r="Z2" s="11">
        <f>V2+V3</f>
        <v>10.400033831425592</v>
      </c>
      <c r="AA2" s="11"/>
      <c r="AB2" s="11">
        <f>W2+W3</f>
        <v>6.0006302019973532</v>
      </c>
      <c r="AC2" s="11"/>
      <c r="AE2" t="s">
        <v>5302</v>
      </c>
      <c r="AF2" t="s">
        <v>5473</v>
      </c>
      <c r="AG2">
        <v>43430</v>
      </c>
      <c r="AH2">
        <v>71930</v>
      </c>
      <c r="AI2">
        <v>220261.017155548</v>
      </c>
      <c r="AJ2">
        <v>5.0716329071044903</v>
      </c>
      <c r="AK2" s="11">
        <f>AI2/AH2</f>
        <v>3.0621578917773946</v>
      </c>
    </row>
    <row r="3" spans="1:37">
      <c r="A3" t="s">
        <v>5283</v>
      </c>
      <c r="B3">
        <v>1</v>
      </c>
      <c r="C3" t="s">
        <v>5284</v>
      </c>
      <c r="D3">
        <v>6041</v>
      </c>
      <c r="E3">
        <v>7049</v>
      </c>
      <c r="F3">
        <v>10944.918534779599</v>
      </c>
      <c r="G3">
        <v>1.55269095400476</v>
      </c>
      <c r="J3" t="s">
        <v>5283</v>
      </c>
      <c r="K3">
        <v>138409</v>
      </c>
      <c r="L3">
        <v>89099</v>
      </c>
      <c r="M3">
        <v>49310</v>
      </c>
      <c r="N3">
        <f>L3/K3</f>
        <v>0.6437370402213729</v>
      </c>
      <c r="O3">
        <f>M3/K3</f>
        <v>0.3562629597786271</v>
      </c>
      <c r="R3" t="s">
        <v>5455</v>
      </c>
      <c r="S3">
        <v>35291</v>
      </c>
      <c r="T3">
        <v>63994</v>
      </c>
      <c r="U3">
        <v>188044.597020216</v>
      </c>
      <c r="V3" s="11">
        <f t="shared" ref="V3:V9" si="0">U3/S3</f>
        <v>5.3284009243211017</v>
      </c>
      <c r="W3" s="11">
        <f t="shared" ref="W3:W9" si="1">U3/T3</f>
        <v>2.9384723102199581</v>
      </c>
      <c r="X3">
        <v>1.81</v>
      </c>
      <c r="Z3" s="11">
        <f>V4+V5</f>
        <v>14.12685442313758</v>
      </c>
      <c r="AB3" s="11">
        <f>W4+W5</f>
        <v>6.8225117398036277</v>
      </c>
      <c r="AE3" t="s">
        <v>5302</v>
      </c>
      <c r="AF3" t="s">
        <v>5474</v>
      </c>
      <c r="AG3">
        <v>35291</v>
      </c>
      <c r="AH3">
        <v>63994</v>
      </c>
      <c r="AI3">
        <v>188044.597020216</v>
      </c>
      <c r="AJ3">
        <v>5.3284009243211017</v>
      </c>
      <c r="AK3" s="11">
        <f t="shared" ref="AK3:AK9" si="2">AI3/AH3</f>
        <v>2.9384723102199581</v>
      </c>
    </row>
    <row r="4" spans="1:37">
      <c r="A4" t="s">
        <v>5283</v>
      </c>
      <c r="B4">
        <v>0</v>
      </c>
      <c r="C4" t="s">
        <v>5285</v>
      </c>
      <c r="D4">
        <v>34</v>
      </c>
      <c r="E4">
        <v>35</v>
      </c>
      <c r="F4">
        <v>115.833897329867</v>
      </c>
      <c r="G4">
        <v>3.3095399237104801</v>
      </c>
      <c r="J4" t="s">
        <v>5299</v>
      </c>
      <c r="K4">
        <v>99836</v>
      </c>
      <c r="L4">
        <v>57572</v>
      </c>
      <c r="M4">
        <v>42264</v>
      </c>
      <c r="N4">
        <f>L4/K4</f>
        <v>0.57666573180015224</v>
      </c>
      <c r="O4">
        <f>M4/K4</f>
        <v>0.42333426819984776</v>
      </c>
      <c r="Q4" t="s">
        <v>5283</v>
      </c>
      <c r="S4">
        <v>89099</v>
      </c>
      <c r="T4">
        <v>173097</v>
      </c>
      <c r="U4">
        <v>598060.69525614602</v>
      </c>
      <c r="V4" s="11">
        <f t="shared" si="0"/>
        <v>6.7123165833078486</v>
      </c>
      <c r="W4" s="11">
        <f t="shared" si="1"/>
        <v>3.4550610077363908</v>
      </c>
      <c r="X4">
        <v>1.94</v>
      </c>
      <c r="Y4">
        <f>(V5-V4)/V4</f>
        <v>0.104616826069879</v>
      </c>
      <c r="Z4" s="11">
        <f>V6+V7</f>
        <v>13.269792641901077</v>
      </c>
      <c r="AB4" s="11">
        <f>W6+W7</f>
        <v>6.6669353612073028</v>
      </c>
      <c r="AE4" t="s">
        <v>5283</v>
      </c>
      <c r="AF4" t="s">
        <v>5473</v>
      </c>
      <c r="AG4">
        <v>89099</v>
      </c>
      <c r="AH4">
        <v>173097</v>
      </c>
      <c r="AI4">
        <v>598060.69525614602</v>
      </c>
      <c r="AJ4">
        <v>6.7123165833078486</v>
      </c>
      <c r="AK4" s="11">
        <f t="shared" si="2"/>
        <v>3.4550610077363908</v>
      </c>
    </row>
    <row r="5" spans="1:37">
      <c r="A5" t="s">
        <v>5283</v>
      </c>
      <c r="B5">
        <v>1</v>
      </c>
      <c r="C5" t="s">
        <v>5285</v>
      </c>
      <c r="D5">
        <v>22</v>
      </c>
      <c r="E5">
        <v>22</v>
      </c>
      <c r="F5">
        <v>81.520338170230403</v>
      </c>
      <c r="G5">
        <v>3.7054699168286498</v>
      </c>
      <c r="J5" t="s">
        <v>5301</v>
      </c>
      <c r="K5">
        <v>36594</v>
      </c>
      <c r="L5">
        <v>19206</v>
      </c>
      <c r="M5">
        <v>17388</v>
      </c>
      <c r="N5">
        <f>L5/K5</f>
        <v>0.52484013772749627</v>
      </c>
      <c r="O5">
        <f>M5/K5</f>
        <v>0.47515986227250367</v>
      </c>
      <c r="R5" t="s">
        <v>5455</v>
      </c>
      <c r="S5">
        <v>49310</v>
      </c>
      <c r="T5">
        <v>108572</v>
      </c>
      <c r="U5">
        <v>365610.86088200402</v>
      </c>
      <c r="V5" s="11">
        <f t="shared" si="0"/>
        <v>7.4145378398297304</v>
      </c>
      <c r="W5" s="11">
        <f t="shared" si="1"/>
        <v>3.3674507320672369</v>
      </c>
      <c r="X5">
        <v>2.2000000000000002</v>
      </c>
      <c r="Z5" s="11">
        <f>V8+V9</f>
        <v>12.608295031109664</v>
      </c>
      <c r="AB5" s="11">
        <f>W8+W9</f>
        <v>6.8370262275466622</v>
      </c>
      <c r="AE5" t="s">
        <v>5283</v>
      </c>
      <c r="AF5" t="s">
        <v>5474</v>
      </c>
      <c r="AG5">
        <v>49310</v>
      </c>
      <c r="AH5">
        <v>108572</v>
      </c>
      <c r="AI5">
        <v>365610.86088200402</v>
      </c>
      <c r="AJ5">
        <v>7.4145378398297304</v>
      </c>
      <c r="AK5" s="11">
        <f t="shared" si="2"/>
        <v>3.3674507320672369</v>
      </c>
    </row>
    <row r="6" spans="1:37" ht="28.5">
      <c r="A6" t="s">
        <v>5283</v>
      </c>
      <c r="B6">
        <v>0</v>
      </c>
      <c r="C6" t="s">
        <v>5286</v>
      </c>
      <c r="D6">
        <v>6</v>
      </c>
      <c r="E6">
        <v>6</v>
      </c>
      <c r="F6">
        <v>2.8372881468385498</v>
      </c>
      <c r="G6">
        <v>0.47288135780642399</v>
      </c>
      <c r="Q6" s="19" t="s">
        <v>5456</v>
      </c>
      <c r="S6">
        <v>57572</v>
      </c>
      <c r="T6">
        <v>106461</v>
      </c>
      <c r="U6">
        <v>357837.96066264901</v>
      </c>
      <c r="V6" s="11">
        <f t="shared" si="0"/>
        <v>6.215486011648875</v>
      </c>
      <c r="W6" s="11">
        <f t="shared" si="1"/>
        <v>3.3612117175552458</v>
      </c>
      <c r="X6">
        <v>1.85</v>
      </c>
      <c r="Y6">
        <f>(V7-V6)/V6</f>
        <v>0.13495656124577127</v>
      </c>
      <c r="AE6" s="19" t="s">
        <v>5456</v>
      </c>
      <c r="AF6" t="s">
        <v>5473</v>
      </c>
      <c r="AG6">
        <v>57572</v>
      </c>
      <c r="AH6">
        <v>106461</v>
      </c>
      <c r="AI6">
        <v>357837.96066264901</v>
      </c>
      <c r="AJ6">
        <v>6.215486011648875</v>
      </c>
      <c r="AK6" s="11">
        <f t="shared" si="2"/>
        <v>3.3612117175552458</v>
      </c>
    </row>
    <row r="7" spans="1:37" ht="28.5">
      <c r="A7" t="s">
        <v>5283</v>
      </c>
      <c r="B7">
        <v>1</v>
      </c>
      <c r="C7" t="s">
        <v>5286</v>
      </c>
      <c r="D7">
        <v>2</v>
      </c>
      <c r="E7">
        <v>2</v>
      </c>
      <c r="F7">
        <v>0.77627119608223405</v>
      </c>
      <c r="G7">
        <v>0.38813559804111702</v>
      </c>
      <c r="S7">
        <v>42264</v>
      </c>
      <c r="T7">
        <v>90190</v>
      </c>
      <c r="U7">
        <v>298143.21542097902</v>
      </c>
      <c r="V7" s="11">
        <f t="shared" si="0"/>
        <v>7.0543066302522011</v>
      </c>
      <c r="W7" s="11">
        <f t="shared" si="1"/>
        <v>3.305723643652057</v>
      </c>
      <c r="X7">
        <v>2.13</v>
      </c>
      <c r="AE7" s="19" t="s">
        <v>5456</v>
      </c>
      <c r="AF7" t="s">
        <v>5474</v>
      </c>
      <c r="AG7">
        <v>42264</v>
      </c>
      <c r="AH7">
        <v>90190</v>
      </c>
      <c r="AI7">
        <v>298143.21542097902</v>
      </c>
      <c r="AJ7">
        <v>7.0543066302522011</v>
      </c>
      <c r="AK7" s="11">
        <f t="shared" si="2"/>
        <v>3.305723643652057</v>
      </c>
    </row>
    <row r="8" spans="1:37">
      <c r="A8" t="s">
        <v>5283</v>
      </c>
      <c r="B8">
        <v>0</v>
      </c>
      <c r="C8" t="s">
        <v>5287</v>
      </c>
      <c r="D8">
        <v>5</v>
      </c>
      <c r="E8">
        <v>5</v>
      </c>
      <c r="F8">
        <v>3.9338983362540598</v>
      </c>
      <c r="G8">
        <v>0.78677966725081205</v>
      </c>
      <c r="Q8" t="s">
        <v>5301</v>
      </c>
      <c r="S8">
        <v>19206</v>
      </c>
      <c r="T8">
        <v>32902</v>
      </c>
      <c r="U8">
        <v>112758.055375703</v>
      </c>
      <c r="V8" s="11">
        <f t="shared" si="0"/>
        <v>5.8709807026816101</v>
      </c>
      <c r="W8" s="11">
        <f t="shared" si="1"/>
        <v>3.4270881823507082</v>
      </c>
      <c r="X8">
        <v>1.71</v>
      </c>
      <c r="Y8">
        <f>(V9-V8)/V8</f>
        <v>0.14756199511109622</v>
      </c>
      <c r="AE8" t="s">
        <v>5301</v>
      </c>
      <c r="AF8" t="s">
        <v>5473</v>
      </c>
      <c r="AG8">
        <v>19206</v>
      </c>
      <c r="AH8">
        <v>32902</v>
      </c>
      <c r="AI8">
        <v>112758.055375703</v>
      </c>
      <c r="AJ8">
        <v>5.8709807026816101</v>
      </c>
      <c r="AK8" s="11">
        <f t="shared" si="2"/>
        <v>3.4270881823507082</v>
      </c>
    </row>
    <row r="9" spans="1:37">
      <c r="A9" t="s">
        <v>5283</v>
      </c>
      <c r="B9">
        <v>1</v>
      </c>
      <c r="C9" t="s">
        <v>5287</v>
      </c>
      <c r="D9">
        <v>6</v>
      </c>
      <c r="E9">
        <v>6</v>
      </c>
      <c r="F9">
        <v>3.1881355214863998</v>
      </c>
      <c r="G9">
        <v>0.53135592024773404</v>
      </c>
      <c r="R9" t="s">
        <v>5455</v>
      </c>
      <c r="S9">
        <v>17388</v>
      </c>
      <c r="T9">
        <v>34355</v>
      </c>
      <c r="U9">
        <v>117148.421542707</v>
      </c>
      <c r="V9" s="11">
        <f t="shared" si="0"/>
        <v>6.7373143284280541</v>
      </c>
      <c r="W9" s="11">
        <f t="shared" si="1"/>
        <v>3.409938045195954</v>
      </c>
      <c r="X9">
        <v>1.98</v>
      </c>
      <c r="AE9" t="s">
        <v>5301</v>
      </c>
      <c r="AF9" t="s">
        <v>5474</v>
      </c>
      <c r="AG9">
        <v>17388</v>
      </c>
      <c r="AH9">
        <v>34355</v>
      </c>
      <c r="AI9">
        <v>117148.421542707</v>
      </c>
      <c r="AJ9">
        <v>6.7373143284280541</v>
      </c>
      <c r="AK9" s="11">
        <f t="shared" si="2"/>
        <v>3.409938045195954</v>
      </c>
    </row>
    <row r="10" spans="1:37">
      <c r="A10" t="s">
        <v>5283</v>
      </c>
      <c r="B10">
        <v>0</v>
      </c>
      <c r="C10" t="s">
        <v>5288</v>
      </c>
      <c r="D10">
        <v>17761</v>
      </c>
      <c r="E10">
        <v>23422</v>
      </c>
      <c r="F10">
        <v>88824.030598928206</v>
      </c>
      <c r="G10">
        <v>3.7923333019779801</v>
      </c>
    </row>
    <row r="11" spans="1:37">
      <c r="A11" t="s">
        <v>5283</v>
      </c>
      <c r="B11">
        <v>1</v>
      </c>
      <c r="C11" t="s">
        <v>5288</v>
      </c>
      <c r="D11">
        <v>11330</v>
      </c>
      <c r="E11">
        <v>15591</v>
      </c>
      <c r="F11">
        <v>57155.503417563203</v>
      </c>
      <c r="G11">
        <v>3.6659292808391499</v>
      </c>
    </row>
    <row r="12" spans="1:37">
      <c r="A12" t="s">
        <v>5283</v>
      </c>
      <c r="B12">
        <v>0</v>
      </c>
      <c r="C12" t="s">
        <v>5289</v>
      </c>
      <c r="D12">
        <v>31298</v>
      </c>
      <c r="E12">
        <v>44403</v>
      </c>
      <c r="F12">
        <v>147774.345266458</v>
      </c>
      <c r="G12">
        <v>3.3280261528828698</v>
      </c>
    </row>
    <row r="13" spans="1:37">
      <c r="A13" t="s">
        <v>5283</v>
      </c>
      <c r="B13">
        <v>1</v>
      </c>
      <c r="C13" t="s">
        <v>5289</v>
      </c>
      <c r="D13">
        <v>19199</v>
      </c>
      <c r="E13">
        <v>28242</v>
      </c>
      <c r="F13">
        <v>91274.238676746594</v>
      </c>
      <c r="G13">
        <v>3.2318617193097698</v>
      </c>
    </row>
    <row r="14" spans="1:37">
      <c r="A14" t="s">
        <v>5283</v>
      </c>
      <c r="B14">
        <v>0</v>
      </c>
      <c r="C14" t="s">
        <v>5290</v>
      </c>
      <c r="D14">
        <v>47837</v>
      </c>
      <c r="E14">
        <v>79084</v>
      </c>
      <c r="F14">
        <v>211733.163074276</v>
      </c>
      <c r="G14">
        <v>2.6773198507191802</v>
      </c>
    </row>
    <row r="15" spans="1:37">
      <c r="A15" t="s">
        <v>5283</v>
      </c>
      <c r="B15">
        <v>1</v>
      </c>
      <c r="C15" t="s">
        <v>5290</v>
      </c>
      <c r="D15">
        <v>29090</v>
      </c>
      <c r="E15">
        <v>51424</v>
      </c>
      <c r="F15">
        <v>136990.50594623</v>
      </c>
      <c r="G15">
        <v>2.6639410770501999</v>
      </c>
    </row>
    <row r="16" spans="1:37">
      <c r="A16" t="s">
        <v>5283</v>
      </c>
      <c r="B16">
        <v>0</v>
      </c>
      <c r="C16" t="s">
        <v>5291</v>
      </c>
      <c r="D16">
        <v>20</v>
      </c>
      <c r="E16">
        <v>20</v>
      </c>
      <c r="F16">
        <v>24.199999775737499</v>
      </c>
      <c r="G16">
        <v>1.20999998878688</v>
      </c>
    </row>
    <row r="17" spans="1:7">
      <c r="A17" t="s">
        <v>5283</v>
      </c>
      <c r="B17">
        <v>1</v>
      </c>
      <c r="C17" t="s">
        <v>5291</v>
      </c>
      <c r="D17">
        <v>9</v>
      </c>
      <c r="E17">
        <v>9</v>
      </c>
      <c r="F17">
        <v>9.6050846856087393</v>
      </c>
      <c r="G17">
        <v>1.0672316317343</v>
      </c>
    </row>
    <row r="18" spans="1:7">
      <c r="A18" t="s">
        <v>5283</v>
      </c>
      <c r="B18">
        <v>0</v>
      </c>
      <c r="C18" t="s">
        <v>5292</v>
      </c>
      <c r="D18">
        <v>2090</v>
      </c>
      <c r="E18">
        <v>2236</v>
      </c>
      <c r="F18">
        <v>5655.5880822008503</v>
      </c>
      <c r="G18">
        <v>2.5293327737928699</v>
      </c>
    </row>
    <row r="19" spans="1:7">
      <c r="A19" t="s">
        <v>5283</v>
      </c>
      <c r="B19">
        <v>1</v>
      </c>
      <c r="C19" t="s">
        <v>5292</v>
      </c>
      <c r="D19">
        <v>1355</v>
      </c>
      <c r="E19">
        <v>1449</v>
      </c>
      <c r="F19">
        <v>3599.59996207617</v>
      </c>
      <c r="G19">
        <v>2.4841959710670598</v>
      </c>
    </row>
    <row r="20" spans="1:7">
      <c r="A20" t="s">
        <v>5283</v>
      </c>
      <c r="B20">
        <v>0</v>
      </c>
      <c r="C20" t="s">
        <v>5293</v>
      </c>
      <c r="D20">
        <v>4981</v>
      </c>
      <c r="E20">
        <v>5630</v>
      </c>
      <c r="F20">
        <v>22662.389862351101</v>
      </c>
      <c r="G20">
        <v>4.0252912721760401</v>
      </c>
    </row>
    <row r="21" spans="1:7">
      <c r="A21" t="s">
        <v>5283</v>
      </c>
      <c r="B21">
        <v>1</v>
      </c>
      <c r="C21" t="s">
        <v>5293</v>
      </c>
      <c r="D21">
        <v>3370</v>
      </c>
      <c r="E21">
        <v>3857</v>
      </c>
      <c r="F21">
        <v>14717.8627172252</v>
      </c>
      <c r="G21">
        <v>3.8158835149663499</v>
      </c>
    </row>
    <row r="22" spans="1:7">
      <c r="A22" t="s">
        <v>5283</v>
      </c>
      <c r="B22">
        <v>0</v>
      </c>
      <c r="C22" t="s">
        <v>5294</v>
      </c>
      <c r="D22">
        <v>4269</v>
      </c>
      <c r="E22">
        <v>4658</v>
      </c>
      <c r="F22">
        <v>5423.1728175014696</v>
      </c>
      <c r="G22">
        <v>1.1642706778663501</v>
      </c>
    </row>
    <row r="23" spans="1:7">
      <c r="A23" t="s">
        <v>5283</v>
      </c>
      <c r="B23">
        <v>1</v>
      </c>
      <c r="C23" t="s">
        <v>5294</v>
      </c>
      <c r="D23">
        <v>2478</v>
      </c>
      <c r="E23">
        <v>2706</v>
      </c>
      <c r="F23">
        <v>3089.27792772884</v>
      </c>
      <c r="G23">
        <v>1.1416400324201199</v>
      </c>
    </row>
    <row r="24" spans="1:7">
      <c r="A24" t="s">
        <v>5283</v>
      </c>
      <c r="B24">
        <v>0</v>
      </c>
      <c r="C24" t="s">
        <v>5295</v>
      </c>
      <c r="D24">
        <v>14091</v>
      </c>
      <c r="E24">
        <v>18831</v>
      </c>
      <c r="F24">
        <v>43292.033461085499</v>
      </c>
      <c r="G24">
        <v>2.2989768711744198</v>
      </c>
    </row>
    <row r="25" spans="1:7">
      <c r="A25" t="s">
        <v>5283</v>
      </c>
      <c r="B25">
        <v>1</v>
      </c>
      <c r="C25" t="s">
        <v>5295</v>
      </c>
      <c r="D25">
        <v>8256</v>
      </c>
      <c r="E25">
        <v>11233</v>
      </c>
      <c r="F25">
        <v>25120.413303654601</v>
      </c>
      <c r="G25">
        <v>2.2363049322224402</v>
      </c>
    </row>
    <row r="26" spans="1:7">
      <c r="A26" t="s">
        <v>5283</v>
      </c>
      <c r="B26">
        <v>0</v>
      </c>
      <c r="C26" t="s">
        <v>5296</v>
      </c>
      <c r="D26">
        <v>13885</v>
      </c>
      <c r="E26">
        <v>17193</v>
      </c>
      <c r="F26">
        <v>36528.826650275703</v>
      </c>
      <c r="G26">
        <v>2.1246336677878102</v>
      </c>
    </row>
    <row r="27" spans="1:7">
      <c r="A27" t="s">
        <v>5283</v>
      </c>
      <c r="B27">
        <v>1</v>
      </c>
      <c r="C27" t="s">
        <v>5296</v>
      </c>
      <c r="D27">
        <v>8182</v>
      </c>
      <c r="E27">
        <v>10305</v>
      </c>
      <c r="F27">
        <v>21032.614986941899</v>
      </c>
      <c r="G27">
        <v>2.04101067316273</v>
      </c>
    </row>
    <row r="28" spans="1:7">
      <c r="A28" t="s">
        <v>5283</v>
      </c>
      <c r="B28">
        <v>0</v>
      </c>
      <c r="C28" t="s">
        <v>5297</v>
      </c>
      <c r="D28">
        <v>3</v>
      </c>
      <c r="E28">
        <v>3</v>
      </c>
      <c r="F28">
        <v>7.5745759531855601</v>
      </c>
      <c r="G28">
        <v>2.5248586510618498</v>
      </c>
    </row>
    <row r="29" spans="1:7">
      <c r="A29" t="s">
        <v>5283</v>
      </c>
      <c r="B29">
        <v>1</v>
      </c>
      <c r="C29" t="s">
        <v>5297</v>
      </c>
      <c r="D29">
        <v>6</v>
      </c>
      <c r="E29">
        <v>6</v>
      </c>
      <c r="F29">
        <v>14.003389701247199</v>
      </c>
      <c r="G29">
        <v>2.3338982835411999</v>
      </c>
    </row>
    <row r="30" spans="1:7">
      <c r="A30" t="s">
        <v>5283</v>
      </c>
      <c r="B30">
        <v>0</v>
      </c>
      <c r="C30" t="s">
        <v>5298</v>
      </c>
      <c r="D30">
        <v>292</v>
      </c>
      <c r="E30">
        <v>302</v>
      </c>
      <c r="F30">
        <v>734.411855298094</v>
      </c>
      <c r="G30">
        <v>2.43182733542415</v>
      </c>
    </row>
    <row r="31" spans="1:7">
      <c r="A31" t="s">
        <v>5283</v>
      </c>
      <c r="B31">
        <v>1</v>
      </c>
      <c r="C31" t="s">
        <v>5298</v>
      </c>
      <c r="D31">
        <v>188</v>
      </c>
      <c r="E31">
        <v>193</v>
      </c>
      <c r="F31">
        <v>469.62033361196501</v>
      </c>
      <c r="G31">
        <v>2.4332659772640701</v>
      </c>
    </row>
    <row r="32" spans="1:7">
      <c r="A32" t="s">
        <v>5299</v>
      </c>
      <c r="B32">
        <v>0</v>
      </c>
      <c r="C32" t="s">
        <v>5284</v>
      </c>
      <c r="D32">
        <v>4655</v>
      </c>
      <c r="E32">
        <v>5160</v>
      </c>
      <c r="F32">
        <v>8135.5863611184805</v>
      </c>
      <c r="G32">
        <v>1.57666402347257</v>
      </c>
    </row>
    <row r="33" spans="1:17">
      <c r="A33" t="s">
        <v>5299</v>
      </c>
      <c r="B33">
        <v>1</v>
      </c>
      <c r="C33" t="s">
        <v>5284</v>
      </c>
      <c r="D33">
        <v>4077</v>
      </c>
      <c r="E33">
        <v>4672</v>
      </c>
      <c r="F33">
        <v>7376.21517691587</v>
      </c>
      <c r="G33">
        <v>1.57881317999055</v>
      </c>
    </row>
    <row r="34" spans="1:17">
      <c r="A34" t="s">
        <v>5299</v>
      </c>
      <c r="B34">
        <v>0</v>
      </c>
      <c r="C34" t="s">
        <v>5285</v>
      </c>
      <c r="D34">
        <v>24</v>
      </c>
      <c r="E34">
        <v>24</v>
      </c>
      <c r="F34">
        <v>81.835592724382906</v>
      </c>
      <c r="G34">
        <v>3.40981636351595</v>
      </c>
    </row>
    <row r="35" spans="1:17">
      <c r="A35" t="s">
        <v>5299</v>
      </c>
      <c r="B35">
        <v>1</v>
      </c>
      <c r="C35" t="s">
        <v>5285</v>
      </c>
      <c r="D35">
        <v>10</v>
      </c>
      <c r="E35">
        <v>10</v>
      </c>
      <c r="F35">
        <v>39.955931901931798</v>
      </c>
      <c r="G35">
        <v>3.9955931901931798</v>
      </c>
      <c r="Q35" t="s">
        <v>5313</v>
      </c>
    </row>
    <row r="36" spans="1:17">
      <c r="A36" t="s">
        <v>5299</v>
      </c>
      <c r="B36">
        <v>0</v>
      </c>
      <c r="C36" t="s">
        <v>5286</v>
      </c>
      <c r="D36">
        <v>9</v>
      </c>
      <c r="E36">
        <v>10</v>
      </c>
      <c r="F36">
        <v>4.6271185856312496</v>
      </c>
      <c r="G36">
        <v>0.46271185856312502</v>
      </c>
      <c r="Q36" t="s">
        <v>5314</v>
      </c>
    </row>
    <row r="37" spans="1:17">
      <c r="A37" t="s">
        <v>5299</v>
      </c>
      <c r="B37">
        <v>1</v>
      </c>
      <c r="C37" t="s">
        <v>5286</v>
      </c>
      <c r="D37">
        <v>5</v>
      </c>
      <c r="E37">
        <v>5</v>
      </c>
      <c r="F37">
        <v>3.4796611405909101</v>
      </c>
      <c r="G37">
        <v>0.69593222811818101</v>
      </c>
    </row>
    <row r="38" spans="1:17">
      <c r="A38" t="s">
        <v>5299</v>
      </c>
      <c r="B38">
        <v>0</v>
      </c>
      <c r="C38" t="s">
        <v>5287</v>
      </c>
      <c r="D38">
        <v>4</v>
      </c>
      <c r="E38">
        <v>4</v>
      </c>
      <c r="F38">
        <v>2.32203383930027</v>
      </c>
      <c r="G38">
        <v>0.58050845982506905</v>
      </c>
    </row>
    <row r="39" spans="1:17">
      <c r="A39" t="s">
        <v>5299</v>
      </c>
      <c r="B39">
        <v>1</v>
      </c>
      <c r="C39" t="s">
        <v>5287</v>
      </c>
      <c r="D39">
        <v>6</v>
      </c>
      <c r="E39">
        <v>6</v>
      </c>
      <c r="F39">
        <v>4.2322034481912896</v>
      </c>
      <c r="G39">
        <v>0.705367241365214</v>
      </c>
    </row>
    <row r="40" spans="1:17">
      <c r="A40" t="s">
        <v>5299</v>
      </c>
      <c r="B40">
        <v>1</v>
      </c>
      <c r="C40" t="s">
        <v>5300</v>
      </c>
      <c r="D40">
        <v>1</v>
      </c>
      <c r="E40">
        <v>1</v>
      </c>
      <c r="F40">
        <v>0.43050851672887802</v>
      </c>
      <c r="G40">
        <v>0.43050851672887802</v>
      </c>
    </row>
    <row r="41" spans="1:17">
      <c r="A41" t="s">
        <v>5299</v>
      </c>
      <c r="B41">
        <v>0</v>
      </c>
      <c r="C41" t="s">
        <v>5288</v>
      </c>
      <c r="D41">
        <v>10165</v>
      </c>
      <c r="E41">
        <v>13204</v>
      </c>
      <c r="F41">
        <v>49595.910175144701</v>
      </c>
      <c r="G41">
        <v>3.75612770184373</v>
      </c>
    </row>
    <row r="42" spans="1:17">
      <c r="A42" t="s">
        <v>5299</v>
      </c>
      <c r="B42">
        <v>1</v>
      </c>
      <c r="C42" t="s">
        <v>5288</v>
      </c>
      <c r="D42">
        <v>9189</v>
      </c>
      <c r="E42">
        <v>12559</v>
      </c>
      <c r="F42">
        <v>46096.730531496003</v>
      </c>
      <c r="G42">
        <v>3.6704140880242102</v>
      </c>
    </row>
    <row r="43" spans="1:17">
      <c r="A43" t="s">
        <v>5299</v>
      </c>
      <c r="B43">
        <v>0</v>
      </c>
      <c r="C43" t="s">
        <v>5289</v>
      </c>
      <c r="D43">
        <v>20581</v>
      </c>
      <c r="E43">
        <v>28774</v>
      </c>
      <c r="F43">
        <v>93986.2673872616</v>
      </c>
      <c r="G43">
        <v>3.2663608600563601</v>
      </c>
    </row>
    <row r="44" spans="1:17">
      <c r="A44" t="s">
        <v>5299</v>
      </c>
      <c r="B44">
        <v>1</v>
      </c>
      <c r="C44" t="s">
        <v>5289</v>
      </c>
      <c r="D44">
        <v>16942</v>
      </c>
      <c r="E44">
        <v>25470</v>
      </c>
      <c r="F44">
        <v>81048.216608481001</v>
      </c>
      <c r="G44">
        <v>3.1821050886722002</v>
      </c>
    </row>
    <row r="45" spans="1:17">
      <c r="A45" t="s">
        <v>5299</v>
      </c>
      <c r="B45">
        <v>0</v>
      </c>
      <c r="C45" t="s">
        <v>5290</v>
      </c>
      <c r="D45">
        <v>30460</v>
      </c>
      <c r="E45">
        <v>48781</v>
      </c>
      <c r="F45">
        <v>131617.727927648</v>
      </c>
      <c r="G45">
        <v>2.6981350920983198</v>
      </c>
    </row>
    <row r="46" spans="1:17">
      <c r="A46" t="s">
        <v>5299</v>
      </c>
      <c r="B46">
        <v>1</v>
      </c>
      <c r="C46" t="s">
        <v>5290</v>
      </c>
      <c r="D46">
        <v>25214</v>
      </c>
      <c r="E46">
        <v>43517</v>
      </c>
      <c r="F46">
        <v>116246.953511104</v>
      </c>
      <c r="G46">
        <v>2.6712998026312502</v>
      </c>
    </row>
    <row r="47" spans="1:17">
      <c r="A47" t="s">
        <v>5299</v>
      </c>
      <c r="B47">
        <v>0</v>
      </c>
      <c r="C47" t="s">
        <v>5291</v>
      </c>
      <c r="D47">
        <v>15</v>
      </c>
      <c r="E47">
        <v>15</v>
      </c>
      <c r="F47">
        <v>18.874575989320899</v>
      </c>
      <c r="G47">
        <v>1.2583050659547299</v>
      </c>
    </row>
    <row r="48" spans="1:17">
      <c r="A48" t="s">
        <v>5299</v>
      </c>
      <c r="B48">
        <v>1</v>
      </c>
      <c r="C48" t="s">
        <v>5291</v>
      </c>
      <c r="D48">
        <v>6</v>
      </c>
      <c r="E48">
        <v>6</v>
      </c>
      <c r="F48">
        <v>7.2067796252667904</v>
      </c>
      <c r="G48">
        <v>1.2011299375444699</v>
      </c>
    </row>
    <row r="49" spans="1:7">
      <c r="A49" t="s">
        <v>5299</v>
      </c>
      <c r="B49">
        <v>0</v>
      </c>
      <c r="C49" t="s">
        <v>5292</v>
      </c>
      <c r="D49">
        <v>1337</v>
      </c>
      <c r="E49">
        <v>1440</v>
      </c>
      <c r="F49">
        <v>3590.4711500974399</v>
      </c>
      <c r="G49">
        <v>2.4933827431232198</v>
      </c>
    </row>
    <row r="50" spans="1:7">
      <c r="A50" t="s">
        <v>5299</v>
      </c>
      <c r="B50">
        <v>1</v>
      </c>
      <c r="C50" t="s">
        <v>5292</v>
      </c>
      <c r="D50">
        <v>1105</v>
      </c>
      <c r="E50">
        <v>1176</v>
      </c>
      <c r="F50">
        <v>2757.78132515261</v>
      </c>
      <c r="G50">
        <v>2.3450521472386101</v>
      </c>
    </row>
    <row r="51" spans="1:7">
      <c r="A51" t="s">
        <v>5299</v>
      </c>
      <c r="B51">
        <v>0</v>
      </c>
      <c r="C51" t="s">
        <v>5293</v>
      </c>
      <c r="D51">
        <v>2265</v>
      </c>
      <c r="E51">
        <v>2577</v>
      </c>
      <c r="F51">
        <v>10404.9694917863</v>
      </c>
      <c r="G51">
        <v>4.0376288287878603</v>
      </c>
    </row>
    <row r="52" spans="1:7">
      <c r="A52" t="s">
        <v>5299</v>
      </c>
      <c r="B52">
        <v>1</v>
      </c>
      <c r="C52" t="s">
        <v>5293</v>
      </c>
      <c r="D52">
        <v>2165</v>
      </c>
      <c r="E52">
        <v>2481</v>
      </c>
      <c r="F52">
        <v>9734.9745961080807</v>
      </c>
      <c r="G52">
        <v>3.9238108005272401</v>
      </c>
    </row>
    <row r="53" spans="1:7">
      <c r="A53" t="s">
        <v>5299</v>
      </c>
      <c r="B53">
        <v>0</v>
      </c>
      <c r="C53" t="s">
        <v>5294</v>
      </c>
      <c r="D53">
        <v>2396</v>
      </c>
      <c r="E53">
        <v>2618</v>
      </c>
      <c r="F53">
        <v>3069.30335189682</v>
      </c>
      <c r="G53">
        <v>1.17238477918137</v>
      </c>
    </row>
    <row r="54" spans="1:7">
      <c r="A54" t="s">
        <v>5299</v>
      </c>
      <c r="B54">
        <v>1</v>
      </c>
      <c r="C54" t="s">
        <v>5294</v>
      </c>
      <c r="D54">
        <v>1937</v>
      </c>
      <c r="E54">
        <v>2105</v>
      </c>
      <c r="F54">
        <v>2425.1084426126899</v>
      </c>
      <c r="G54">
        <v>1.15207051905591</v>
      </c>
    </row>
    <row r="55" spans="1:7">
      <c r="A55" t="s">
        <v>5299</v>
      </c>
      <c r="B55">
        <v>0</v>
      </c>
      <c r="C55" t="s">
        <v>5295</v>
      </c>
      <c r="D55">
        <v>7160</v>
      </c>
      <c r="E55">
        <v>9363</v>
      </c>
      <c r="F55">
        <v>21456.0878921242</v>
      </c>
      <c r="G55">
        <v>2.2915826008890501</v>
      </c>
    </row>
    <row r="56" spans="1:7">
      <c r="A56" t="s">
        <v>5299</v>
      </c>
      <c r="B56">
        <v>1</v>
      </c>
      <c r="C56" t="s">
        <v>5295</v>
      </c>
      <c r="D56">
        <v>5378</v>
      </c>
      <c r="E56">
        <v>7060</v>
      </c>
      <c r="F56">
        <v>15931.894755142301</v>
      </c>
      <c r="G56">
        <v>2.2566423165923899</v>
      </c>
    </row>
    <row r="57" spans="1:7">
      <c r="A57" t="s">
        <v>5299</v>
      </c>
      <c r="B57">
        <v>0</v>
      </c>
      <c r="C57" t="s">
        <v>5296</v>
      </c>
      <c r="D57">
        <v>7107</v>
      </c>
      <c r="E57">
        <v>8700</v>
      </c>
      <c r="F57">
        <v>18192.8167046688</v>
      </c>
      <c r="G57">
        <v>2.09112835685848</v>
      </c>
    </row>
    <row r="58" spans="1:7">
      <c r="A58" t="s">
        <v>5299</v>
      </c>
      <c r="B58">
        <v>1</v>
      </c>
      <c r="C58" t="s">
        <v>5296</v>
      </c>
      <c r="D58">
        <v>5579</v>
      </c>
      <c r="E58">
        <v>6999</v>
      </c>
      <c r="F58">
        <v>14264.9608289241</v>
      </c>
      <c r="G58">
        <v>2.0381427102334699</v>
      </c>
    </row>
    <row r="59" spans="1:7">
      <c r="A59" t="s">
        <v>5299</v>
      </c>
      <c r="B59">
        <v>1</v>
      </c>
      <c r="C59" t="s">
        <v>5297</v>
      </c>
      <c r="D59">
        <v>2</v>
      </c>
      <c r="E59">
        <v>2</v>
      </c>
      <c r="F59">
        <v>3.9288136176765001</v>
      </c>
      <c r="G59">
        <v>1.96440680883825</v>
      </c>
    </row>
    <row r="60" spans="1:7">
      <c r="A60" t="s">
        <v>5299</v>
      </c>
      <c r="B60">
        <v>0</v>
      </c>
      <c r="C60" t="s">
        <v>5298</v>
      </c>
      <c r="D60">
        <v>190</v>
      </c>
      <c r="E60">
        <v>200</v>
      </c>
      <c r="F60">
        <v>449.32372216135298</v>
      </c>
      <c r="G60">
        <v>2.2466186108067601</v>
      </c>
    </row>
    <row r="61" spans="1:7">
      <c r="A61" t="s">
        <v>5299</v>
      </c>
      <c r="B61">
        <v>1</v>
      </c>
      <c r="C61" t="s">
        <v>5298</v>
      </c>
      <c r="D61">
        <v>142</v>
      </c>
      <c r="E61">
        <v>149</v>
      </c>
      <c r="F61">
        <v>358.78135105594998</v>
      </c>
      <c r="G61">
        <v>2.4079285305768501</v>
      </c>
    </row>
    <row r="62" spans="1:7">
      <c r="A62" t="s">
        <v>5301</v>
      </c>
      <c r="B62">
        <v>0</v>
      </c>
      <c r="C62" t="s">
        <v>5284</v>
      </c>
      <c r="D62">
        <v>1305</v>
      </c>
      <c r="E62">
        <v>1433</v>
      </c>
      <c r="F62">
        <v>2490.1220078609199</v>
      </c>
      <c r="G62">
        <v>1.7376985400285501</v>
      </c>
    </row>
    <row r="63" spans="1:7">
      <c r="A63" t="s">
        <v>5301</v>
      </c>
      <c r="B63">
        <v>1</v>
      </c>
      <c r="C63" t="s">
        <v>5284</v>
      </c>
      <c r="D63">
        <v>1524</v>
      </c>
      <c r="E63">
        <v>1733</v>
      </c>
      <c r="F63">
        <v>3020.9253897192002</v>
      </c>
      <c r="G63">
        <v>1.74317679729902</v>
      </c>
    </row>
    <row r="64" spans="1:7">
      <c r="A64" t="s">
        <v>5301</v>
      </c>
      <c r="B64">
        <v>0</v>
      </c>
      <c r="C64" t="s">
        <v>5285</v>
      </c>
      <c r="D64">
        <v>7</v>
      </c>
      <c r="E64">
        <v>7</v>
      </c>
      <c r="F64">
        <v>27.240677736699599</v>
      </c>
      <c r="G64">
        <v>3.8915253909570802</v>
      </c>
    </row>
    <row r="65" spans="1:7">
      <c r="A65" t="s">
        <v>5301</v>
      </c>
      <c r="B65">
        <v>1</v>
      </c>
      <c r="C65" t="s">
        <v>5285</v>
      </c>
      <c r="D65">
        <v>4</v>
      </c>
      <c r="E65">
        <v>4</v>
      </c>
      <c r="F65">
        <v>13.1576268002391</v>
      </c>
      <c r="G65">
        <v>3.2894067000597702</v>
      </c>
    </row>
    <row r="66" spans="1:7">
      <c r="A66" t="s">
        <v>5301</v>
      </c>
      <c r="B66">
        <v>1</v>
      </c>
      <c r="C66" t="s">
        <v>5286</v>
      </c>
      <c r="D66">
        <v>1</v>
      </c>
      <c r="E66">
        <v>1</v>
      </c>
      <c r="F66">
        <v>0.25254238862544298</v>
      </c>
      <c r="G66">
        <v>0.25254238862544298</v>
      </c>
    </row>
    <row r="67" spans="1:7">
      <c r="A67" t="s">
        <v>5301</v>
      </c>
      <c r="B67">
        <v>0</v>
      </c>
      <c r="C67" t="s">
        <v>5287</v>
      </c>
      <c r="D67">
        <v>2</v>
      </c>
      <c r="E67">
        <v>2</v>
      </c>
      <c r="F67">
        <v>1.8644066527485801</v>
      </c>
      <c r="G67">
        <v>0.93220332637429204</v>
      </c>
    </row>
    <row r="68" spans="1:7">
      <c r="A68" t="s">
        <v>5301</v>
      </c>
      <c r="B68">
        <v>1</v>
      </c>
      <c r="C68" t="s">
        <v>5287</v>
      </c>
      <c r="D68">
        <v>2</v>
      </c>
      <c r="E68">
        <v>2</v>
      </c>
      <c r="F68">
        <v>1.8728812225163001</v>
      </c>
      <c r="G68">
        <v>0.93644061125814904</v>
      </c>
    </row>
    <row r="69" spans="1:7">
      <c r="A69" t="s">
        <v>5301</v>
      </c>
      <c r="B69">
        <v>0</v>
      </c>
      <c r="C69" t="s">
        <v>5300</v>
      </c>
      <c r="D69">
        <v>1</v>
      </c>
      <c r="E69">
        <v>2</v>
      </c>
      <c r="F69">
        <v>1.01355938240886</v>
      </c>
      <c r="G69">
        <v>0.50677969120442901</v>
      </c>
    </row>
    <row r="70" spans="1:7">
      <c r="A70" t="s">
        <v>5301</v>
      </c>
      <c r="B70">
        <v>0</v>
      </c>
      <c r="C70" t="s">
        <v>5288</v>
      </c>
      <c r="D70">
        <v>3305</v>
      </c>
      <c r="E70">
        <v>4123</v>
      </c>
      <c r="F70">
        <v>15339.611859410101</v>
      </c>
      <c r="G70">
        <v>3.7204976617535901</v>
      </c>
    </row>
    <row r="71" spans="1:7">
      <c r="A71" t="s">
        <v>5301</v>
      </c>
      <c r="B71">
        <v>1</v>
      </c>
      <c r="C71" t="s">
        <v>5288</v>
      </c>
      <c r="D71">
        <v>3628</v>
      </c>
      <c r="E71">
        <v>4842</v>
      </c>
      <c r="F71">
        <v>18186.625430663102</v>
      </c>
      <c r="G71">
        <v>3.7560151653579301</v>
      </c>
    </row>
    <row r="72" spans="1:7">
      <c r="A72" t="s">
        <v>5301</v>
      </c>
      <c r="B72">
        <v>0</v>
      </c>
      <c r="C72" t="s">
        <v>5289</v>
      </c>
      <c r="D72">
        <v>6141</v>
      </c>
      <c r="E72">
        <v>8065</v>
      </c>
      <c r="F72">
        <v>27514.052445883899</v>
      </c>
      <c r="G72">
        <v>3.4115378110209398</v>
      </c>
    </row>
    <row r="73" spans="1:7">
      <c r="A73" t="s">
        <v>5301</v>
      </c>
      <c r="B73">
        <v>1</v>
      </c>
      <c r="C73" t="s">
        <v>5289</v>
      </c>
      <c r="D73">
        <v>6314</v>
      </c>
      <c r="E73">
        <v>8845</v>
      </c>
      <c r="F73">
        <v>29618.8100708649</v>
      </c>
      <c r="G73">
        <v>3.3486500928055198</v>
      </c>
    </row>
    <row r="74" spans="1:7">
      <c r="A74" t="s">
        <v>5301</v>
      </c>
      <c r="B74">
        <v>0</v>
      </c>
      <c r="C74" t="s">
        <v>5290</v>
      </c>
      <c r="D74">
        <v>10415</v>
      </c>
      <c r="E74">
        <v>15970</v>
      </c>
      <c r="F74">
        <v>46173.681094046296</v>
      </c>
      <c r="G74">
        <v>2.8912762112740298</v>
      </c>
    </row>
    <row r="75" spans="1:7">
      <c r="A75" t="s">
        <v>5301</v>
      </c>
      <c r="B75">
        <v>1</v>
      </c>
      <c r="C75" t="s">
        <v>5290</v>
      </c>
      <c r="D75">
        <v>10776</v>
      </c>
      <c r="E75">
        <v>17662</v>
      </c>
      <c r="F75">
        <v>51289.208216965199</v>
      </c>
      <c r="G75">
        <v>2.90392980505974</v>
      </c>
    </row>
    <row r="76" spans="1:7">
      <c r="A76" t="s">
        <v>5301</v>
      </c>
      <c r="B76">
        <v>0</v>
      </c>
      <c r="C76" t="s">
        <v>5291</v>
      </c>
      <c r="D76">
        <v>4</v>
      </c>
      <c r="E76">
        <v>4</v>
      </c>
      <c r="F76">
        <v>5.2813558839261496</v>
      </c>
      <c r="G76">
        <v>1.3203389709815401</v>
      </c>
    </row>
    <row r="77" spans="1:7">
      <c r="A77" t="s">
        <v>5301</v>
      </c>
      <c r="B77">
        <v>1</v>
      </c>
      <c r="C77" t="s">
        <v>5291</v>
      </c>
      <c r="D77">
        <v>7</v>
      </c>
      <c r="E77">
        <v>7</v>
      </c>
      <c r="F77">
        <v>8.0067795235663706</v>
      </c>
      <c r="G77">
        <v>1.1438256462237699</v>
      </c>
    </row>
    <row r="78" spans="1:7">
      <c r="A78" t="s">
        <v>5301</v>
      </c>
      <c r="B78">
        <v>0</v>
      </c>
      <c r="C78" t="s">
        <v>5292</v>
      </c>
      <c r="D78">
        <v>416</v>
      </c>
      <c r="E78">
        <v>441</v>
      </c>
      <c r="F78">
        <v>1071.7745628324301</v>
      </c>
      <c r="G78">
        <v>2.4303278068762699</v>
      </c>
    </row>
    <row r="79" spans="1:7">
      <c r="A79" t="s">
        <v>5301</v>
      </c>
      <c r="B79">
        <v>1</v>
      </c>
      <c r="C79" t="s">
        <v>5292</v>
      </c>
      <c r="D79">
        <v>366</v>
      </c>
      <c r="E79">
        <v>403</v>
      </c>
      <c r="F79">
        <v>979.10337829962396</v>
      </c>
      <c r="G79">
        <v>2.4295369188576301</v>
      </c>
    </row>
    <row r="80" spans="1:7">
      <c r="A80" t="s">
        <v>5301</v>
      </c>
      <c r="B80">
        <v>0</v>
      </c>
      <c r="C80" t="s">
        <v>5293</v>
      </c>
      <c r="D80">
        <v>754</v>
      </c>
      <c r="E80">
        <v>828</v>
      </c>
      <c r="F80">
        <v>3461.57966279425</v>
      </c>
      <c r="G80">
        <v>4.1806517666597198</v>
      </c>
    </row>
    <row r="81" spans="1:7">
      <c r="A81" t="s">
        <v>5301</v>
      </c>
      <c r="B81">
        <v>1</v>
      </c>
      <c r="C81" t="s">
        <v>5293</v>
      </c>
      <c r="D81">
        <v>891</v>
      </c>
      <c r="E81">
        <v>1025</v>
      </c>
      <c r="F81">
        <v>4160.2033885894298</v>
      </c>
      <c r="G81">
        <v>4.05873501325798</v>
      </c>
    </row>
    <row r="82" spans="1:7">
      <c r="A82" t="s">
        <v>5301</v>
      </c>
      <c r="B82">
        <v>0</v>
      </c>
      <c r="C82" t="s">
        <v>5294</v>
      </c>
      <c r="D82">
        <v>655</v>
      </c>
      <c r="E82">
        <v>702</v>
      </c>
      <c r="F82">
        <v>842.318630032241</v>
      </c>
      <c r="G82">
        <v>1.1998840883650199</v>
      </c>
    </row>
    <row r="83" spans="1:7">
      <c r="A83" t="s">
        <v>5301</v>
      </c>
      <c r="B83">
        <v>1</v>
      </c>
      <c r="C83" t="s">
        <v>5294</v>
      </c>
      <c r="D83">
        <v>571</v>
      </c>
      <c r="E83">
        <v>611</v>
      </c>
      <c r="F83">
        <v>698.34914343082301</v>
      </c>
      <c r="G83">
        <v>1.1429609548785999</v>
      </c>
    </row>
    <row r="84" spans="1:7">
      <c r="A84" t="s">
        <v>5301</v>
      </c>
      <c r="B84">
        <v>0</v>
      </c>
      <c r="C84" t="s">
        <v>5295</v>
      </c>
      <c r="D84">
        <v>1696</v>
      </c>
      <c r="E84">
        <v>2159</v>
      </c>
      <c r="F84">
        <v>5119.6558834984899</v>
      </c>
      <c r="G84">
        <v>2.3713088853628901</v>
      </c>
    </row>
    <row r="85" spans="1:7">
      <c r="A85" t="s">
        <v>5301</v>
      </c>
      <c r="B85">
        <v>1</v>
      </c>
      <c r="C85" t="s">
        <v>5295</v>
      </c>
      <c r="D85">
        <v>1413</v>
      </c>
      <c r="E85">
        <v>1804</v>
      </c>
      <c r="F85">
        <v>4243.8118292833697</v>
      </c>
      <c r="G85">
        <v>2.3524455816426699</v>
      </c>
    </row>
    <row r="86" spans="1:7">
      <c r="A86" t="s">
        <v>5301</v>
      </c>
      <c r="B86">
        <v>0</v>
      </c>
      <c r="C86" t="s">
        <v>5296</v>
      </c>
      <c r="D86">
        <v>1623</v>
      </c>
      <c r="E86">
        <v>1929</v>
      </c>
      <c r="F86">
        <v>4170.0135064020296</v>
      </c>
      <c r="G86">
        <v>2.1617488369113702</v>
      </c>
    </row>
    <row r="87" spans="1:7">
      <c r="A87" t="s">
        <v>5301</v>
      </c>
      <c r="B87">
        <v>1</v>
      </c>
      <c r="C87" t="s">
        <v>5296</v>
      </c>
      <c r="D87">
        <v>1524</v>
      </c>
      <c r="E87">
        <v>1836</v>
      </c>
      <c r="F87">
        <v>3810.2338524011402</v>
      </c>
      <c r="G87">
        <v>2.0752907692816698</v>
      </c>
    </row>
    <row r="88" spans="1:7">
      <c r="A88" t="s">
        <v>5301</v>
      </c>
      <c r="B88">
        <v>0</v>
      </c>
      <c r="C88" t="s">
        <v>5298</v>
      </c>
      <c r="D88">
        <v>44</v>
      </c>
      <c r="E88">
        <v>44</v>
      </c>
      <c r="F88">
        <v>115.161016676575</v>
      </c>
      <c r="G88">
        <v>2.6172958335585199</v>
      </c>
    </row>
    <row r="89" spans="1:7">
      <c r="A89" t="s">
        <v>5301</v>
      </c>
      <c r="B89">
        <v>1</v>
      </c>
      <c r="C89" t="s">
        <v>5298</v>
      </c>
      <c r="D89">
        <v>39</v>
      </c>
      <c r="E89">
        <v>40</v>
      </c>
      <c r="F89">
        <v>93.320338241756005</v>
      </c>
      <c r="G89">
        <v>2.3330084560438999</v>
      </c>
    </row>
    <row r="90" spans="1:7">
      <c r="A90" t="s">
        <v>5302</v>
      </c>
      <c r="B90">
        <v>0</v>
      </c>
      <c r="C90" t="s">
        <v>5284</v>
      </c>
      <c r="D90">
        <v>4491</v>
      </c>
      <c r="E90">
        <v>4914</v>
      </c>
      <c r="F90">
        <v>7439.0321213868401</v>
      </c>
      <c r="G90">
        <v>1.5138445505467699</v>
      </c>
    </row>
    <row r="91" spans="1:7">
      <c r="A91" t="s">
        <v>5302</v>
      </c>
      <c r="B91">
        <v>1</v>
      </c>
      <c r="C91" t="s">
        <v>5284</v>
      </c>
      <c r="D91">
        <v>4078</v>
      </c>
      <c r="E91">
        <v>4480</v>
      </c>
      <c r="F91">
        <v>6654.3863692495497</v>
      </c>
      <c r="G91">
        <v>1.4853541002789199</v>
      </c>
    </row>
    <row r="92" spans="1:7">
      <c r="A92" t="s">
        <v>5302</v>
      </c>
      <c r="B92">
        <v>0</v>
      </c>
      <c r="C92" t="s">
        <v>5285</v>
      </c>
      <c r="D92">
        <v>33</v>
      </c>
      <c r="E92">
        <v>33</v>
      </c>
      <c r="F92">
        <v>105.803389102221</v>
      </c>
      <c r="G92">
        <v>3.2061633061279</v>
      </c>
    </row>
    <row r="93" spans="1:7">
      <c r="A93" t="s">
        <v>5302</v>
      </c>
      <c r="B93">
        <v>1</v>
      </c>
      <c r="C93" t="s">
        <v>5285</v>
      </c>
      <c r="D93">
        <v>31</v>
      </c>
      <c r="E93">
        <v>31</v>
      </c>
      <c r="F93">
        <v>98.949151858687401</v>
      </c>
      <c r="G93">
        <v>3.1919081244737901</v>
      </c>
    </row>
    <row r="94" spans="1:7">
      <c r="A94" t="s">
        <v>5302</v>
      </c>
      <c r="B94">
        <v>1</v>
      </c>
      <c r="C94" t="s">
        <v>5287</v>
      </c>
      <c r="D94">
        <v>1</v>
      </c>
      <c r="E94">
        <v>1</v>
      </c>
      <c r="F94">
        <v>0.63389828428626105</v>
      </c>
      <c r="G94">
        <v>0.63389828428626105</v>
      </c>
    </row>
    <row r="95" spans="1:7">
      <c r="A95" t="s">
        <v>5302</v>
      </c>
      <c r="B95">
        <v>1</v>
      </c>
      <c r="C95" t="s">
        <v>5300</v>
      </c>
      <c r="D95">
        <v>1</v>
      </c>
      <c r="E95">
        <v>1</v>
      </c>
      <c r="F95">
        <v>1.6932202503085101</v>
      </c>
      <c r="G95">
        <v>1.6932202503085101</v>
      </c>
    </row>
    <row r="96" spans="1:7">
      <c r="A96" t="s">
        <v>5302</v>
      </c>
      <c r="B96">
        <v>0</v>
      </c>
      <c r="C96" t="s">
        <v>5288</v>
      </c>
      <c r="D96">
        <v>6778</v>
      </c>
      <c r="E96">
        <v>8206</v>
      </c>
      <c r="F96">
        <v>28746.3304829318</v>
      </c>
      <c r="G96">
        <v>3.5030868246322</v>
      </c>
    </row>
    <row r="97" spans="1:7">
      <c r="A97" t="s">
        <v>5302</v>
      </c>
      <c r="B97">
        <v>1</v>
      </c>
      <c r="C97" t="s">
        <v>5288</v>
      </c>
      <c r="D97">
        <v>6029</v>
      </c>
      <c r="E97">
        <v>7433</v>
      </c>
      <c r="F97">
        <v>25221.932183671699</v>
      </c>
      <c r="G97">
        <v>3.39323721023433</v>
      </c>
    </row>
    <row r="98" spans="1:7">
      <c r="A98" t="s">
        <v>5302</v>
      </c>
      <c r="B98">
        <v>0</v>
      </c>
      <c r="C98" t="s">
        <v>5289</v>
      </c>
      <c r="D98">
        <v>13239</v>
      </c>
      <c r="E98">
        <v>17118</v>
      </c>
      <c r="F98">
        <v>54621.82514827</v>
      </c>
      <c r="G98">
        <v>3.1908999385599999</v>
      </c>
    </row>
    <row r="99" spans="1:7">
      <c r="A99" t="s">
        <v>5302</v>
      </c>
      <c r="B99">
        <v>1</v>
      </c>
      <c r="C99" t="s">
        <v>5289</v>
      </c>
      <c r="D99">
        <v>11580</v>
      </c>
      <c r="E99">
        <v>15329</v>
      </c>
      <c r="F99">
        <v>47143.711617239802</v>
      </c>
      <c r="G99">
        <v>3.0754590395485502</v>
      </c>
    </row>
    <row r="100" spans="1:7">
      <c r="A100" t="s">
        <v>5302</v>
      </c>
      <c r="B100">
        <v>0</v>
      </c>
      <c r="C100" t="s">
        <v>5290</v>
      </c>
      <c r="D100">
        <v>21505</v>
      </c>
      <c r="E100">
        <v>30999</v>
      </c>
      <c r="F100">
        <v>77963.428247708405</v>
      </c>
      <c r="G100">
        <v>2.5150304283269902</v>
      </c>
    </row>
    <row r="101" spans="1:7">
      <c r="A101" t="s">
        <v>5302</v>
      </c>
      <c r="B101">
        <v>1</v>
      </c>
      <c r="C101" t="s">
        <v>5290</v>
      </c>
      <c r="D101">
        <v>19120</v>
      </c>
      <c r="E101">
        <v>28652</v>
      </c>
      <c r="F101">
        <v>70644.897788547707</v>
      </c>
      <c r="G101">
        <v>2.4656183787710302</v>
      </c>
    </row>
    <row r="102" spans="1:7">
      <c r="A102" t="s">
        <v>5302</v>
      </c>
      <c r="B102">
        <v>0</v>
      </c>
      <c r="C102" t="s">
        <v>5291</v>
      </c>
      <c r="D102">
        <v>14</v>
      </c>
      <c r="E102">
        <v>14</v>
      </c>
      <c r="F102">
        <v>16.303389612585299</v>
      </c>
      <c r="G102">
        <v>1.16452782947038</v>
      </c>
    </row>
    <row r="103" spans="1:7">
      <c r="A103" t="s">
        <v>5302</v>
      </c>
      <c r="B103">
        <v>1</v>
      </c>
      <c r="C103" t="s">
        <v>5291</v>
      </c>
      <c r="D103">
        <v>10</v>
      </c>
      <c r="E103">
        <v>10</v>
      </c>
      <c r="F103">
        <v>11.894915113225601</v>
      </c>
      <c r="G103">
        <v>1.1894915113225599</v>
      </c>
    </row>
    <row r="104" spans="1:7">
      <c r="A104" t="s">
        <v>5302</v>
      </c>
      <c r="B104">
        <v>0</v>
      </c>
      <c r="C104" t="s">
        <v>5292</v>
      </c>
      <c r="D104">
        <v>710</v>
      </c>
      <c r="E104">
        <v>752</v>
      </c>
      <c r="F104">
        <v>1899.0677762311</v>
      </c>
      <c r="G104">
        <v>2.5253560854136898</v>
      </c>
    </row>
    <row r="105" spans="1:7">
      <c r="A105" t="s">
        <v>5302</v>
      </c>
      <c r="B105">
        <v>1</v>
      </c>
      <c r="C105" t="s">
        <v>5292</v>
      </c>
      <c r="D105">
        <v>629</v>
      </c>
      <c r="E105">
        <v>664</v>
      </c>
      <c r="F105">
        <v>1618.55930422898</v>
      </c>
      <c r="G105">
        <v>2.4375893135978699</v>
      </c>
    </row>
    <row r="106" spans="1:7">
      <c r="A106" t="s">
        <v>5302</v>
      </c>
      <c r="B106">
        <v>0</v>
      </c>
      <c r="C106" t="s">
        <v>5293</v>
      </c>
      <c r="D106">
        <v>1528</v>
      </c>
      <c r="E106">
        <v>1635</v>
      </c>
      <c r="F106">
        <v>6142.61865660083</v>
      </c>
      <c r="G106">
        <v>3.7569533067894998</v>
      </c>
    </row>
    <row r="107" spans="1:7">
      <c r="A107" t="s">
        <v>5302</v>
      </c>
      <c r="B107">
        <v>1</v>
      </c>
      <c r="C107" t="s">
        <v>5293</v>
      </c>
      <c r="D107">
        <v>1374</v>
      </c>
      <c r="E107">
        <v>1479</v>
      </c>
      <c r="F107">
        <v>5203.7389916833499</v>
      </c>
      <c r="G107">
        <v>3.5184171681429</v>
      </c>
    </row>
    <row r="108" spans="1:7">
      <c r="A108" t="s">
        <v>5302</v>
      </c>
      <c r="B108">
        <v>0</v>
      </c>
      <c r="C108" t="s">
        <v>5294</v>
      </c>
      <c r="D108">
        <v>1388</v>
      </c>
      <c r="E108">
        <v>1473</v>
      </c>
      <c r="F108">
        <v>1528.6965960985999</v>
      </c>
      <c r="G108">
        <v>1.0378116742013599</v>
      </c>
    </row>
    <row r="109" spans="1:7">
      <c r="A109" t="s">
        <v>5302</v>
      </c>
      <c r="B109">
        <v>1</v>
      </c>
      <c r="C109" t="s">
        <v>5294</v>
      </c>
      <c r="D109">
        <v>1223</v>
      </c>
      <c r="E109">
        <v>1310</v>
      </c>
      <c r="F109">
        <v>1326.6118478262799</v>
      </c>
      <c r="G109">
        <v>1.0126807998673899</v>
      </c>
    </row>
    <row r="110" spans="1:7">
      <c r="A110" t="s">
        <v>5302</v>
      </c>
      <c r="B110">
        <v>0</v>
      </c>
      <c r="C110" t="s">
        <v>5295</v>
      </c>
      <c r="D110">
        <v>7452</v>
      </c>
      <c r="E110">
        <v>9366</v>
      </c>
      <c r="F110">
        <v>20970.2997470216</v>
      </c>
      <c r="G110">
        <v>2.23898139515499</v>
      </c>
    </row>
    <row r="111" spans="1:7">
      <c r="A111" t="s">
        <v>5302</v>
      </c>
      <c r="B111">
        <v>1</v>
      </c>
      <c r="C111" t="s">
        <v>5295</v>
      </c>
      <c r="D111">
        <v>6131</v>
      </c>
      <c r="E111">
        <v>7715</v>
      </c>
      <c r="F111">
        <v>16876.667590532499</v>
      </c>
      <c r="G111">
        <v>2.18751362158554</v>
      </c>
    </row>
    <row r="112" spans="1:7">
      <c r="A112" t="s">
        <v>5302</v>
      </c>
      <c r="B112">
        <v>0</v>
      </c>
      <c r="C112" t="s">
        <v>5296</v>
      </c>
      <c r="D112">
        <v>6467</v>
      </c>
      <c r="E112">
        <v>7635</v>
      </c>
      <c r="F112">
        <v>15566.3506254321</v>
      </c>
      <c r="G112">
        <v>2.0388147512026298</v>
      </c>
    </row>
    <row r="113" spans="1:7">
      <c r="A113" t="s">
        <v>5302</v>
      </c>
      <c r="B113">
        <v>1</v>
      </c>
      <c r="C113" t="s">
        <v>5296</v>
      </c>
      <c r="D113">
        <v>5443</v>
      </c>
      <c r="E113">
        <v>6515</v>
      </c>
      <c r="F113">
        <v>12833.1421805953</v>
      </c>
      <c r="G113">
        <v>1.96978391106605</v>
      </c>
    </row>
    <row r="114" spans="1:7">
      <c r="A114" t="s">
        <v>5302</v>
      </c>
      <c r="B114">
        <v>0</v>
      </c>
      <c r="C114" t="s">
        <v>5298</v>
      </c>
      <c r="D114">
        <v>98</v>
      </c>
      <c r="E114">
        <v>99</v>
      </c>
      <c r="F114">
        <v>267.72203184664198</v>
      </c>
      <c r="G114">
        <v>2.70426294794588</v>
      </c>
    </row>
    <row r="115" spans="1:7">
      <c r="A115" t="s">
        <v>5302</v>
      </c>
      <c r="B115">
        <v>1</v>
      </c>
      <c r="C115" t="s">
        <v>5298</v>
      </c>
      <c r="D115">
        <v>89</v>
      </c>
      <c r="E115">
        <v>92</v>
      </c>
      <c r="F115">
        <v>220.86779449600701</v>
      </c>
      <c r="G115">
        <v>2.4007368966957299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E150-2473-4533-9507-A9D687DF8D83}">
  <dimension ref="A1:O54"/>
  <sheetViews>
    <sheetView topLeftCell="K1" zoomScale="160" zoomScaleNormal="160" workbookViewId="0">
      <selection activeCell="K31" sqref="K31"/>
    </sheetView>
  </sheetViews>
  <sheetFormatPr defaultRowHeight="14.25"/>
  <cols>
    <col min="1" max="1" width="15.6640625" bestFit="1" customWidth="1"/>
    <col min="2" max="2" width="4.59765625" bestFit="1" customWidth="1"/>
    <col min="3" max="3" width="20.796875" bestFit="1" customWidth="1"/>
    <col min="6" max="6" width="15.6640625" bestFit="1" customWidth="1"/>
    <col min="7" max="7" width="4.59765625" bestFit="1" customWidth="1"/>
    <col min="8" max="8" width="20.796875" bestFit="1" customWidth="1"/>
    <col min="9" max="9" width="9.73046875" bestFit="1" customWidth="1"/>
    <col min="11" max="11" width="20.796875" bestFit="1" customWidth="1"/>
    <col min="12" max="12" width="14.33203125" bestFit="1" customWidth="1"/>
    <col min="13" max="13" width="15.6640625" bestFit="1" customWidth="1"/>
    <col min="14" max="14" width="11.59765625" bestFit="1" customWidth="1"/>
  </cols>
  <sheetData>
    <row r="1" spans="1:15">
      <c r="A1" t="s">
        <v>5279</v>
      </c>
      <c r="B1" t="s">
        <v>100</v>
      </c>
      <c r="C1" t="s">
        <v>5315</v>
      </c>
      <c r="D1" t="s">
        <v>61</v>
      </c>
      <c r="F1" t="s">
        <v>5279</v>
      </c>
      <c r="G1" t="s">
        <v>100</v>
      </c>
      <c r="H1" t="s">
        <v>5315</v>
      </c>
      <c r="I1" t="s">
        <v>62</v>
      </c>
      <c r="K1" t="s">
        <v>5454</v>
      </c>
    </row>
    <row r="2" spans="1:15">
      <c r="A2" t="s">
        <v>5283</v>
      </c>
      <c r="B2">
        <v>1</v>
      </c>
      <c r="C2" t="s">
        <v>5321</v>
      </c>
      <c r="D2">
        <v>42029</v>
      </c>
      <c r="F2" t="s">
        <v>5283</v>
      </c>
      <c r="G2">
        <v>1</v>
      </c>
      <c r="H2" t="s">
        <v>5321</v>
      </c>
      <c r="I2">
        <v>152105.065699306</v>
      </c>
      <c r="K2" s="17" t="s">
        <v>5452</v>
      </c>
      <c r="L2" s="17" t="s">
        <v>5302</v>
      </c>
      <c r="M2" s="17" t="s">
        <v>5283</v>
      </c>
      <c r="N2" s="17" t="s">
        <v>5299</v>
      </c>
      <c r="O2" s="17" t="s">
        <v>5301</v>
      </c>
    </row>
    <row r="3" spans="1:15">
      <c r="A3" t="s">
        <v>5283</v>
      </c>
      <c r="B3">
        <v>2</v>
      </c>
      <c r="C3" t="s">
        <v>1408</v>
      </c>
      <c r="D3">
        <v>35730</v>
      </c>
      <c r="F3" t="s">
        <v>5283</v>
      </c>
      <c r="G3">
        <v>2</v>
      </c>
      <c r="H3" t="s">
        <v>1408</v>
      </c>
      <c r="I3">
        <v>135998.37136048599</v>
      </c>
      <c r="K3" t="s">
        <v>5457</v>
      </c>
      <c r="L3">
        <v>1</v>
      </c>
      <c r="M3">
        <v>1</v>
      </c>
      <c r="N3">
        <v>1</v>
      </c>
      <c r="O3">
        <v>1</v>
      </c>
    </row>
    <row r="4" spans="1:15">
      <c r="A4" t="s">
        <v>5283</v>
      </c>
      <c r="B4">
        <v>3</v>
      </c>
      <c r="C4" t="s">
        <v>5320</v>
      </c>
      <c r="D4">
        <v>27822</v>
      </c>
      <c r="F4" t="s">
        <v>5283</v>
      </c>
      <c r="G4">
        <v>3</v>
      </c>
      <c r="H4" t="s">
        <v>5320</v>
      </c>
      <c r="I4">
        <v>79588.696108414995</v>
      </c>
      <c r="K4" t="s">
        <v>5458</v>
      </c>
      <c r="L4">
        <v>2</v>
      </c>
      <c r="M4">
        <v>2</v>
      </c>
      <c r="N4">
        <v>2</v>
      </c>
      <c r="O4">
        <v>2</v>
      </c>
    </row>
    <row r="5" spans="1:15">
      <c r="A5" t="s">
        <v>5283</v>
      </c>
      <c r="B5">
        <v>4</v>
      </c>
      <c r="C5" t="s">
        <v>5326</v>
      </c>
      <c r="D5">
        <v>23331</v>
      </c>
      <c r="F5" t="s">
        <v>5283</v>
      </c>
      <c r="G5">
        <v>4</v>
      </c>
      <c r="H5" t="s">
        <v>5328</v>
      </c>
      <c r="I5">
        <v>47646.889482787803</v>
      </c>
      <c r="K5" t="s">
        <v>5459</v>
      </c>
      <c r="L5">
        <v>3</v>
      </c>
      <c r="M5">
        <v>3</v>
      </c>
      <c r="N5">
        <v>3</v>
      </c>
      <c r="O5">
        <v>3</v>
      </c>
    </row>
    <row r="6" spans="1:15">
      <c r="A6" t="s">
        <v>5283</v>
      </c>
      <c r="B6">
        <v>5</v>
      </c>
      <c r="C6" t="s">
        <v>5317</v>
      </c>
      <c r="D6">
        <v>17638</v>
      </c>
      <c r="F6" t="s">
        <v>5283</v>
      </c>
      <c r="G6">
        <v>5</v>
      </c>
      <c r="H6" s="16" t="s">
        <v>5322</v>
      </c>
      <c r="I6">
        <v>40027.9154421762</v>
      </c>
      <c r="K6" t="s">
        <v>5460</v>
      </c>
      <c r="L6">
        <v>4</v>
      </c>
      <c r="M6">
        <v>4</v>
      </c>
      <c r="N6">
        <v>4</v>
      </c>
      <c r="O6">
        <v>5</v>
      </c>
    </row>
    <row r="7" spans="1:15">
      <c r="A7" t="s">
        <v>5283</v>
      </c>
      <c r="B7">
        <v>6</v>
      </c>
      <c r="C7" s="16" t="s">
        <v>5325</v>
      </c>
      <c r="D7">
        <v>17593</v>
      </c>
      <c r="F7" t="s">
        <v>5283</v>
      </c>
      <c r="G7">
        <v>6</v>
      </c>
      <c r="H7" s="16" t="s">
        <v>5319</v>
      </c>
      <c r="I7">
        <v>38900.0085006468</v>
      </c>
      <c r="K7" t="s">
        <v>5461</v>
      </c>
      <c r="L7">
        <v>5</v>
      </c>
    </row>
    <row r="8" spans="1:15">
      <c r="A8" t="s">
        <v>5283</v>
      </c>
      <c r="B8">
        <v>7</v>
      </c>
      <c r="C8" t="s">
        <v>5328</v>
      </c>
      <c r="D8">
        <v>16705</v>
      </c>
      <c r="F8" t="s">
        <v>5283</v>
      </c>
      <c r="G8">
        <v>7</v>
      </c>
      <c r="H8" t="s">
        <v>5317</v>
      </c>
      <c r="I8">
        <v>36815.592692390797</v>
      </c>
      <c r="K8" t="s">
        <v>5462</v>
      </c>
      <c r="L8">
        <v>6</v>
      </c>
      <c r="M8">
        <v>5</v>
      </c>
      <c r="N8">
        <v>6</v>
      </c>
      <c r="O8">
        <v>6</v>
      </c>
    </row>
    <row r="9" spans="1:15">
      <c r="A9" t="s">
        <v>5283</v>
      </c>
      <c r="B9">
        <v>8</v>
      </c>
      <c r="C9" t="s">
        <v>5323</v>
      </c>
      <c r="D9">
        <v>14720</v>
      </c>
      <c r="F9" t="s">
        <v>5283</v>
      </c>
      <c r="G9">
        <v>8</v>
      </c>
      <c r="H9" t="s">
        <v>5323</v>
      </c>
      <c r="I9">
        <v>35740.069189760798</v>
      </c>
      <c r="K9" s="16" t="s">
        <v>5463</v>
      </c>
      <c r="L9">
        <v>7</v>
      </c>
      <c r="M9">
        <v>10</v>
      </c>
      <c r="N9">
        <v>10</v>
      </c>
      <c r="O9">
        <v>9</v>
      </c>
    </row>
    <row r="10" spans="1:15">
      <c r="A10" t="s">
        <v>5283</v>
      </c>
      <c r="B10">
        <v>9</v>
      </c>
      <c r="C10" t="s">
        <v>5324</v>
      </c>
      <c r="D10">
        <v>13346</v>
      </c>
      <c r="F10" t="s">
        <v>5283</v>
      </c>
      <c r="G10">
        <v>9</v>
      </c>
      <c r="H10" t="s">
        <v>5326</v>
      </c>
      <c r="I10">
        <v>31788.3944101864</v>
      </c>
      <c r="K10" t="s">
        <v>5464</v>
      </c>
      <c r="L10">
        <v>8</v>
      </c>
      <c r="M10">
        <v>8</v>
      </c>
      <c r="N10">
        <v>9</v>
      </c>
    </row>
    <row r="11" spans="1:15">
      <c r="A11" t="s">
        <v>5283</v>
      </c>
      <c r="B11">
        <v>10</v>
      </c>
      <c r="C11" s="16" t="s">
        <v>5329</v>
      </c>
      <c r="D11">
        <v>13342</v>
      </c>
      <c r="F11" t="s">
        <v>5283</v>
      </c>
      <c r="G11">
        <v>10</v>
      </c>
      <c r="H11" t="s">
        <v>5324</v>
      </c>
      <c r="I11">
        <v>30779.242046194799</v>
      </c>
      <c r="K11" s="16" t="s">
        <v>5465</v>
      </c>
      <c r="L11">
        <v>9</v>
      </c>
      <c r="M11">
        <v>6</v>
      </c>
      <c r="N11">
        <v>8</v>
      </c>
      <c r="O11">
        <v>7</v>
      </c>
    </row>
    <row r="12" spans="1:15">
      <c r="A12" t="s">
        <v>5299</v>
      </c>
      <c r="B12">
        <v>1</v>
      </c>
      <c r="C12" t="s">
        <v>5321</v>
      </c>
      <c r="D12">
        <v>33677</v>
      </c>
      <c r="F12" t="s">
        <v>5299</v>
      </c>
      <c r="G12">
        <v>1</v>
      </c>
      <c r="H12" t="s">
        <v>5321</v>
      </c>
      <c r="I12">
        <v>118229.930102639</v>
      </c>
      <c r="K12" t="s">
        <v>5466</v>
      </c>
      <c r="L12">
        <v>10</v>
      </c>
      <c r="M12">
        <v>7</v>
      </c>
      <c r="N12">
        <v>5</v>
      </c>
      <c r="O12">
        <v>4</v>
      </c>
    </row>
    <row r="13" spans="1:15">
      <c r="A13" t="s">
        <v>5299</v>
      </c>
      <c r="B13">
        <v>2</v>
      </c>
      <c r="C13" t="s">
        <v>1408</v>
      </c>
      <c r="D13">
        <v>24039</v>
      </c>
      <c r="F13" t="s">
        <v>5299</v>
      </c>
      <c r="G13">
        <v>2</v>
      </c>
      <c r="H13" t="s">
        <v>1408</v>
      </c>
      <c r="I13">
        <v>90557.815315132</v>
      </c>
      <c r="K13" t="s">
        <v>5467</v>
      </c>
      <c r="M13">
        <v>9</v>
      </c>
      <c r="N13">
        <v>7</v>
      </c>
    </row>
    <row r="14" spans="1:15">
      <c r="A14" t="s">
        <v>5299</v>
      </c>
      <c r="B14">
        <v>3</v>
      </c>
      <c r="C14" t="s">
        <v>5320</v>
      </c>
      <c r="D14">
        <v>20942</v>
      </c>
      <c r="F14" t="s">
        <v>5299</v>
      </c>
      <c r="G14">
        <v>3</v>
      </c>
      <c r="H14" t="s">
        <v>5320</v>
      </c>
      <c r="I14">
        <v>60307.009772502402</v>
      </c>
      <c r="K14" t="s">
        <v>5468</v>
      </c>
      <c r="O14">
        <v>8</v>
      </c>
    </row>
    <row r="15" spans="1:15">
      <c r="A15" t="s">
        <v>5299</v>
      </c>
      <c r="B15">
        <v>4</v>
      </c>
      <c r="C15" t="s">
        <v>5326</v>
      </c>
      <c r="D15">
        <v>16705</v>
      </c>
      <c r="F15" t="s">
        <v>5299</v>
      </c>
      <c r="G15">
        <v>4</v>
      </c>
      <c r="H15" t="s">
        <v>5328</v>
      </c>
      <c r="I15">
        <v>34663.499723095403</v>
      </c>
      <c r="K15" t="s">
        <v>5469</v>
      </c>
      <c r="O15">
        <v>10</v>
      </c>
    </row>
    <row r="16" spans="1:15">
      <c r="A16" t="s">
        <v>5299</v>
      </c>
      <c r="B16">
        <v>5</v>
      </c>
      <c r="C16" t="s">
        <v>5328</v>
      </c>
      <c r="D16">
        <v>12153</v>
      </c>
      <c r="F16" t="s">
        <v>5299</v>
      </c>
      <c r="G16">
        <v>5</v>
      </c>
      <c r="H16" s="16" t="s">
        <v>5322</v>
      </c>
      <c r="I16">
        <v>29482.967935595701</v>
      </c>
    </row>
    <row r="17" spans="1:15">
      <c r="A17" t="s">
        <v>5299</v>
      </c>
      <c r="B17">
        <v>6</v>
      </c>
      <c r="C17" t="s">
        <v>5317</v>
      </c>
      <c r="D17">
        <v>12010</v>
      </c>
      <c r="F17" t="s">
        <v>5299</v>
      </c>
      <c r="G17">
        <v>6</v>
      </c>
      <c r="H17" t="s">
        <v>5324</v>
      </c>
      <c r="I17">
        <v>24814.3319182913</v>
      </c>
      <c r="K17" t="s">
        <v>5453</v>
      </c>
    </row>
    <row r="18" spans="1:15">
      <c r="A18" t="s">
        <v>5299</v>
      </c>
      <c r="B18">
        <v>7</v>
      </c>
      <c r="C18" t="s">
        <v>5324</v>
      </c>
      <c r="D18">
        <v>10818</v>
      </c>
      <c r="F18" t="s">
        <v>5299</v>
      </c>
      <c r="G18">
        <v>7</v>
      </c>
      <c r="H18" t="s">
        <v>5317</v>
      </c>
      <c r="I18">
        <v>24689.187744946699</v>
      </c>
      <c r="K18" s="17" t="s">
        <v>5452</v>
      </c>
      <c r="L18" s="17" t="s">
        <v>5302</v>
      </c>
      <c r="M18" s="17" t="s">
        <v>5283</v>
      </c>
      <c r="N18" s="17" t="s">
        <v>5299</v>
      </c>
      <c r="O18" s="17" t="s">
        <v>5301</v>
      </c>
    </row>
    <row r="19" spans="1:15">
      <c r="A19" t="s">
        <v>5299</v>
      </c>
      <c r="B19">
        <v>8</v>
      </c>
      <c r="C19" s="16" t="s">
        <v>5325</v>
      </c>
      <c r="D19">
        <v>9985</v>
      </c>
      <c r="F19" t="s">
        <v>5299</v>
      </c>
      <c r="G19">
        <v>8</v>
      </c>
      <c r="H19" s="16" t="s">
        <v>5319</v>
      </c>
      <c r="I19">
        <v>23380.493239825599</v>
      </c>
      <c r="K19" t="s">
        <v>5457</v>
      </c>
      <c r="L19">
        <v>1</v>
      </c>
      <c r="M19">
        <v>1</v>
      </c>
      <c r="N19">
        <v>1</v>
      </c>
      <c r="O19">
        <v>1</v>
      </c>
    </row>
    <row r="20" spans="1:15">
      <c r="A20" t="s">
        <v>5299</v>
      </c>
      <c r="B20">
        <v>9</v>
      </c>
      <c r="C20" t="s">
        <v>5323</v>
      </c>
      <c r="D20">
        <v>7752</v>
      </c>
      <c r="F20" t="s">
        <v>5299</v>
      </c>
      <c r="G20">
        <v>9</v>
      </c>
      <c r="H20" t="s">
        <v>5326</v>
      </c>
      <c r="I20">
        <v>22851.938590861399</v>
      </c>
      <c r="K20" t="s">
        <v>5458</v>
      </c>
      <c r="L20">
        <v>2</v>
      </c>
      <c r="M20">
        <v>2</v>
      </c>
      <c r="N20">
        <v>2</v>
      </c>
      <c r="O20">
        <v>2</v>
      </c>
    </row>
    <row r="21" spans="1:15">
      <c r="A21" t="s">
        <v>5299</v>
      </c>
      <c r="B21">
        <v>10</v>
      </c>
      <c r="C21" s="16" t="s">
        <v>5329</v>
      </c>
      <c r="D21">
        <v>7597</v>
      </c>
      <c r="F21" t="s">
        <v>5299</v>
      </c>
      <c r="G21">
        <v>10</v>
      </c>
      <c r="H21" t="s">
        <v>5323</v>
      </c>
      <c r="I21">
        <v>18660.584586672499</v>
      </c>
      <c r="K21" t="s">
        <v>5459</v>
      </c>
      <c r="L21">
        <v>3</v>
      </c>
      <c r="M21">
        <v>3</v>
      </c>
      <c r="N21">
        <v>3</v>
      </c>
      <c r="O21">
        <v>3</v>
      </c>
    </row>
    <row r="22" spans="1:15">
      <c r="A22" t="s">
        <v>5301</v>
      </c>
      <c r="B22">
        <v>1</v>
      </c>
      <c r="C22" t="s">
        <v>5321</v>
      </c>
      <c r="D22">
        <v>11947</v>
      </c>
      <c r="F22" t="s">
        <v>5301</v>
      </c>
      <c r="G22">
        <v>1</v>
      </c>
      <c r="H22" t="s">
        <v>5321</v>
      </c>
      <c r="I22">
        <v>42542.304951627702</v>
      </c>
      <c r="K22" t="s">
        <v>5461</v>
      </c>
      <c r="L22">
        <v>4</v>
      </c>
      <c r="N22">
        <v>8</v>
      </c>
    </row>
    <row r="23" spans="1:15">
      <c r="A23" t="s">
        <v>5301</v>
      </c>
      <c r="B23">
        <v>2</v>
      </c>
      <c r="C23" t="s">
        <v>1408</v>
      </c>
      <c r="D23">
        <v>8608</v>
      </c>
      <c r="F23" t="s">
        <v>5301</v>
      </c>
      <c r="G23">
        <v>2</v>
      </c>
      <c r="H23" t="s">
        <v>1408</v>
      </c>
      <c r="I23">
        <v>32454.422046104399</v>
      </c>
      <c r="K23" t="s">
        <v>5466</v>
      </c>
      <c r="L23">
        <v>5</v>
      </c>
      <c r="M23">
        <v>4</v>
      </c>
      <c r="N23">
        <v>4</v>
      </c>
      <c r="O23">
        <v>4</v>
      </c>
    </row>
    <row r="24" spans="1:15">
      <c r="A24" t="s">
        <v>5301</v>
      </c>
      <c r="B24">
        <v>3</v>
      </c>
      <c r="C24" t="s">
        <v>5320</v>
      </c>
      <c r="D24">
        <v>8172</v>
      </c>
      <c r="F24" t="s">
        <v>5301</v>
      </c>
      <c r="G24">
        <v>3</v>
      </c>
      <c r="H24" t="s">
        <v>5320</v>
      </c>
      <c r="I24">
        <v>25698.7795326044</v>
      </c>
      <c r="K24" t="s">
        <v>5464</v>
      </c>
      <c r="L24">
        <v>6</v>
      </c>
      <c r="M24">
        <v>8</v>
      </c>
      <c r="N24">
        <v>10</v>
      </c>
    </row>
    <row r="25" spans="1:15">
      <c r="A25" t="s">
        <v>5301</v>
      </c>
      <c r="B25">
        <v>4</v>
      </c>
      <c r="C25" t="s">
        <v>5328</v>
      </c>
      <c r="D25">
        <v>5171</v>
      </c>
      <c r="F25" t="s">
        <v>5301</v>
      </c>
      <c r="G25">
        <v>4</v>
      </c>
      <c r="H25" t="s">
        <v>5328</v>
      </c>
      <c r="I25">
        <v>14968.769389065001</v>
      </c>
      <c r="K25" s="16" t="s">
        <v>5470</v>
      </c>
      <c r="L25">
        <v>7</v>
      </c>
      <c r="M25">
        <v>5</v>
      </c>
      <c r="N25">
        <v>5</v>
      </c>
      <c r="O25">
        <v>5</v>
      </c>
    </row>
    <row r="26" spans="1:15">
      <c r="A26" t="s">
        <v>5301</v>
      </c>
      <c r="B26">
        <v>5</v>
      </c>
      <c r="C26" t="s">
        <v>5326</v>
      </c>
      <c r="D26">
        <v>5112</v>
      </c>
      <c r="F26" t="s">
        <v>5301</v>
      </c>
      <c r="G26">
        <v>5</v>
      </c>
      <c r="H26" s="16" t="s">
        <v>5322</v>
      </c>
      <c r="I26">
        <v>11247.6577047724</v>
      </c>
      <c r="K26" t="s">
        <v>5469</v>
      </c>
      <c r="L26">
        <v>8</v>
      </c>
      <c r="M26">
        <v>6</v>
      </c>
      <c r="O26">
        <v>7</v>
      </c>
    </row>
    <row r="27" spans="1:15">
      <c r="A27" t="s">
        <v>5301</v>
      </c>
      <c r="B27">
        <v>6</v>
      </c>
      <c r="C27" t="s">
        <v>5317</v>
      </c>
      <c r="D27">
        <v>4537</v>
      </c>
      <c r="F27" t="s">
        <v>5301</v>
      </c>
      <c r="G27">
        <v>6</v>
      </c>
      <c r="H27" t="s">
        <v>5317</v>
      </c>
      <c r="I27">
        <v>9585.4049312503794</v>
      </c>
      <c r="K27" t="s">
        <v>5467</v>
      </c>
      <c r="L27">
        <v>9</v>
      </c>
      <c r="M27">
        <v>10</v>
      </c>
      <c r="N27">
        <v>6</v>
      </c>
    </row>
    <row r="28" spans="1:15">
      <c r="A28" t="s">
        <v>5301</v>
      </c>
      <c r="B28">
        <v>7</v>
      </c>
      <c r="C28" s="16" t="s">
        <v>5325</v>
      </c>
      <c r="D28">
        <v>2702</v>
      </c>
      <c r="F28" t="s">
        <v>5301</v>
      </c>
      <c r="G28">
        <v>7</v>
      </c>
      <c r="H28" t="s">
        <v>5319</v>
      </c>
      <c r="I28">
        <v>7712.4525580322397</v>
      </c>
      <c r="K28" t="s">
        <v>5462</v>
      </c>
      <c r="L28">
        <v>10</v>
      </c>
      <c r="M28">
        <v>7</v>
      </c>
      <c r="N28">
        <v>7</v>
      </c>
      <c r="O28">
        <v>6</v>
      </c>
    </row>
    <row r="29" spans="1:15">
      <c r="A29" t="s">
        <v>5301</v>
      </c>
      <c r="B29">
        <v>8</v>
      </c>
      <c r="C29" t="s">
        <v>5318</v>
      </c>
      <c r="D29">
        <v>2505</v>
      </c>
      <c r="F29" t="s">
        <v>5301</v>
      </c>
      <c r="G29">
        <v>8</v>
      </c>
      <c r="H29" t="s">
        <v>5326</v>
      </c>
      <c r="I29">
        <v>7114.3185203080102</v>
      </c>
      <c r="K29" t="s">
        <v>5460</v>
      </c>
      <c r="M29">
        <v>9</v>
      </c>
      <c r="N29">
        <v>9</v>
      </c>
      <c r="O29">
        <v>8</v>
      </c>
    </row>
    <row r="30" spans="1:15">
      <c r="A30" t="s">
        <v>5301</v>
      </c>
      <c r="B30">
        <v>9</v>
      </c>
      <c r="C30" s="16" t="s">
        <v>5324</v>
      </c>
      <c r="D30">
        <v>2260</v>
      </c>
      <c r="F30" t="s">
        <v>5301</v>
      </c>
      <c r="G30">
        <v>9</v>
      </c>
      <c r="H30" t="s">
        <v>5318</v>
      </c>
      <c r="I30">
        <v>7022.7050632122</v>
      </c>
      <c r="K30" t="s">
        <v>5468</v>
      </c>
      <c r="O30">
        <v>9</v>
      </c>
    </row>
    <row r="31" spans="1:15">
      <c r="A31" t="s">
        <v>5301</v>
      </c>
      <c r="B31">
        <v>10</v>
      </c>
      <c r="C31" t="s">
        <v>5319</v>
      </c>
      <c r="D31">
        <v>1958</v>
      </c>
      <c r="F31" t="s">
        <v>5301</v>
      </c>
      <c r="G31">
        <v>10</v>
      </c>
      <c r="H31" s="16" t="s">
        <v>5316</v>
      </c>
      <c r="I31">
        <v>6642.9949540644902</v>
      </c>
      <c r="K31" s="16" t="s">
        <v>5471</v>
      </c>
      <c r="O31">
        <v>10</v>
      </c>
    </row>
    <row r="32" spans="1:15">
      <c r="A32" t="s">
        <v>5302</v>
      </c>
      <c r="B32">
        <v>1</v>
      </c>
      <c r="C32" t="s">
        <v>5321</v>
      </c>
      <c r="D32">
        <v>18272</v>
      </c>
      <c r="F32" t="s">
        <v>5302</v>
      </c>
      <c r="G32">
        <v>1</v>
      </c>
      <c r="H32" t="s">
        <v>5321</v>
      </c>
      <c r="I32">
        <v>63561.309907469004</v>
      </c>
      <c r="J32" t="str">
        <f t="shared" ref="J32:J54" si="0">UPPER(K32)</f>
        <v/>
      </c>
    </row>
    <row r="33" spans="1:11">
      <c r="A33" t="s">
        <v>5302</v>
      </c>
      <c r="B33">
        <v>2</v>
      </c>
      <c r="C33" t="s">
        <v>5320</v>
      </c>
      <c r="D33">
        <v>14166</v>
      </c>
      <c r="F33" t="s">
        <v>5302</v>
      </c>
      <c r="G33">
        <v>2</v>
      </c>
      <c r="H33" t="s">
        <v>1408</v>
      </c>
      <c r="I33">
        <v>47838.6016699951</v>
      </c>
      <c r="J33" t="str">
        <f t="shared" si="0"/>
        <v/>
      </c>
    </row>
    <row r="34" spans="1:11">
      <c r="A34" t="s">
        <v>5302</v>
      </c>
      <c r="B34">
        <v>3</v>
      </c>
      <c r="C34" t="s">
        <v>1408</v>
      </c>
      <c r="D34">
        <v>13769</v>
      </c>
      <c r="F34" t="s">
        <v>5302</v>
      </c>
      <c r="G34">
        <v>3</v>
      </c>
      <c r="H34" t="s">
        <v>5320</v>
      </c>
      <c r="I34">
        <v>37910.379375173899</v>
      </c>
      <c r="J34" t="str">
        <f t="shared" si="0"/>
        <v/>
      </c>
    </row>
    <row r="35" spans="1:11">
      <c r="A35" t="s">
        <v>5302</v>
      </c>
      <c r="B35">
        <v>4</v>
      </c>
      <c r="C35" s="16" t="s">
        <v>5326</v>
      </c>
      <c r="D35">
        <v>10916</v>
      </c>
      <c r="F35" t="s">
        <v>5302</v>
      </c>
      <c r="G35">
        <v>4</v>
      </c>
      <c r="H35" t="s">
        <v>5327</v>
      </c>
      <c r="I35">
        <v>18379.411760415001</v>
      </c>
      <c r="J35" t="str">
        <f t="shared" si="0"/>
        <v/>
      </c>
    </row>
    <row r="36" spans="1:11">
      <c r="A36" t="s">
        <v>5302</v>
      </c>
      <c r="B36">
        <v>5</v>
      </c>
      <c r="C36" t="s">
        <v>5327</v>
      </c>
      <c r="D36">
        <v>7970</v>
      </c>
      <c r="F36" t="s">
        <v>5302</v>
      </c>
      <c r="G36">
        <v>5</v>
      </c>
      <c r="H36" t="s">
        <v>5328</v>
      </c>
      <c r="I36">
        <v>18312.169335852399</v>
      </c>
      <c r="J36" t="str">
        <f t="shared" si="0"/>
        <v/>
      </c>
    </row>
    <row r="37" spans="1:11">
      <c r="A37" t="s">
        <v>5302</v>
      </c>
      <c r="B37">
        <v>6</v>
      </c>
      <c r="C37" t="s">
        <v>5317</v>
      </c>
      <c r="D37">
        <v>7651</v>
      </c>
      <c r="F37" t="s">
        <v>5302</v>
      </c>
      <c r="G37">
        <v>6</v>
      </c>
      <c r="H37" t="s">
        <v>5323</v>
      </c>
      <c r="I37">
        <v>17235.7150862692</v>
      </c>
      <c r="J37" t="str">
        <f t="shared" si="0"/>
        <v/>
      </c>
    </row>
    <row r="38" spans="1:11">
      <c r="A38" t="s">
        <v>5302</v>
      </c>
      <c r="B38">
        <v>7</v>
      </c>
      <c r="C38" s="16" t="s">
        <v>5329</v>
      </c>
      <c r="D38">
        <v>7524</v>
      </c>
      <c r="F38" t="s">
        <v>5302</v>
      </c>
      <c r="G38">
        <v>7</v>
      </c>
      <c r="H38" s="16" t="s">
        <v>5322</v>
      </c>
      <c r="I38">
        <v>17175.272952252999</v>
      </c>
      <c r="J38" t="str">
        <f t="shared" si="0"/>
        <v/>
      </c>
    </row>
    <row r="39" spans="1:11">
      <c r="A39" t="s">
        <v>5302</v>
      </c>
      <c r="B39">
        <v>8</v>
      </c>
      <c r="C39" t="s">
        <v>5323</v>
      </c>
      <c r="D39">
        <v>7422</v>
      </c>
      <c r="F39" t="s">
        <v>5302</v>
      </c>
      <c r="G39">
        <v>8</v>
      </c>
      <c r="H39" s="16" t="s">
        <v>5319</v>
      </c>
      <c r="I39">
        <v>16860.4457297712</v>
      </c>
      <c r="J39" t="str">
        <f t="shared" si="0"/>
        <v/>
      </c>
    </row>
    <row r="40" spans="1:11">
      <c r="A40" t="s">
        <v>5302</v>
      </c>
      <c r="B40">
        <v>9</v>
      </c>
      <c r="C40" s="16" t="s">
        <v>5325</v>
      </c>
      <c r="D40">
        <v>7016</v>
      </c>
      <c r="F40" t="s">
        <v>5302</v>
      </c>
      <c r="G40">
        <v>9</v>
      </c>
      <c r="H40" s="16" t="s">
        <v>5324</v>
      </c>
      <c r="I40">
        <v>14709.484565537399</v>
      </c>
      <c r="J40" t="str">
        <f t="shared" si="0"/>
        <v/>
      </c>
    </row>
    <row r="41" spans="1:11">
      <c r="A41" t="s">
        <v>5302</v>
      </c>
      <c r="B41">
        <v>10</v>
      </c>
      <c r="C41" t="s">
        <v>5328</v>
      </c>
      <c r="D41">
        <v>6734</v>
      </c>
      <c r="F41" t="s">
        <v>5302</v>
      </c>
      <c r="G41">
        <v>10</v>
      </c>
      <c r="H41" t="s">
        <v>5317</v>
      </c>
      <c r="I41">
        <v>14282.9828010523</v>
      </c>
      <c r="J41" t="str">
        <f t="shared" si="0"/>
        <v/>
      </c>
    </row>
    <row r="42" spans="1:11">
      <c r="D42">
        <f>SUM(D2:D41)/D43</f>
        <v>0.60544707430444433</v>
      </c>
      <c r="I42">
        <f>SUM(I2:I41)/I43</f>
        <v>0.51780293926113341</v>
      </c>
      <c r="J42" t="str">
        <f t="shared" si="0"/>
        <v>TROUSERS</v>
      </c>
      <c r="K42" t="s">
        <v>5321</v>
      </c>
    </row>
    <row r="43" spans="1:11">
      <c r="D43">
        <v>879261</v>
      </c>
      <c r="I43">
        <v>2912852.5010865172</v>
      </c>
      <c r="J43" t="str">
        <f t="shared" si="0"/>
        <v>DRESS</v>
      </c>
      <c r="K43" t="s">
        <v>1408</v>
      </c>
    </row>
    <row r="44" spans="1:11">
      <c r="J44" t="str">
        <f t="shared" si="0"/>
        <v>SWEATER</v>
      </c>
      <c r="K44" t="s">
        <v>5320</v>
      </c>
    </row>
    <row r="45" spans="1:11">
      <c r="J45" t="str">
        <f t="shared" si="0"/>
        <v>T-SHIRT</v>
      </c>
      <c r="K45" t="s">
        <v>5326</v>
      </c>
    </row>
    <row r="46" spans="1:11">
      <c r="J46" t="str">
        <f t="shared" si="0"/>
        <v>TOP</v>
      </c>
      <c r="K46" t="s">
        <v>5317</v>
      </c>
    </row>
    <row r="47" spans="1:11">
      <c r="J47" t="str">
        <f t="shared" si="0"/>
        <v>VEST TOP</v>
      </c>
      <c r="K47" t="s">
        <v>5325</v>
      </c>
    </row>
    <row r="48" spans="1:11">
      <c r="J48" t="str">
        <f t="shared" si="0"/>
        <v>BLOUSE</v>
      </c>
      <c r="K48" t="s">
        <v>5328</v>
      </c>
    </row>
    <row r="49" spans="10:11">
      <c r="J49" t="str">
        <f t="shared" si="0"/>
        <v>BRA</v>
      </c>
      <c r="K49" t="s">
        <v>5323</v>
      </c>
    </row>
    <row r="50" spans="10:11">
      <c r="J50" t="str">
        <f t="shared" si="0"/>
        <v>SHORTS</v>
      </c>
      <c r="K50" t="s">
        <v>5324</v>
      </c>
    </row>
    <row r="51" spans="10:11">
      <c r="J51" t="str">
        <f t="shared" si="0"/>
        <v>SWIMWEAR BOTTOM</v>
      </c>
      <c r="K51" t="s">
        <v>5329</v>
      </c>
    </row>
    <row r="52" spans="10:11">
      <c r="J52" t="str">
        <f t="shared" si="0"/>
        <v>SHIRT</v>
      </c>
      <c r="K52" t="s">
        <v>5318</v>
      </c>
    </row>
    <row r="53" spans="10:11">
      <c r="J53" t="str">
        <f t="shared" si="0"/>
        <v>SKIRT</v>
      </c>
      <c r="K53" t="s">
        <v>5319</v>
      </c>
    </row>
    <row r="54" spans="10:11">
      <c r="J54" t="str">
        <f t="shared" si="0"/>
        <v>BIKINI TOP</v>
      </c>
      <c r="K54" t="s">
        <v>5327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D265-4381-4793-B9FA-B0276EADB0F8}">
  <dimension ref="A1:V1160"/>
  <sheetViews>
    <sheetView workbookViewId="0">
      <selection activeCell="W30" sqref="W30"/>
    </sheetView>
  </sheetViews>
  <sheetFormatPr defaultRowHeight="14.25"/>
  <cols>
    <col min="8" max="8" width="17.3984375" customWidth="1"/>
    <col min="19" max="19" width="10.46484375" bestFit="1" customWidth="1"/>
  </cols>
  <sheetData>
    <row r="1" spans="1:22">
      <c r="A1" t="s">
        <v>5315</v>
      </c>
      <c r="B1" t="s">
        <v>5332</v>
      </c>
      <c r="C1" t="s">
        <v>61</v>
      </c>
      <c r="D1" t="s">
        <v>5433</v>
      </c>
      <c r="E1" t="s">
        <v>5434</v>
      </c>
      <c r="I1" s="21" t="s">
        <v>5430</v>
      </c>
      <c r="J1" s="21" t="s">
        <v>5431</v>
      </c>
      <c r="K1" s="21" t="s">
        <v>5432</v>
      </c>
      <c r="L1" s="21" t="s">
        <v>5435</v>
      </c>
      <c r="M1" s="21" t="s">
        <v>5436</v>
      </c>
      <c r="N1" s="21" t="s">
        <v>5437</v>
      </c>
      <c r="O1" s="21" t="s">
        <v>5438</v>
      </c>
      <c r="P1" s="21" t="s">
        <v>5439</v>
      </c>
      <c r="Q1" s="21" t="s">
        <v>5440</v>
      </c>
      <c r="R1" s="21" t="s">
        <v>5441</v>
      </c>
      <c r="S1" s="21" t="s">
        <v>5442</v>
      </c>
      <c r="T1" s="21" t="s">
        <v>5443</v>
      </c>
      <c r="U1" s="12" t="s">
        <v>87</v>
      </c>
      <c r="V1" s="21" t="s">
        <v>5472</v>
      </c>
    </row>
    <row r="2" spans="1:22">
      <c r="A2" t="s">
        <v>5320</v>
      </c>
      <c r="B2">
        <v>1</v>
      </c>
      <c r="C2">
        <v>9107</v>
      </c>
      <c r="D2" t="e">
        <f>VLOOKUP(A2,#REF!,2,FALSE)</f>
        <v>#REF!</v>
      </c>
      <c r="E2" t="e">
        <f t="shared" ref="E2:E65" si="0">C2/D2</f>
        <v>#REF!</v>
      </c>
      <c r="H2" s="20" t="s">
        <v>5321</v>
      </c>
      <c r="I2">
        <v>9974</v>
      </c>
      <c r="J2">
        <v>9423</v>
      </c>
      <c r="K2">
        <v>10154</v>
      </c>
      <c r="L2">
        <v>9249</v>
      </c>
      <c r="M2">
        <v>8433</v>
      </c>
      <c r="N2">
        <v>8511</v>
      </c>
      <c r="O2">
        <v>8239</v>
      </c>
      <c r="P2">
        <v>8356</v>
      </c>
      <c r="Q2">
        <v>9841</v>
      </c>
      <c r="R2">
        <v>8407</v>
      </c>
      <c r="S2">
        <v>7924</v>
      </c>
      <c r="T2">
        <v>7414</v>
      </c>
      <c r="U2">
        <v>105925</v>
      </c>
      <c r="V2">
        <f t="shared" ref="V2" si="1">(N2-T2)/T2</f>
        <v>0.14796331265173995</v>
      </c>
    </row>
    <row r="3" spans="1:22">
      <c r="A3" t="s">
        <v>1408</v>
      </c>
      <c r="B3">
        <v>1</v>
      </c>
      <c r="C3">
        <v>3615</v>
      </c>
      <c r="D3" t="e">
        <f>VLOOKUP(A3,#REF!,2,FALSE)</f>
        <v>#REF!</v>
      </c>
      <c r="E3" t="e">
        <f t="shared" si="0"/>
        <v>#REF!</v>
      </c>
      <c r="H3" s="20" t="s">
        <v>1408</v>
      </c>
      <c r="I3">
        <v>3615</v>
      </c>
      <c r="J3">
        <v>4068</v>
      </c>
      <c r="K3">
        <v>5732</v>
      </c>
      <c r="L3">
        <v>8994</v>
      </c>
      <c r="M3">
        <v>9365</v>
      </c>
      <c r="N3">
        <v>12744</v>
      </c>
      <c r="O3">
        <v>10784</v>
      </c>
      <c r="P3">
        <v>6583</v>
      </c>
      <c r="Q3">
        <v>4711</v>
      </c>
      <c r="R3">
        <v>4616</v>
      </c>
      <c r="S3">
        <v>5580</v>
      </c>
      <c r="T3">
        <v>5354</v>
      </c>
      <c r="U3">
        <v>82146</v>
      </c>
      <c r="V3">
        <f>(N3-T3)/T3</f>
        <v>1.3802764288382519</v>
      </c>
    </row>
    <row r="4" spans="1:22">
      <c r="A4" t="s">
        <v>5326</v>
      </c>
      <c r="B4">
        <v>1</v>
      </c>
      <c r="C4">
        <v>3497</v>
      </c>
      <c r="D4" t="e">
        <f>VLOOKUP(A4,#REF!,2,FALSE)</f>
        <v>#REF!</v>
      </c>
      <c r="E4" t="e">
        <f t="shared" si="0"/>
        <v>#REF!</v>
      </c>
      <c r="H4" s="20" t="s">
        <v>5320</v>
      </c>
      <c r="I4">
        <v>9107</v>
      </c>
      <c r="J4">
        <v>5721</v>
      </c>
      <c r="K4">
        <v>4521</v>
      </c>
      <c r="L4">
        <v>2086</v>
      </c>
      <c r="M4">
        <v>1929</v>
      </c>
      <c r="N4">
        <v>1576</v>
      </c>
      <c r="O4">
        <v>2261</v>
      </c>
      <c r="P4">
        <v>4412</v>
      </c>
      <c r="Q4">
        <v>9698</v>
      </c>
      <c r="R4">
        <v>10148</v>
      </c>
      <c r="S4">
        <v>11041</v>
      </c>
      <c r="T4">
        <v>8602</v>
      </c>
      <c r="U4">
        <v>71102</v>
      </c>
      <c r="V4">
        <f t="shared" ref="V4:V26" si="2">(N4-T4)/T4</f>
        <v>-0.81678679376889096</v>
      </c>
    </row>
    <row r="5" spans="1:22">
      <c r="A5" t="s">
        <v>5328</v>
      </c>
      <c r="B5">
        <v>1</v>
      </c>
      <c r="C5">
        <v>3126</v>
      </c>
      <c r="D5" t="e">
        <f>VLOOKUP(A5,#REF!,2,FALSE)</f>
        <v>#REF!</v>
      </c>
      <c r="E5" t="e">
        <f t="shared" si="0"/>
        <v>#REF!</v>
      </c>
      <c r="H5" s="20" t="s">
        <v>5326</v>
      </c>
      <c r="I5">
        <v>3497</v>
      </c>
      <c r="J5">
        <v>4533</v>
      </c>
      <c r="K5">
        <v>5287</v>
      </c>
      <c r="L5">
        <v>6856</v>
      </c>
      <c r="M5">
        <v>6123</v>
      </c>
      <c r="N5">
        <v>7533</v>
      </c>
      <c r="O5">
        <v>7338</v>
      </c>
      <c r="P5">
        <v>4704</v>
      </c>
      <c r="Q5">
        <v>3312</v>
      </c>
      <c r="R5">
        <v>2585</v>
      </c>
      <c r="S5">
        <v>2222</v>
      </c>
      <c r="T5">
        <v>2074</v>
      </c>
      <c r="U5">
        <v>56064</v>
      </c>
      <c r="V5">
        <f t="shared" si="2"/>
        <v>2.632111861137898</v>
      </c>
    </row>
    <row r="6" spans="1:22">
      <c r="A6" t="s">
        <v>5323</v>
      </c>
      <c r="B6">
        <v>1</v>
      </c>
      <c r="C6">
        <v>2950</v>
      </c>
      <c r="D6" t="e">
        <f>VLOOKUP(A6,#REF!,2,FALSE)</f>
        <v>#REF!</v>
      </c>
      <c r="E6" t="e">
        <f t="shared" si="0"/>
        <v>#REF!</v>
      </c>
      <c r="H6" s="20" t="s">
        <v>5317</v>
      </c>
      <c r="I6">
        <v>2873</v>
      </c>
      <c r="J6">
        <v>3172</v>
      </c>
      <c r="K6">
        <v>3562</v>
      </c>
      <c r="L6">
        <v>3819</v>
      </c>
      <c r="M6">
        <v>3604</v>
      </c>
      <c r="N6">
        <v>4248</v>
      </c>
      <c r="O6">
        <v>4291</v>
      </c>
      <c r="P6">
        <v>3435</v>
      </c>
      <c r="Q6">
        <v>3947</v>
      </c>
      <c r="R6">
        <v>3360</v>
      </c>
      <c r="S6">
        <v>3091</v>
      </c>
      <c r="T6">
        <v>2434</v>
      </c>
      <c r="U6">
        <v>41836</v>
      </c>
      <c r="V6">
        <f t="shared" si="2"/>
        <v>0.74527526705012326</v>
      </c>
    </row>
    <row r="7" spans="1:22">
      <c r="A7" t="s">
        <v>5317</v>
      </c>
      <c r="B7">
        <v>1</v>
      </c>
      <c r="C7">
        <v>2873</v>
      </c>
      <c r="D7" t="e">
        <f>VLOOKUP(A7,#REF!,2,FALSE)</f>
        <v>#REF!</v>
      </c>
      <c r="E7" t="e">
        <f t="shared" si="0"/>
        <v>#REF!</v>
      </c>
      <c r="H7" s="20" t="s">
        <v>5328</v>
      </c>
      <c r="I7">
        <v>3126</v>
      </c>
      <c r="J7">
        <v>2981</v>
      </c>
      <c r="K7">
        <v>4046</v>
      </c>
      <c r="L7">
        <v>3876</v>
      </c>
      <c r="M7">
        <v>3768</v>
      </c>
      <c r="N7">
        <v>4954</v>
      </c>
      <c r="O7">
        <v>4902</v>
      </c>
      <c r="P7">
        <v>3054</v>
      </c>
      <c r="Q7">
        <v>2702</v>
      </c>
      <c r="R7">
        <v>2534</v>
      </c>
      <c r="S7">
        <v>2495</v>
      </c>
      <c r="T7">
        <v>2325</v>
      </c>
      <c r="U7">
        <v>40763</v>
      </c>
      <c r="V7">
        <f t="shared" si="2"/>
        <v>1.1307526881720431</v>
      </c>
    </row>
    <row r="8" spans="1:22">
      <c r="A8" t="s">
        <v>5333</v>
      </c>
      <c r="B8">
        <v>1</v>
      </c>
      <c r="C8">
        <v>2514</v>
      </c>
      <c r="D8" t="e">
        <f>VLOOKUP(A8,#REF!,2,FALSE)</f>
        <v>#REF!</v>
      </c>
      <c r="E8" t="e">
        <f t="shared" si="0"/>
        <v>#REF!</v>
      </c>
      <c r="H8" s="20" t="s">
        <v>5325</v>
      </c>
      <c r="I8">
        <v>2051</v>
      </c>
      <c r="J8">
        <v>1675</v>
      </c>
      <c r="K8">
        <v>2283</v>
      </c>
      <c r="L8">
        <v>3783</v>
      </c>
      <c r="M8">
        <v>4991</v>
      </c>
      <c r="N8">
        <v>7278</v>
      </c>
      <c r="O8">
        <v>6499</v>
      </c>
      <c r="P8">
        <v>3240</v>
      </c>
      <c r="Q8">
        <v>1552</v>
      </c>
      <c r="R8">
        <v>1305</v>
      </c>
      <c r="S8">
        <v>1426</v>
      </c>
      <c r="T8">
        <v>1213</v>
      </c>
      <c r="U8">
        <v>37296</v>
      </c>
      <c r="V8">
        <f t="shared" si="2"/>
        <v>5</v>
      </c>
    </row>
    <row r="9" spans="1:22">
      <c r="A9" t="s">
        <v>5325</v>
      </c>
      <c r="B9">
        <v>1</v>
      </c>
      <c r="C9">
        <v>2051</v>
      </c>
      <c r="D9" t="e">
        <f>VLOOKUP(A9,#REF!,2,FALSE)</f>
        <v>#REF!</v>
      </c>
      <c r="E9" t="e">
        <f t="shared" si="0"/>
        <v>#REF!</v>
      </c>
      <c r="H9" s="20" t="s">
        <v>5324</v>
      </c>
      <c r="I9">
        <v>830</v>
      </c>
      <c r="J9">
        <v>742</v>
      </c>
      <c r="K9">
        <v>1243</v>
      </c>
      <c r="L9">
        <v>3890</v>
      </c>
      <c r="M9">
        <v>5258</v>
      </c>
      <c r="N9">
        <v>8579</v>
      </c>
      <c r="O9">
        <v>7641</v>
      </c>
      <c r="P9">
        <v>3113</v>
      </c>
      <c r="Q9">
        <v>646</v>
      </c>
      <c r="R9">
        <v>409</v>
      </c>
      <c r="S9">
        <v>356</v>
      </c>
      <c r="T9">
        <v>302</v>
      </c>
      <c r="U9">
        <v>33009</v>
      </c>
      <c r="V9">
        <f t="shared" si="2"/>
        <v>27.40728476821192</v>
      </c>
    </row>
    <row r="10" spans="1:22">
      <c r="A10" t="s">
        <v>5334</v>
      </c>
      <c r="B10">
        <v>1</v>
      </c>
      <c r="C10">
        <v>1919</v>
      </c>
      <c r="D10" t="e">
        <f>VLOOKUP(A10,#REF!,2,FALSE)</f>
        <v>#REF!</v>
      </c>
      <c r="E10" t="e">
        <f t="shared" si="0"/>
        <v>#REF!</v>
      </c>
      <c r="H10" s="20" t="s">
        <v>5323</v>
      </c>
      <c r="I10">
        <v>2950</v>
      </c>
      <c r="J10">
        <v>2277</v>
      </c>
      <c r="K10">
        <v>2335</v>
      </c>
      <c r="L10">
        <v>2344</v>
      </c>
      <c r="M10">
        <v>2852</v>
      </c>
      <c r="N10">
        <v>3346</v>
      </c>
      <c r="O10">
        <v>3425</v>
      </c>
      <c r="P10">
        <v>2701</v>
      </c>
      <c r="Q10">
        <v>2261</v>
      </c>
      <c r="R10">
        <v>1962</v>
      </c>
      <c r="S10">
        <v>2537</v>
      </c>
      <c r="T10">
        <v>2804</v>
      </c>
      <c r="U10">
        <v>31794</v>
      </c>
      <c r="V10">
        <f t="shared" si="2"/>
        <v>0.19329529243937232</v>
      </c>
    </row>
    <row r="11" spans="1:22">
      <c r="A11" t="s">
        <v>5327</v>
      </c>
      <c r="B11">
        <v>1</v>
      </c>
      <c r="C11">
        <v>1819</v>
      </c>
      <c r="D11" t="e">
        <f>VLOOKUP(A11,#REF!,2,FALSE)</f>
        <v>#REF!</v>
      </c>
      <c r="E11" t="e">
        <f t="shared" si="0"/>
        <v>#REF!</v>
      </c>
      <c r="H11" s="20" t="s">
        <v>5329</v>
      </c>
      <c r="I11">
        <v>1781</v>
      </c>
      <c r="J11">
        <v>1543</v>
      </c>
      <c r="K11">
        <v>2325</v>
      </c>
      <c r="L11">
        <v>3704</v>
      </c>
      <c r="M11">
        <v>4774</v>
      </c>
      <c r="N11">
        <v>6419</v>
      </c>
      <c r="O11">
        <v>6033</v>
      </c>
      <c r="P11">
        <v>2159</v>
      </c>
      <c r="Q11">
        <v>533</v>
      </c>
      <c r="R11">
        <v>327</v>
      </c>
      <c r="S11">
        <v>224</v>
      </c>
      <c r="T11">
        <v>353</v>
      </c>
      <c r="U11">
        <v>30175</v>
      </c>
      <c r="V11">
        <f t="shared" si="2"/>
        <v>17.18413597733711</v>
      </c>
    </row>
    <row r="12" spans="1:22">
      <c r="A12" t="s">
        <v>5329</v>
      </c>
      <c r="B12">
        <v>1</v>
      </c>
      <c r="C12">
        <v>1781</v>
      </c>
      <c r="D12" t="e">
        <f>VLOOKUP(A12,#REF!,2,FALSE)</f>
        <v>#REF!</v>
      </c>
      <c r="E12" t="e">
        <f t="shared" si="0"/>
        <v>#REF!</v>
      </c>
      <c r="H12" s="20" t="s">
        <v>5327</v>
      </c>
      <c r="I12">
        <v>1819</v>
      </c>
      <c r="J12">
        <v>1577</v>
      </c>
      <c r="K12">
        <v>2380</v>
      </c>
      <c r="L12">
        <v>3720</v>
      </c>
      <c r="M12">
        <v>4961</v>
      </c>
      <c r="N12">
        <v>6096</v>
      </c>
      <c r="O12">
        <v>5747</v>
      </c>
      <c r="P12">
        <v>2127</v>
      </c>
      <c r="Q12">
        <v>437</v>
      </c>
      <c r="R12">
        <v>309</v>
      </c>
      <c r="S12">
        <v>257</v>
      </c>
      <c r="T12">
        <v>366</v>
      </c>
      <c r="U12">
        <v>29796</v>
      </c>
      <c r="V12">
        <f t="shared" si="2"/>
        <v>15.655737704918034</v>
      </c>
    </row>
    <row r="13" spans="1:22">
      <c r="A13" t="s">
        <v>5322</v>
      </c>
      <c r="B13">
        <v>1</v>
      </c>
      <c r="C13">
        <v>1580</v>
      </c>
      <c r="D13" t="e">
        <f>VLOOKUP(A13,#REF!,2,FALSE)</f>
        <v>#REF!</v>
      </c>
      <c r="E13" t="e">
        <f t="shared" si="0"/>
        <v>#REF!</v>
      </c>
      <c r="H13" s="20" t="s">
        <v>5333</v>
      </c>
      <c r="I13">
        <v>2514</v>
      </c>
      <c r="J13">
        <v>2137</v>
      </c>
      <c r="K13">
        <v>2018</v>
      </c>
      <c r="L13">
        <v>2139</v>
      </c>
      <c r="M13">
        <v>2625</v>
      </c>
      <c r="N13">
        <v>2696</v>
      </c>
      <c r="O13">
        <v>2745</v>
      </c>
      <c r="P13">
        <v>2160</v>
      </c>
      <c r="Q13">
        <v>1837</v>
      </c>
      <c r="R13">
        <v>1651</v>
      </c>
      <c r="S13">
        <v>2035</v>
      </c>
      <c r="T13">
        <v>2065</v>
      </c>
      <c r="U13">
        <v>26622</v>
      </c>
      <c r="V13">
        <f t="shared" si="2"/>
        <v>0.3055690072639225</v>
      </c>
    </row>
    <row r="14" spans="1:22">
      <c r="A14" t="s">
        <v>5335</v>
      </c>
      <c r="B14">
        <v>1</v>
      </c>
      <c r="C14">
        <v>1474</v>
      </c>
      <c r="D14" t="e">
        <f>VLOOKUP(A14,#REF!,2,FALSE)</f>
        <v>#REF!</v>
      </c>
      <c r="E14" t="e">
        <f t="shared" si="0"/>
        <v>#REF!</v>
      </c>
      <c r="H14" s="20" t="s">
        <v>5319</v>
      </c>
      <c r="I14">
        <v>1217</v>
      </c>
      <c r="J14">
        <v>1429</v>
      </c>
      <c r="K14">
        <v>1614</v>
      </c>
      <c r="L14">
        <v>2187</v>
      </c>
      <c r="M14">
        <v>2247</v>
      </c>
      <c r="N14">
        <v>3048</v>
      </c>
      <c r="O14">
        <v>2808</v>
      </c>
      <c r="P14">
        <v>2091</v>
      </c>
      <c r="Q14">
        <v>1854</v>
      </c>
      <c r="R14">
        <v>1659</v>
      </c>
      <c r="S14">
        <v>1747</v>
      </c>
      <c r="T14">
        <v>1897</v>
      </c>
      <c r="U14">
        <v>23798</v>
      </c>
      <c r="V14">
        <f t="shared" si="2"/>
        <v>0.606747496046389</v>
      </c>
    </row>
    <row r="15" spans="1:22">
      <c r="A15" t="s">
        <v>5318</v>
      </c>
      <c r="B15">
        <v>1</v>
      </c>
      <c r="C15">
        <v>1280</v>
      </c>
      <c r="D15" t="e">
        <f>VLOOKUP(A15,#REF!,2,FALSE)</f>
        <v>#REF!</v>
      </c>
      <c r="E15" t="e">
        <f t="shared" si="0"/>
        <v>#REF!</v>
      </c>
      <c r="H15" s="20" t="s">
        <v>5318</v>
      </c>
      <c r="I15">
        <v>1280</v>
      </c>
      <c r="J15">
        <v>1567</v>
      </c>
      <c r="K15">
        <v>1824</v>
      </c>
      <c r="L15">
        <v>1802</v>
      </c>
      <c r="M15">
        <v>1683</v>
      </c>
      <c r="N15">
        <v>1707</v>
      </c>
      <c r="O15">
        <v>1935</v>
      </c>
      <c r="P15">
        <v>1595</v>
      </c>
      <c r="Q15">
        <v>1682</v>
      </c>
      <c r="R15">
        <v>1319</v>
      </c>
      <c r="S15">
        <v>1162</v>
      </c>
      <c r="T15">
        <v>1333</v>
      </c>
      <c r="U15">
        <v>18889</v>
      </c>
      <c r="V15">
        <f t="shared" si="2"/>
        <v>0.28057014253563389</v>
      </c>
    </row>
    <row r="16" spans="1:22">
      <c r="A16" t="s">
        <v>5319</v>
      </c>
      <c r="B16">
        <v>1</v>
      </c>
      <c r="C16">
        <v>1217</v>
      </c>
      <c r="D16" t="e">
        <f>VLOOKUP(A16,#REF!,2,FALSE)</f>
        <v>#REF!</v>
      </c>
      <c r="E16" t="e">
        <f t="shared" si="0"/>
        <v>#REF!</v>
      </c>
      <c r="H16" s="20" t="s">
        <v>5334</v>
      </c>
      <c r="I16">
        <v>1919</v>
      </c>
      <c r="J16">
        <v>1635</v>
      </c>
      <c r="K16">
        <v>1474</v>
      </c>
      <c r="L16">
        <v>1345</v>
      </c>
      <c r="M16">
        <v>1134</v>
      </c>
      <c r="N16">
        <v>1106</v>
      </c>
      <c r="O16">
        <v>1109</v>
      </c>
      <c r="P16">
        <v>1169</v>
      </c>
      <c r="Q16">
        <v>1743</v>
      </c>
      <c r="R16">
        <v>1605</v>
      </c>
      <c r="S16">
        <v>1492</v>
      </c>
      <c r="T16">
        <v>1574</v>
      </c>
      <c r="U16">
        <v>17305</v>
      </c>
      <c r="V16">
        <f t="shared" si="2"/>
        <v>-0.29733163913595934</v>
      </c>
    </row>
    <row r="17" spans="1:22">
      <c r="A17" t="s">
        <v>5337</v>
      </c>
      <c r="B17">
        <v>1</v>
      </c>
      <c r="C17">
        <v>993</v>
      </c>
      <c r="D17" t="e">
        <f>VLOOKUP(A17,#REF!,2,FALSE)</f>
        <v>#REF!</v>
      </c>
      <c r="E17" t="e">
        <f t="shared" si="0"/>
        <v>#REF!</v>
      </c>
      <c r="H17" s="20" t="s">
        <v>5322</v>
      </c>
      <c r="I17">
        <v>1580</v>
      </c>
      <c r="J17">
        <v>1391</v>
      </c>
      <c r="K17">
        <v>1373</v>
      </c>
      <c r="L17">
        <v>984</v>
      </c>
      <c r="M17">
        <v>891</v>
      </c>
      <c r="N17">
        <v>707</v>
      </c>
      <c r="O17">
        <v>746</v>
      </c>
      <c r="P17">
        <v>910</v>
      </c>
      <c r="Q17">
        <v>1643</v>
      </c>
      <c r="R17">
        <v>1717</v>
      </c>
      <c r="S17">
        <v>1668</v>
      </c>
      <c r="T17">
        <v>1249</v>
      </c>
      <c r="U17">
        <v>14859</v>
      </c>
      <c r="V17">
        <f t="shared" si="2"/>
        <v>-0.43394715772618092</v>
      </c>
    </row>
    <row r="18" spans="1:22">
      <c r="A18" t="s">
        <v>5336</v>
      </c>
      <c r="B18">
        <v>1</v>
      </c>
      <c r="C18">
        <v>909</v>
      </c>
      <c r="D18" t="e">
        <f>VLOOKUP(A18,#REF!,2,FALSE)</f>
        <v>#REF!</v>
      </c>
      <c r="E18" t="e">
        <f t="shared" si="0"/>
        <v>#REF!</v>
      </c>
      <c r="H18" s="20" t="s">
        <v>5335</v>
      </c>
      <c r="I18">
        <v>1474</v>
      </c>
      <c r="J18">
        <v>1013</v>
      </c>
      <c r="K18">
        <v>787</v>
      </c>
      <c r="L18">
        <v>624</v>
      </c>
      <c r="M18">
        <v>640</v>
      </c>
      <c r="N18">
        <v>459</v>
      </c>
      <c r="O18">
        <v>684</v>
      </c>
      <c r="P18">
        <v>688</v>
      </c>
      <c r="Q18">
        <v>1546</v>
      </c>
      <c r="R18">
        <v>1546</v>
      </c>
      <c r="S18">
        <v>1380</v>
      </c>
      <c r="T18">
        <v>1067</v>
      </c>
      <c r="U18">
        <v>11908</v>
      </c>
      <c r="V18">
        <f t="shared" si="2"/>
        <v>-0.56982193064667297</v>
      </c>
    </row>
    <row r="19" spans="1:22">
      <c r="A19" t="s">
        <v>5316</v>
      </c>
      <c r="B19">
        <v>1</v>
      </c>
      <c r="C19">
        <v>888</v>
      </c>
      <c r="D19" t="e">
        <f>VLOOKUP(A19,#REF!,2,FALSE)</f>
        <v>#REF!</v>
      </c>
      <c r="E19" t="e">
        <f t="shared" si="0"/>
        <v>#REF!</v>
      </c>
      <c r="H19" s="20" t="s">
        <v>5336</v>
      </c>
      <c r="I19">
        <v>909</v>
      </c>
      <c r="J19">
        <v>936</v>
      </c>
      <c r="K19">
        <v>846</v>
      </c>
      <c r="L19">
        <v>947</v>
      </c>
      <c r="M19">
        <v>904</v>
      </c>
      <c r="N19">
        <v>850</v>
      </c>
      <c r="O19">
        <v>877</v>
      </c>
      <c r="P19">
        <v>755</v>
      </c>
      <c r="Q19">
        <v>831</v>
      </c>
      <c r="R19">
        <v>905</v>
      </c>
      <c r="S19">
        <v>1202</v>
      </c>
      <c r="T19">
        <v>1350</v>
      </c>
      <c r="U19">
        <v>11312</v>
      </c>
      <c r="V19">
        <f t="shared" si="2"/>
        <v>-0.37037037037037035</v>
      </c>
    </row>
    <row r="20" spans="1:22">
      <c r="A20" t="s">
        <v>5324</v>
      </c>
      <c r="B20">
        <v>1</v>
      </c>
      <c r="C20">
        <v>830</v>
      </c>
      <c r="D20" t="e">
        <f>VLOOKUP(A20,#REF!,2,FALSE)</f>
        <v>#REF!</v>
      </c>
      <c r="E20" t="e">
        <f t="shared" si="0"/>
        <v>#REF!</v>
      </c>
      <c r="H20" s="20" t="s">
        <v>5316</v>
      </c>
      <c r="I20">
        <v>888</v>
      </c>
      <c r="J20">
        <v>950</v>
      </c>
      <c r="K20">
        <v>1136</v>
      </c>
      <c r="L20">
        <v>963</v>
      </c>
      <c r="M20">
        <v>758</v>
      </c>
      <c r="N20">
        <v>548</v>
      </c>
      <c r="O20">
        <v>519</v>
      </c>
      <c r="P20">
        <v>902</v>
      </c>
      <c r="Q20">
        <v>1297</v>
      </c>
      <c r="R20">
        <v>855</v>
      </c>
      <c r="S20">
        <v>980</v>
      </c>
      <c r="T20">
        <v>1047</v>
      </c>
      <c r="U20">
        <v>10843</v>
      </c>
      <c r="V20">
        <f t="shared" si="2"/>
        <v>-0.47659980897803245</v>
      </c>
    </row>
    <row r="21" spans="1:22">
      <c r="A21" t="s">
        <v>5338</v>
      </c>
      <c r="B21">
        <v>1</v>
      </c>
      <c r="C21">
        <v>623</v>
      </c>
      <c r="D21" t="e">
        <f>VLOOKUP(A21,#REF!,2,FALSE)</f>
        <v>#REF!</v>
      </c>
      <c r="E21" t="e">
        <f t="shared" si="0"/>
        <v>#REF!</v>
      </c>
      <c r="H21" s="20" t="s">
        <v>5337</v>
      </c>
      <c r="I21">
        <v>993</v>
      </c>
      <c r="J21">
        <v>765</v>
      </c>
      <c r="K21">
        <v>718</v>
      </c>
      <c r="L21">
        <v>630</v>
      </c>
      <c r="M21">
        <v>565</v>
      </c>
      <c r="N21">
        <v>409</v>
      </c>
      <c r="O21">
        <v>418</v>
      </c>
      <c r="P21">
        <v>661</v>
      </c>
      <c r="Q21">
        <v>1380</v>
      </c>
      <c r="R21">
        <v>1081</v>
      </c>
      <c r="S21">
        <v>1015</v>
      </c>
      <c r="T21">
        <v>737</v>
      </c>
      <c r="U21">
        <v>9372</v>
      </c>
      <c r="V21">
        <f t="shared" si="2"/>
        <v>-0.4450474898236092</v>
      </c>
    </row>
    <row r="22" spans="1:22">
      <c r="A22" t="s">
        <v>5339</v>
      </c>
      <c r="B22">
        <v>1</v>
      </c>
      <c r="C22">
        <v>616</v>
      </c>
      <c r="D22" t="e">
        <f>VLOOKUP(A22,#REF!,2,FALSE)</f>
        <v>#REF!</v>
      </c>
      <c r="E22" t="e">
        <f t="shared" si="0"/>
        <v>#REF!</v>
      </c>
      <c r="H22" s="20" t="s">
        <v>5338</v>
      </c>
      <c r="I22">
        <v>623</v>
      </c>
      <c r="J22">
        <v>638</v>
      </c>
      <c r="K22">
        <v>875</v>
      </c>
      <c r="L22">
        <v>1025</v>
      </c>
      <c r="M22">
        <v>1301</v>
      </c>
      <c r="N22">
        <v>1532</v>
      </c>
      <c r="O22">
        <v>1079</v>
      </c>
      <c r="P22">
        <v>522</v>
      </c>
      <c r="Q22">
        <v>142</v>
      </c>
      <c r="R22">
        <v>95</v>
      </c>
      <c r="S22">
        <v>83</v>
      </c>
      <c r="T22">
        <v>139</v>
      </c>
      <c r="U22">
        <v>8054</v>
      </c>
      <c r="V22">
        <f t="shared" si="2"/>
        <v>10.02158273381295</v>
      </c>
    </row>
    <row r="23" spans="1:22">
      <c r="A23" t="s">
        <v>5340</v>
      </c>
      <c r="B23">
        <v>1</v>
      </c>
      <c r="C23">
        <v>579</v>
      </c>
      <c r="D23" t="e">
        <f>VLOOKUP(A23,#REF!,2,FALSE)</f>
        <v>#REF!</v>
      </c>
      <c r="E23" t="e">
        <f t="shared" si="0"/>
        <v>#REF!</v>
      </c>
      <c r="H23" s="20" t="s">
        <v>5353</v>
      </c>
      <c r="I23">
        <v>192</v>
      </c>
      <c r="J23">
        <v>220</v>
      </c>
      <c r="K23">
        <v>325</v>
      </c>
      <c r="L23">
        <v>674</v>
      </c>
      <c r="M23">
        <v>888</v>
      </c>
      <c r="N23">
        <v>1522</v>
      </c>
      <c r="O23">
        <v>1196</v>
      </c>
      <c r="P23">
        <v>506</v>
      </c>
      <c r="Q23">
        <v>312</v>
      </c>
      <c r="R23">
        <v>319</v>
      </c>
      <c r="S23">
        <v>418</v>
      </c>
      <c r="T23">
        <v>362</v>
      </c>
      <c r="U23">
        <v>6934</v>
      </c>
      <c r="V23">
        <f t="shared" si="2"/>
        <v>3.2044198895027622</v>
      </c>
    </row>
    <row r="24" spans="1:22">
      <c r="A24" t="s">
        <v>5343</v>
      </c>
      <c r="B24">
        <v>1</v>
      </c>
      <c r="C24">
        <v>558</v>
      </c>
      <c r="D24" t="e">
        <f>VLOOKUP(A24,#REF!,2,FALSE)</f>
        <v>#REF!</v>
      </c>
      <c r="E24" t="e">
        <f t="shared" si="0"/>
        <v>#REF!</v>
      </c>
      <c r="H24" s="20" t="s">
        <v>5342</v>
      </c>
      <c r="I24">
        <v>461</v>
      </c>
      <c r="J24">
        <v>478</v>
      </c>
      <c r="K24">
        <v>471</v>
      </c>
      <c r="L24">
        <v>522</v>
      </c>
      <c r="M24">
        <v>616</v>
      </c>
      <c r="N24">
        <v>550</v>
      </c>
      <c r="O24">
        <v>604</v>
      </c>
      <c r="P24">
        <v>508</v>
      </c>
      <c r="Q24">
        <v>447</v>
      </c>
      <c r="R24">
        <v>336</v>
      </c>
      <c r="S24">
        <v>349</v>
      </c>
      <c r="T24">
        <v>504</v>
      </c>
      <c r="U24">
        <v>5846</v>
      </c>
      <c r="V24">
        <f t="shared" si="2"/>
        <v>9.1269841269841265E-2</v>
      </c>
    </row>
    <row r="25" spans="1:22">
      <c r="A25" t="s">
        <v>5342</v>
      </c>
      <c r="B25">
        <v>1</v>
      </c>
      <c r="C25">
        <v>461</v>
      </c>
      <c r="D25" t="e">
        <f>VLOOKUP(A25,#REF!,2,FALSE)</f>
        <v>#REF!</v>
      </c>
      <c r="E25" t="e">
        <f t="shared" si="0"/>
        <v>#REF!</v>
      </c>
      <c r="H25" s="20" t="s">
        <v>5341</v>
      </c>
      <c r="I25">
        <v>449</v>
      </c>
      <c r="J25">
        <v>428</v>
      </c>
      <c r="K25">
        <v>392</v>
      </c>
      <c r="L25">
        <v>216</v>
      </c>
      <c r="M25">
        <v>268</v>
      </c>
      <c r="N25">
        <v>137</v>
      </c>
      <c r="O25">
        <v>109</v>
      </c>
      <c r="P25">
        <v>184</v>
      </c>
      <c r="Q25">
        <v>508</v>
      </c>
      <c r="R25">
        <v>718</v>
      </c>
      <c r="S25">
        <v>819</v>
      </c>
      <c r="T25">
        <v>852</v>
      </c>
      <c r="U25">
        <v>5080</v>
      </c>
      <c r="V25">
        <f t="shared" si="2"/>
        <v>-0.83920187793427226</v>
      </c>
    </row>
    <row r="26" spans="1:22">
      <c r="A26" t="s">
        <v>5341</v>
      </c>
      <c r="B26">
        <v>1</v>
      </c>
      <c r="C26">
        <v>449</v>
      </c>
      <c r="D26" t="e">
        <f>VLOOKUP(A26,#REF!,2,FALSE)</f>
        <v>#REF!</v>
      </c>
      <c r="E26" t="e">
        <f t="shared" si="0"/>
        <v>#REF!</v>
      </c>
      <c r="H26" s="20" t="s">
        <v>5346</v>
      </c>
      <c r="I26">
        <v>364</v>
      </c>
      <c r="J26">
        <v>324</v>
      </c>
      <c r="K26">
        <v>339</v>
      </c>
      <c r="L26">
        <v>286</v>
      </c>
      <c r="M26">
        <v>319</v>
      </c>
      <c r="N26">
        <v>409</v>
      </c>
      <c r="O26">
        <v>530</v>
      </c>
      <c r="P26">
        <v>469</v>
      </c>
      <c r="Q26">
        <v>563</v>
      </c>
      <c r="R26">
        <v>404</v>
      </c>
      <c r="S26">
        <v>446</v>
      </c>
      <c r="T26">
        <v>495</v>
      </c>
      <c r="U26">
        <v>4948</v>
      </c>
      <c r="V26">
        <f t="shared" si="2"/>
        <v>-0.17373737373737375</v>
      </c>
    </row>
    <row r="27" spans="1:22">
      <c r="A27" t="s">
        <v>5344</v>
      </c>
      <c r="B27">
        <v>1</v>
      </c>
      <c r="C27">
        <v>392</v>
      </c>
      <c r="D27" t="e">
        <f>VLOOKUP(A27,#REF!,2,FALSE)</f>
        <v>#REF!</v>
      </c>
      <c r="E27" t="e">
        <f t="shared" si="0"/>
        <v>#REF!</v>
      </c>
      <c r="H27" t="s">
        <v>5340</v>
      </c>
      <c r="I27">
        <v>579</v>
      </c>
      <c r="J27">
        <v>324</v>
      </c>
      <c r="K27">
        <v>238</v>
      </c>
      <c r="L27">
        <v>318</v>
      </c>
      <c r="M27">
        <v>252</v>
      </c>
      <c r="N27">
        <v>319</v>
      </c>
      <c r="O27">
        <v>287</v>
      </c>
      <c r="P27">
        <v>281</v>
      </c>
      <c r="Q27">
        <v>335</v>
      </c>
      <c r="R27">
        <v>476</v>
      </c>
      <c r="S27">
        <v>759</v>
      </c>
      <c r="T27">
        <v>600</v>
      </c>
      <c r="U27">
        <v>4768</v>
      </c>
    </row>
    <row r="28" spans="1:22">
      <c r="A28" t="s">
        <v>5346</v>
      </c>
      <c r="B28">
        <v>1</v>
      </c>
      <c r="C28">
        <v>364</v>
      </c>
      <c r="D28" t="e">
        <f>VLOOKUP(A28,#REF!,2,FALSE)</f>
        <v>#REF!</v>
      </c>
      <c r="E28" t="e">
        <f t="shared" si="0"/>
        <v>#REF!</v>
      </c>
      <c r="H28" t="s">
        <v>5339</v>
      </c>
      <c r="I28">
        <v>616</v>
      </c>
      <c r="J28">
        <v>319</v>
      </c>
      <c r="K28">
        <v>438</v>
      </c>
      <c r="L28">
        <v>147</v>
      </c>
      <c r="M28">
        <v>130</v>
      </c>
      <c r="N28">
        <v>102</v>
      </c>
      <c r="O28">
        <v>144</v>
      </c>
      <c r="P28">
        <v>361</v>
      </c>
      <c r="Q28">
        <v>573</v>
      </c>
      <c r="R28">
        <v>493</v>
      </c>
      <c r="S28">
        <v>635</v>
      </c>
      <c r="T28">
        <v>802</v>
      </c>
      <c r="U28">
        <v>4760</v>
      </c>
    </row>
    <row r="29" spans="1:22">
      <c r="A29" t="s">
        <v>5347</v>
      </c>
      <c r="B29">
        <v>1</v>
      </c>
      <c r="C29">
        <v>316</v>
      </c>
      <c r="D29" t="e">
        <f>VLOOKUP(A29,#REF!,2,FALSE)</f>
        <v>#REF!</v>
      </c>
      <c r="E29" t="e">
        <f t="shared" si="0"/>
        <v>#REF!</v>
      </c>
      <c r="H29" t="s">
        <v>5345</v>
      </c>
      <c r="I29">
        <v>290</v>
      </c>
      <c r="J29">
        <v>386</v>
      </c>
      <c r="K29">
        <v>387</v>
      </c>
      <c r="L29">
        <v>414</v>
      </c>
      <c r="M29">
        <v>401</v>
      </c>
      <c r="N29">
        <v>401</v>
      </c>
      <c r="O29">
        <v>401</v>
      </c>
      <c r="P29">
        <v>320</v>
      </c>
      <c r="Q29">
        <v>327</v>
      </c>
      <c r="R29">
        <v>330</v>
      </c>
      <c r="S29">
        <v>385</v>
      </c>
      <c r="T29">
        <v>520</v>
      </c>
      <c r="U29">
        <v>4562</v>
      </c>
    </row>
    <row r="30" spans="1:22">
      <c r="A30" t="s">
        <v>5348</v>
      </c>
      <c r="B30">
        <v>1</v>
      </c>
      <c r="C30">
        <v>315</v>
      </c>
      <c r="D30" t="e">
        <f>VLOOKUP(A30,#REF!,2,FALSE)</f>
        <v>#REF!</v>
      </c>
      <c r="E30" t="e">
        <f t="shared" si="0"/>
        <v>#REF!</v>
      </c>
      <c r="H30" t="s">
        <v>5343</v>
      </c>
      <c r="I30">
        <v>558</v>
      </c>
      <c r="J30">
        <v>342</v>
      </c>
      <c r="K30">
        <v>225</v>
      </c>
      <c r="L30">
        <v>142</v>
      </c>
      <c r="M30">
        <v>119</v>
      </c>
      <c r="N30">
        <v>61</v>
      </c>
      <c r="O30">
        <v>70</v>
      </c>
      <c r="P30">
        <v>100</v>
      </c>
      <c r="Q30">
        <v>403</v>
      </c>
      <c r="R30">
        <v>588</v>
      </c>
      <c r="S30">
        <v>730</v>
      </c>
      <c r="T30">
        <v>621</v>
      </c>
      <c r="U30">
        <v>3959</v>
      </c>
    </row>
    <row r="31" spans="1:22">
      <c r="A31" t="s">
        <v>5349</v>
      </c>
      <c r="B31">
        <v>1</v>
      </c>
      <c r="C31">
        <v>311</v>
      </c>
      <c r="D31" t="e">
        <f>VLOOKUP(A31,#REF!,2,FALSE)</f>
        <v>#REF!</v>
      </c>
      <c r="E31" t="e">
        <f t="shared" si="0"/>
        <v>#REF!</v>
      </c>
      <c r="H31" t="s">
        <v>5357</v>
      </c>
      <c r="I31">
        <v>129</v>
      </c>
      <c r="J31">
        <v>398</v>
      </c>
      <c r="K31">
        <v>359</v>
      </c>
      <c r="L31">
        <v>528</v>
      </c>
      <c r="M31">
        <v>470</v>
      </c>
      <c r="N31">
        <v>565</v>
      </c>
      <c r="O31">
        <v>604</v>
      </c>
      <c r="P31">
        <v>273</v>
      </c>
      <c r="Q31">
        <v>86</v>
      </c>
      <c r="R31">
        <v>45</v>
      </c>
      <c r="S31">
        <v>57</v>
      </c>
      <c r="T31">
        <v>29</v>
      </c>
      <c r="U31">
        <v>3543</v>
      </c>
    </row>
    <row r="32" spans="1:22">
      <c r="A32" t="s">
        <v>5345</v>
      </c>
      <c r="B32">
        <v>1</v>
      </c>
      <c r="C32">
        <v>290</v>
      </c>
      <c r="D32" t="e">
        <f>VLOOKUP(A32,#REF!,2,FALSE)</f>
        <v>#REF!</v>
      </c>
      <c r="E32" t="e">
        <f t="shared" si="0"/>
        <v>#REF!</v>
      </c>
      <c r="H32" t="s">
        <v>5349</v>
      </c>
      <c r="I32">
        <v>311</v>
      </c>
      <c r="J32">
        <v>302</v>
      </c>
      <c r="K32">
        <v>289</v>
      </c>
      <c r="L32">
        <v>117</v>
      </c>
      <c r="M32">
        <v>107</v>
      </c>
      <c r="N32">
        <v>62</v>
      </c>
      <c r="O32">
        <v>70</v>
      </c>
      <c r="P32">
        <v>135</v>
      </c>
      <c r="Q32">
        <v>499</v>
      </c>
      <c r="R32">
        <v>505</v>
      </c>
      <c r="S32">
        <v>604</v>
      </c>
      <c r="T32">
        <v>464</v>
      </c>
      <c r="U32">
        <v>3465</v>
      </c>
    </row>
    <row r="33" spans="1:21">
      <c r="A33" t="s">
        <v>5350</v>
      </c>
      <c r="B33">
        <v>1</v>
      </c>
      <c r="C33">
        <v>261</v>
      </c>
      <c r="D33" t="e">
        <f>VLOOKUP(A33,#REF!,2,FALSE)</f>
        <v>#REF!</v>
      </c>
      <c r="E33" t="e">
        <f t="shared" si="0"/>
        <v>#REF!</v>
      </c>
      <c r="H33" t="s">
        <v>5347</v>
      </c>
      <c r="I33">
        <v>316</v>
      </c>
      <c r="J33">
        <v>361</v>
      </c>
      <c r="K33">
        <v>383</v>
      </c>
      <c r="L33">
        <v>404</v>
      </c>
      <c r="M33">
        <v>324</v>
      </c>
      <c r="N33">
        <v>350</v>
      </c>
      <c r="O33">
        <v>355</v>
      </c>
      <c r="P33">
        <v>333</v>
      </c>
      <c r="Q33">
        <v>198</v>
      </c>
      <c r="R33">
        <v>161</v>
      </c>
      <c r="S33">
        <v>124</v>
      </c>
      <c r="T33">
        <v>119</v>
      </c>
      <c r="U33">
        <v>3428</v>
      </c>
    </row>
    <row r="34" spans="1:21">
      <c r="A34" t="s">
        <v>5352</v>
      </c>
      <c r="B34">
        <v>1</v>
      </c>
      <c r="C34">
        <v>244</v>
      </c>
      <c r="D34" t="e">
        <f>VLOOKUP(A34,#REF!,2,FALSE)</f>
        <v>#REF!</v>
      </c>
      <c r="E34" t="e">
        <f t="shared" si="0"/>
        <v>#REF!</v>
      </c>
      <c r="H34" t="s">
        <v>5355</v>
      </c>
      <c r="I34">
        <v>218</v>
      </c>
      <c r="J34">
        <v>235</v>
      </c>
      <c r="K34">
        <v>250</v>
      </c>
      <c r="L34">
        <v>269</v>
      </c>
      <c r="M34">
        <v>359</v>
      </c>
      <c r="N34">
        <v>410</v>
      </c>
      <c r="O34">
        <v>309</v>
      </c>
      <c r="P34">
        <v>271</v>
      </c>
      <c r="Q34">
        <v>236</v>
      </c>
      <c r="R34">
        <v>182</v>
      </c>
      <c r="S34">
        <v>206</v>
      </c>
      <c r="T34">
        <v>347</v>
      </c>
      <c r="U34">
        <v>3292</v>
      </c>
    </row>
    <row r="35" spans="1:21">
      <c r="A35" t="s">
        <v>5355</v>
      </c>
      <c r="B35">
        <v>1</v>
      </c>
      <c r="C35">
        <v>218</v>
      </c>
      <c r="D35" t="e">
        <f>VLOOKUP(A35,#REF!,2,FALSE)</f>
        <v>#REF!</v>
      </c>
      <c r="E35" t="e">
        <f t="shared" si="0"/>
        <v>#REF!</v>
      </c>
      <c r="H35" t="s">
        <v>5351</v>
      </c>
      <c r="I35">
        <v>199</v>
      </c>
      <c r="J35">
        <v>184</v>
      </c>
      <c r="K35">
        <v>173</v>
      </c>
      <c r="L35">
        <v>251</v>
      </c>
      <c r="M35">
        <v>213</v>
      </c>
      <c r="N35">
        <v>183</v>
      </c>
      <c r="O35">
        <v>331</v>
      </c>
      <c r="P35">
        <v>269</v>
      </c>
      <c r="Q35">
        <v>243</v>
      </c>
      <c r="R35">
        <v>334</v>
      </c>
      <c r="S35">
        <v>400</v>
      </c>
      <c r="T35">
        <v>415</v>
      </c>
      <c r="U35">
        <v>3195</v>
      </c>
    </row>
    <row r="36" spans="1:21">
      <c r="A36" t="s">
        <v>5351</v>
      </c>
      <c r="B36">
        <v>1</v>
      </c>
      <c r="C36">
        <v>199</v>
      </c>
      <c r="D36" t="e">
        <f>VLOOKUP(A36,#REF!,2,FALSE)</f>
        <v>#REF!</v>
      </c>
      <c r="E36" t="e">
        <f t="shared" si="0"/>
        <v>#REF!</v>
      </c>
      <c r="H36" t="s">
        <v>5361</v>
      </c>
      <c r="I36">
        <v>73</v>
      </c>
      <c r="J36">
        <v>50</v>
      </c>
      <c r="K36">
        <v>152</v>
      </c>
      <c r="L36">
        <v>435</v>
      </c>
      <c r="M36">
        <v>579</v>
      </c>
      <c r="N36">
        <v>801</v>
      </c>
      <c r="O36">
        <v>618</v>
      </c>
      <c r="P36">
        <v>241</v>
      </c>
      <c r="Q36">
        <v>66</v>
      </c>
      <c r="R36">
        <v>31</v>
      </c>
      <c r="S36">
        <v>33</v>
      </c>
      <c r="T36">
        <v>19</v>
      </c>
      <c r="U36">
        <v>3098</v>
      </c>
    </row>
    <row r="37" spans="1:21">
      <c r="A37" t="s">
        <v>5353</v>
      </c>
      <c r="B37">
        <v>1</v>
      </c>
      <c r="C37">
        <v>192</v>
      </c>
      <c r="D37" t="e">
        <f>VLOOKUP(A37,#REF!,2,FALSE)</f>
        <v>#REF!</v>
      </c>
      <c r="E37" t="e">
        <f t="shared" si="0"/>
        <v>#REF!</v>
      </c>
      <c r="H37" t="s">
        <v>5350</v>
      </c>
      <c r="I37">
        <v>261</v>
      </c>
      <c r="J37">
        <v>126</v>
      </c>
      <c r="K37">
        <v>100</v>
      </c>
      <c r="L37">
        <v>117</v>
      </c>
      <c r="M37">
        <v>162</v>
      </c>
      <c r="N37">
        <v>214</v>
      </c>
      <c r="O37">
        <v>174</v>
      </c>
      <c r="P37">
        <v>147</v>
      </c>
      <c r="Q37">
        <v>211</v>
      </c>
      <c r="R37">
        <v>231</v>
      </c>
      <c r="S37">
        <v>374</v>
      </c>
      <c r="T37">
        <v>355</v>
      </c>
      <c r="U37">
        <v>2472</v>
      </c>
    </row>
    <row r="38" spans="1:21">
      <c r="A38" t="s">
        <v>5356</v>
      </c>
      <c r="B38">
        <v>1</v>
      </c>
      <c r="C38">
        <v>144</v>
      </c>
      <c r="D38" t="e">
        <f>VLOOKUP(A38,#REF!,2,FALSE)</f>
        <v>#REF!</v>
      </c>
      <c r="E38" t="e">
        <f t="shared" si="0"/>
        <v>#REF!</v>
      </c>
      <c r="H38" t="s">
        <v>5356</v>
      </c>
      <c r="I38">
        <v>144</v>
      </c>
      <c r="J38">
        <v>211</v>
      </c>
      <c r="K38">
        <v>208</v>
      </c>
      <c r="L38">
        <v>193</v>
      </c>
      <c r="M38">
        <v>224</v>
      </c>
      <c r="N38">
        <v>210</v>
      </c>
      <c r="O38">
        <v>233</v>
      </c>
      <c r="P38">
        <v>143</v>
      </c>
      <c r="Q38">
        <v>131</v>
      </c>
      <c r="R38">
        <v>146</v>
      </c>
      <c r="S38">
        <v>220</v>
      </c>
      <c r="T38">
        <v>300</v>
      </c>
      <c r="U38">
        <v>2363</v>
      </c>
    </row>
    <row r="39" spans="1:21">
      <c r="A39" t="s">
        <v>5354</v>
      </c>
      <c r="B39">
        <v>1</v>
      </c>
      <c r="C39">
        <v>142</v>
      </c>
      <c r="D39" t="e">
        <f>VLOOKUP(A39,#REF!,2,FALSE)</f>
        <v>#REF!</v>
      </c>
      <c r="E39" t="e">
        <f t="shared" si="0"/>
        <v>#REF!</v>
      </c>
      <c r="H39" t="s">
        <v>5367</v>
      </c>
      <c r="I39">
        <v>87</v>
      </c>
      <c r="J39">
        <v>107</v>
      </c>
      <c r="K39">
        <v>128</v>
      </c>
      <c r="L39">
        <v>306</v>
      </c>
      <c r="M39">
        <v>287</v>
      </c>
      <c r="N39">
        <v>483</v>
      </c>
      <c r="O39">
        <v>316</v>
      </c>
      <c r="P39">
        <v>121</v>
      </c>
      <c r="Q39">
        <v>101</v>
      </c>
      <c r="R39">
        <v>70</v>
      </c>
      <c r="S39">
        <v>67</v>
      </c>
      <c r="T39">
        <v>128</v>
      </c>
      <c r="U39">
        <v>2201</v>
      </c>
    </row>
    <row r="40" spans="1:21">
      <c r="A40" t="s">
        <v>5357</v>
      </c>
      <c r="B40">
        <v>1</v>
      </c>
      <c r="C40">
        <v>129</v>
      </c>
      <c r="D40" t="e">
        <f>VLOOKUP(A40,#REF!,2,FALSE)</f>
        <v>#REF!</v>
      </c>
      <c r="E40" t="e">
        <f t="shared" si="0"/>
        <v>#REF!</v>
      </c>
      <c r="H40" t="s">
        <v>5348</v>
      </c>
      <c r="I40">
        <v>315</v>
      </c>
      <c r="J40">
        <v>202</v>
      </c>
      <c r="K40">
        <v>158</v>
      </c>
      <c r="L40">
        <v>247</v>
      </c>
      <c r="M40">
        <v>188</v>
      </c>
      <c r="N40">
        <v>169</v>
      </c>
      <c r="O40">
        <v>194</v>
      </c>
      <c r="P40">
        <v>148</v>
      </c>
      <c r="Q40">
        <v>103</v>
      </c>
      <c r="R40">
        <v>101</v>
      </c>
      <c r="S40">
        <v>102</v>
      </c>
      <c r="T40">
        <v>189</v>
      </c>
      <c r="U40">
        <v>2116</v>
      </c>
    </row>
    <row r="41" spans="1:21">
      <c r="A41" t="s">
        <v>5358</v>
      </c>
      <c r="B41">
        <v>1</v>
      </c>
      <c r="C41">
        <v>127</v>
      </c>
      <c r="D41" t="e">
        <f>VLOOKUP(A41,#REF!,2,FALSE)</f>
        <v>#REF!</v>
      </c>
      <c r="E41" t="e">
        <f t="shared" si="0"/>
        <v>#REF!</v>
      </c>
      <c r="H41" t="s">
        <v>5344</v>
      </c>
      <c r="I41">
        <v>392</v>
      </c>
      <c r="J41">
        <v>153</v>
      </c>
      <c r="K41">
        <v>64</v>
      </c>
      <c r="L41">
        <v>31</v>
      </c>
      <c r="M41">
        <v>32</v>
      </c>
      <c r="N41">
        <v>28</v>
      </c>
      <c r="O41">
        <v>24</v>
      </c>
      <c r="P41">
        <v>55</v>
      </c>
      <c r="Q41">
        <v>124</v>
      </c>
      <c r="R41">
        <v>253</v>
      </c>
      <c r="S41">
        <v>463</v>
      </c>
      <c r="T41">
        <v>438</v>
      </c>
      <c r="U41">
        <v>2057</v>
      </c>
    </row>
    <row r="42" spans="1:21">
      <c r="A42" t="s">
        <v>5359</v>
      </c>
      <c r="B42">
        <v>1</v>
      </c>
      <c r="C42">
        <v>117</v>
      </c>
      <c r="D42" t="e">
        <f>VLOOKUP(A42,#REF!,2,FALSE)</f>
        <v>#REF!</v>
      </c>
      <c r="E42" t="e">
        <f t="shared" si="0"/>
        <v>#REF!</v>
      </c>
      <c r="H42" t="s">
        <v>5352</v>
      </c>
      <c r="I42">
        <v>244</v>
      </c>
      <c r="J42">
        <v>183</v>
      </c>
      <c r="K42">
        <v>120</v>
      </c>
      <c r="L42">
        <v>91</v>
      </c>
      <c r="M42">
        <v>102</v>
      </c>
      <c r="N42">
        <v>89</v>
      </c>
      <c r="O42">
        <v>126</v>
      </c>
      <c r="P42">
        <v>143</v>
      </c>
      <c r="Q42">
        <v>141</v>
      </c>
      <c r="R42">
        <v>196</v>
      </c>
      <c r="S42">
        <v>220</v>
      </c>
      <c r="T42">
        <v>304</v>
      </c>
      <c r="U42">
        <v>1959</v>
      </c>
    </row>
    <row r="43" spans="1:21">
      <c r="A43" t="s">
        <v>5362</v>
      </c>
      <c r="B43">
        <v>1</v>
      </c>
      <c r="C43">
        <v>93</v>
      </c>
      <c r="D43" t="e">
        <f>VLOOKUP(A43,#REF!,2,FALSE)</f>
        <v>#REF!</v>
      </c>
      <c r="E43" t="e">
        <f t="shared" si="0"/>
        <v>#REF!</v>
      </c>
      <c r="H43" t="s">
        <v>5360</v>
      </c>
      <c r="I43">
        <v>85</v>
      </c>
      <c r="J43">
        <v>90</v>
      </c>
      <c r="K43">
        <v>88</v>
      </c>
      <c r="L43">
        <v>127</v>
      </c>
      <c r="M43">
        <v>225</v>
      </c>
      <c r="N43">
        <v>247</v>
      </c>
      <c r="O43">
        <v>288</v>
      </c>
      <c r="P43">
        <v>216</v>
      </c>
      <c r="Q43">
        <v>121</v>
      </c>
      <c r="R43">
        <v>60</v>
      </c>
      <c r="S43">
        <v>53</v>
      </c>
      <c r="T43">
        <v>38</v>
      </c>
      <c r="U43">
        <v>1638</v>
      </c>
    </row>
    <row r="44" spans="1:21">
      <c r="A44" t="s">
        <v>5363</v>
      </c>
      <c r="B44">
        <v>1</v>
      </c>
      <c r="C44">
        <v>93</v>
      </c>
      <c r="D44" t="e">
        <f>VLOOKUP(A44,#REF!,2,FALSE)</f>
        <v>#REF!</v>
      </c>
      <c r="E44" t="e">
        <f t="shared" si="0"/>
        <v>#REF!</v>
      </c>
      <c r="H44" t="s">
        <v>5380</v>
      </c>
      <c r="I44">
        <v>25</v>
      </c>
      <c r="J44">
        <v>35</v>
      </c>
      <c r="K44">
        <v>171</v>
      </c>
      <c r="L44">
        <v>330</v>
      </c>
      <c r="M44">
        <v>300</v>
      </c>
      <c r="N44">
        <v>331</v>
      </c>
      <c r="O44">
        <v>227</v>
      </c>
      <c r="P44">
        <v>96</v>
      </c>
      <c r="Q44">
        <v>24</v>
      </c>
      <c r="R44">
        <v>25</v>
      </c>
      <c r="S44">
        <v>34</v>
      </c>
      <c r="T44">
        <v>16</v>
      </c>
      <c r="U44">
        <v>1614</v>
      </c>
    </row>
    <row r="45" spans="1:21">
      <c r="A45" t="s">
        <v>5367</v>
      </c>
      <c r="B45">
        <v>1</v>
      </c>
      <c r="C45">
        <v>87</v>
      </c>
      <c r="D45" t="e">
        <f>VLOOKUP(A45,#REF!,2,FALSE)</f>
        <v>#REF!</v>
      </c>
      <c r="E45" t="e">
        <f t="shared" si="0"/>
        <v>#REF!</v>
      </c>
      <c r="H45" t="s">
        <v>5384</v>
      </c>
      <c r="I45">
        <v>30</v>
      </c>
      <c r="J45">
        <v>45</v>
      </c>
      <c r="K45">
        <v>82</v>
      </c>
      <c r="L45">
        <v>128</v>
      </c>
      <c r="M45">
        <v>185</v>
      </c>
      <c r="N45">
        <v>548</v>
      </c>
      <c r="O45">
        <v>185</v>
      </c>
      <c r="P45">
        <v>43</v>
      </c>
      <c r="Q45">
        <v>8</v>
      </c>
      <c r="R45">
        <v>1</v>
      </c>
      <c r="S45">
        <v>4</v>
      </c>
      <c r="T45">
        <v>14</v>
      </c>
      <c r="U45">
        <v>1273</v>
      </c>
    </row>
    <row r="46" spans="1:21">
      <c r="A46" t="s">
        <v>5360</v>
      </c>
      <c r="B46">
        <v>1</v>
      </c>
      <c r="C46">
        <v>85</v>
      </c>
      <c r="D46" t="e">
        <f>VLOOKUP(A46,#REF!,2,FALSE)</f>
        <v>#REF!</v>
      </c>
      <c r="E46" t="e">
        <f t="shared" si="0"/>
        <v>#REF!</v>
      </c>
      <c r="H46" t="s">
        <v>5378</v>
      </c>
      <c r="I46">
        <v>51</v>
      </c>
      <c r="J46">
        <v>69</v>
      </c>
      <c r="K46">
        <v>105</v>
      </c>
      <c r="L46">
        <v>137</v>
      </c>
      <c r="M46">
        <v>121</v>
      </c>
      <c r="N46">
        <v>251</v>
      </c>
      <c r="O46">
        <v>194</v>
      </c>
      <c r="P46">
        <v>127</v>
      </c>
      <c r="Q46">
        <v>63</v>
      </c>
      <c r="R46">
        <v>58</v>
      </c>
      <c r="S46">
        <v>26</v>
      </c>
      <c r="T46">
        <v>51</v>
      </c>
      <c r="U46">
        <v>1253</v>
      </c>
    </row>
    <row r="47" spans="1:21">
      <c r="A47" t="s">
        <v>5366</v>
      </c>
      <c r="B47">
        <v>1</v>
      </c>
      <c r="C47">
        <v>85</v>
      </c>
      <c r="D47" t="e">
        <f>VLOOKUP(A47,#REF!,2,FALSE)</f>
        <v>#REF!</v>
      </c>
      <c r="E47" t="e">
        <f t="shared" si="0"/>
        <v>#REF!</v>
      </c>
      <c r="H47" t="s">
        <v>5359</v>
      </c>
      <c r="I47">
        <v>117</v>
      </c>
      <c r="J47">
        <v>87</v>
      </c>
      <c r="K47">
        <v>58</v>
      </c>
      <c r="L47">
        <v>69</v>
      </c>
      <c r="M47">
        <v>68</v>
      </c>
      <c r="N47">
        <v>99</v>
      </c>
      <c r="O47">
        <v>70</v>
      </c>
      <c r="P47">
        <v>151</v>
      </c>
      <c r="Q47">
        <v>111</v>
      </c>
      <c r="R47">
        <v>108</v>
      </c>
      <c r="S47">
        <v>172</v>
      </c>
      <c r="T47">
        <v>140</v>
      </c>
      <c r="U47">
        <v>1250</v>
      </c>
    </row>
    <row r="48" spans="1:21">
      <c r="A48" t="s">
        <v>5365</v>
      </c>
      <c r="B48">
        <v>1</v>
      </c>
      <c r="C48">
        <v>77</v>
      </c>
      <c r="D48" t="e">
        <f>VLOOKUP(A48,#REF!,2,FALSE)</f>
        <v>#REF!</v>
      </c>
      <c r="E48" t="e">
        <f t="shared" si="0"/>
        <v>#REF!</v>
      </c>
      <c r="H48" t="s">
        <v>5373</v>
      </c>
      <c r="I48">
        <v>58</v>
      </c>
      <c r="J48">
        <v>60</v>
      </c>
      <c r="K48">
        <v>89</v>
      </c>
      <c r="L48">
        <v>72</v>
      </c>
      <c r="M48">
        <v>120</v>
      </c>
      <c r="N48">
        <v>95</v>
      </c>
      <c r="O48">
        <v>132</v>
      </c>
      <c r="P48">
        <v>114</v>
      </c>
      <c r="Q48">
        <v>84</v>
      </c>
      <c r="R48">
        <v>112</v>
      </c>
      <c r="S48">
        <v>114</v>
      </c>
      <c r="T48">
        <v>158</v>
      </c>
      <c r="U48">
        <v>1208</v>
      </c>
    </row>
    <row r="49" spans="1:21">
      <c r="A49" t="s">
        <v>5364</v>
      </c>
      <c r="B49">
        <v>1</v>
      </c>
      <c r="C49">
        <v>76</v>
      </c>
      <c r="D49" t="e">
        <f>VLOOKUP(A49,#REF!,2,FALSE)</f>
        <v>#REF!</v>
      </c>
      <c r="E49" t="e">
        <f t="shared" si="0"/>
        <v>#REF!</v>
      </c>
      <c r="H49" t="s">
        <v>5298</v>
      </c>
      <c r="I49">
        <v>74</v>
      </c>
      <c r="J49">
        <v>53</v>
      </c>
      <c r="K49">
        <v>107</v>
      </c>
      <c r="L49">
        <v>128</v>
      </c>
      <c r="M49">
        <v>96</v>
      </c>
      <c r="N49">
        <v>120</v>
      </c>
      <c r="O49">
        <v>119</v>
      </c>
      <c r="P49">
        <v>83</v>
      </c>
      <c r="Q49">
        <v>74</v>
      </c>
      <c r="R49">
        <v>60</v>
      </c>
      <c r="S49">
        <v>86</v>
      </c>
      <c r="T49">
        <v>157</v>
      </c>
      <c r="U49">
        <v>1157</v>
      </c>
    </row>
    <row r="50" spans="1:21">
      <c r="A50" t="s">
        <v>5298</v>
      </c>
      <c r="B50">
        <v>1</v>
      </c>
      <c r="C50">
        <v>74</v>
      </c>
      <c r="D50" t="e">
        <f>VLOOKUP(A50,#REF!,2,FALSE)</f>
        <v>#REF!</v>
      </c>
      <c r="E50" t="e">
        <f t="shared" si="0"/>
        <v>#REF!</v>
      </c>
      <c r="H50" t="s">
        <v>5377</v>
      </c>
      <c r="I50">
        <v>41</v>
      </c>
      <c r="J50">
        <v>64</v>
      </c>
      <c r="K50">
        <v>64</v>
      </c>
      <c r="L50">
        <v>40</v>
      </c>
      <c r="M50">
        <v>83</v>
      </c>
      <c r="N50">
        <v>100</v>
      </c>
      <c r="O50">
        <v>92</v>
      </c>
      <c r="P50">
        <v>91</v>
      </c>
      <c r="Q50">
        <v>101</v>
      </c>
      <c r="R50">
        <v>75</v>
      </c>
      <c r="S50">
        <v>100</v>
      </c>
      <c r="T50">
        <v>155</v>
      </c>
      <c r="U50">
        <v>1006</v>
      </c>
    </row>
    <row r="51" spans="1:21">
      <c r="A51" t="s">
        <v>5361</v>
      </c>
      <c r="B51">
        <v>1</v>
      </c>
      <c r="C51">
        <v>73</v>
      </c>
      <c r="D51" t="e">
        <f>VLOOKUP(A51,#REF!,2,FALSE)</f>
        <v>#REF!</v>
      </c>
      <c r="E51" t="e">
        <f t="shared" si="0"/>
        <v>#REF!</v>
      </c>
      <c r="H51" t="s">
        <v>5366</v>
      </c>
      <c r="I51">
        <v>85</v>
      </c>
      <c r="J51">
        <v>116</v>
      </c>
      <c r="K51">
        <v>139</v>
      </c>
      <c r="L51">
        <v>103</v>
      </c>
      <c r="M51">
        <v>74</v>
      </c>
      <c r="N51">
        <v>80</v>
      </c>
      <c r="O51">
        <v>109</v>
      </c>
      <c r="P51">
        <v>69</v>
      </c>
      <c r="Q51">
        <v>61</v>
      </c>
      <c r="R51">
        <v>48</v>
      </c>
      <c r="S51">
        <v>52</v>
      </c>
      <c r="T51">
        <v>57</v>
      </c>
      <c r="U51">
        <v>993</v>
      </c>
    </row>
    <row r="52" spans="1:21">
      <c r="A52" t="s">
        <v>5369</v>
      </c>
      <c r="B52">
        <v>1</v>
      </c>
      <c r="C52">
        <v>72</v>
      </c>
      <c r="D52" t="e">
        <f>VLOOKUP(A52,#REF!,2,FALSE)</f>
        <v>#REF!</v>
      </c>
      <c r="E52" t="e">
        <f t="shared" si="0"/>
        <v>#REF!</v>
      </c>
      <c r="H52" t="s">
        <v>5391</v>
      </c>
      <c r="I52">
        <v>20</v>
      </c>
      <c r="J52">
        <v>21</v>
      </c>
      <c r="K52">
        <v>78</v>
      </c>
      <c r="L52">
        <v>187</v>
      </c>
      <c r="M52">
        <v>184</v>
      </c>
      <c r="N52">
        <v>189</v>
      </c>
      <c r="O52">
        <v>189</v>
      </c>
      <c r="P52">
        <v>67</v>
      </c>
      <c r="Q52">
        <v>8</v>
      </c>
      <c r="R52">
        <v>16</v>
      </c>
      <c r="S52">
        <v>9</v>
      </c>
      <c r="T52">
        <v>6</v>
      </c>
      <c r="U52">
        <v>974</v>
      </c>
    </row>
    <row r="53" spans="1:21">
      <c r="A53" t="s">
        <v>5368</v>
      </c>
      <c r="B53">
        <v>1</v>
      </c>
      <c r="C53">
        <v>71</v>
      </c>
      <c r="D53" t="e">
        <f>VLOOKUP(A53,#REF!,2,FALSE)</f>
        <v>#REF!</v>
      </c>
      <c r="E53" t="e">
        <f t="shared" si="0"/>
        <v>#REF!</v>
      </c>
      <c r="H53" t="s">
        <v>5368</v>
      </c>
      <c r="I53">
        <v>71</v>
      </c>
      <c r="J53">
        <v>129</v>
      </c>
      <c r="K53">
        <v>79</v>
      </c>
      <c r="L53">
        <v>89</v>
      </c>
      <c r="M53">
        <v>62</v>
      </c>
      <c r="N53">
        <v>168</v>
      </c>
      <c r="O53">
        <v>166</v>
      </c>
      <c r="P53">
        <v>83</v>
      </c>
      <c r="Q53">
        <v>25</v>
      </c>
      <c r="R53">
        <v>26</v>
      </c>
      <c r="S53">
        <v>27</v>
      </c>
      <c r="T53">
        <v>22</v>
      </c>
      <c r="U53">
        <v>947</v>
      </c>
    </row>
    <row r="54" spans="1:21">
      <c r="A54" t="s">
        <v>5373</v>
      </c>
      <c r="B54">
        <v>1</v>
      </c>
      <c r="C54">
        <v>58</v>
      </c>
      <c r="D54" t="e">
        <f>VLOOKUP(A54,#REF!,2,FALSE)</f>
        <v>#REF!</v>
      </c>
      <c r="E54" t="e">
        <f t="shared" si="0"/>
        <v>#REF!</v>
      </c>
      <c r="H54" t="s">
        <v>5365</v>
      </c>
      <c r="I54">
        <v>77</v>
      </c>
      <c r="J54">
        <v>80</v>
      </c>
      <c r="K54">
        <v>60</v>
      </c>
      <c r="L54">
        <v>44</v>
      </c>
      <c r="M54">
        <v>67</v>
      </c>
      <c r="N54">
        <v>72</v>
      </c>
      <c r="O54">
        <v>83</v>
      </c>
      <c r="P54">
        <v>67</v>
      </c>
      <c r="Q54">
        <v>76</v>
      </c>
      <c r="R54">
        <v>98</v>
      </c>
      <c r="S54">
        <v>87</v>
      </c>
      <c r="T54">
        <v>125</v>
      </c>
      <c r="U54">
        <v>936</v>
      </c>
    </row>
    <row r="55" spans="1:21">
      <c r="A55" t="s">
        <v>5371</v>
      </c>
      <c r="B55">
        <v>1</v>
      </c>
      <c r="C55">
        <v>57</v>
      </c>
      <c r="D55" t="e">
        <f>VLOOKUP(A55,#REF!,2,FALSE)</f>
        <v>#REF!</v>
      </c>
      <c r="E55" t="e">
        <f t="shared" si="0"/>
        <v>#REF!</v>
      </c>
      <c r="H55" t="s">
        <v>5354</v>
      </c>
      <c r="I55">
        <v>142</v>
      </c>
      <c r="J55">
        <v>102</v>
      </c>
      <c r="K55">
        <v>60</v>
      </c>
      <c r="L55">
        <v>75</v>
      </c>
      <c r="M55">
        <v>54</v>
      </c>
      <c r="N55">
        <v>53</v>
      </c>
      <c r="O55">
        <v>64</v>
      </c>
      <c r="P55">
        <v>74</v>
      </c>
      <c r="Q55">
        <v>70</v>
      </c>
      <c r="R55">
        <v>76</v>
      </c>
      <c r="S55">
        <v>73</v>
      </c>
      <c r="T55">
        <v>87</v>
      </c>
      <c r="U55">
        <v>930</v>
      </c>
    </row>
    <row r="56" spans="1:21">
      <c r="A56" t="s">
        <v>5378</v>
      </c>
      <c r="B56">
        <v>1</v>
      </c>
      <c r="C56">
        <v>51</v>
      </c>
      <c r="D56" t="e">
        <f>VLOOKUP(A56,#REF!,2,FALSE)</f>
        <v>#REF!</v>
      </c>
      <c r="E56" t="e">
        <f t="shared" si="0"/>
        <v>#REF!</v>
      </c>
      <c r="H56" t="s">
        <v>5363</v>
      </c>
      <c r="I56">
        <v>93</v>
      </c>
      <c r="J56">
        <v>67</v>
      </c>
      <c r="K56">
        <v>73</v>
      </c>
      <c r="L56">
        <v>65</v>
      </c>
      <c r="M56">
        <v>53</v>
      </c>
      <c r="N56">
        <v>54</v>
      </c>
      <c r="O56">
        <v>59</v>
      </c>
      <c r="P56">
        <v>55</v>
      </c>
      <c r="Q56">
        <v>38</v>
      </c>
      <c r="R56">
        <v>69</v>
      </c>
      <c r="S56">
        <v>141</v>
      </c>
      <c r="T56">
        <v>113</v>
      </c>
      <c r="U56">
        <v>880</v>
      </c>
    </row>
    <row r="57" spans="1:21">
      <c r="A57" t="s">
        <v>5374</v>
      </c>
      <c r="B57">
        <v>1</v>
      </c>
      <c r="C57">
        <v>47</v>
      </c>
      <c r="D57" t="e">
        <f>VLOOKUP(A57,#REF!,2,FALSE)</f>
        <v>#REF!</v>
      </c>
      <c r="E57" t="e">
        <f t="shared" si="0"/>
        <v>#REF!</v>
      </c>
      <c r="H57" t="s">
        <v>5369</v>
      </c>
      <c r="I57">
        <v>72</v>
      </c>
      <c r="J57">
        <v>95</v>
      </c>
      <c r="K57">
        <v>79</v>
      </c>
      <c r="L57">
        <v>86</v>
      </c>
      <c r="M57">
        <v>98</v>
      </c>
      <c r="N57">
        <v>82</v>
      </c>
      <c r="O57">
        <v>55</v>
      </c>
      <c r="P57">
        <v>66</v>
      </c>
      <c r="Q57">
        <v>50</v>
      </c>
      <c r="R57">
        <v>62</v>
      </c>
      <c r="S57">
        <v>51</v>
      </c>
      <c r="T57">
        <v>77</v>
      </c>
      <c r="U57">
        <v>873</v>
      </c>
    </row>
    <row r="58" spans="1:21">
      <c r="A58" t="s">
        <v>5377</v>
      </c>
      <c r="B58">
        <v>1</v>
      </c>
      <c r="C58">
        <v>41</v>
      </c>
      <c r="D58" t="e">
        <f>VLOOKUP(A58,#REF!,2,FALSE)</f>
        <v>#REF!</v>
      </c>
      <c r="E58" t="e">
        <f t="shared" si="0"/>
        <v>#REF!</v>
      </c>
      <c r="H58" t="s">
        <v>5372</v>
      </c>
      <c r="I58">
        <v>41</v>
      </c>
      <c r="J58">
        <v>52</v>
      </c>
      <c r="K58">
        <v>95</v>
      </c>
      <c r="L58">
        <v>165</v>
      </c>
      <c r="M58">
        <v>132</v>
      </c>
      <c r="N58">
        <v>79</v>
      </c>
      <c r="O58">
        <v>72</v>
      </c>
      <c r="P58">
        <v>40</v>
      </c>
      <c r="Q58">
        <v>40</v>
      </c>
      <c r="R58">
        <v>31</v>
      </c>
      <c r="S58">
        <v>24</v>
      </c>
      <c r="T58">
        <v>32</v>
      </c>
      <c r="U58">
        <v>803</v>
      </c>
    </row>
    <row r="59" spans="1:21">
      <c r="A59" t="s">
        <v>5372</v>
      </c>
      <c r="B59">
        <v>1</v>
      </c>
      <c r="C59">
        <v>41</v>
      </c>
      <c r="D59" t="e">
        <f>VLOOKUP(A59,#REF!,2,FALSE)</f>
        <v>#REF!</v>
      </c>
      <c r="E59" t="e">
        <f t="shared" si="0"/>
        <v>#REF!</v>
      </c>
      <c r="H59" t="s">
        <v>5358</v>
      </c>
      <c r="I59">
        <v>127</v>
      </c>
      <c r="J59">
        <v>33</v>
      </c>
      <c r="K59">
        <v>11</v>
      </c>
      <c r="L59">
        <v>2</v>
      </c>
      <c r="M59">
        <v>1</v>
      </c>
      <c r="N59">
        <v>2</v>
      </c>
      <c r="O59">
        <v>2</v>
      </c>
      <c r="P59">
        <v>9</v>
      </c>
      <c r="Q59">
        <v>31</v>
      </c>
      <c r="R59">
        <v>123</v>
      </c>
      <c r="S59">
        <v>264</v>
      </c>
      <c r="T59">
        <v>176</v>
      </c>
      <c r="U59">
        <v>781</v>
      </c>
    </row>
    <row r="60" spans="1:21">
      <c r="A60" t="s">
        <v>5370</v>
      </c>
      <c r="B60">
        <v>1</v>
      </c>
      <c r="C60">
        <v>40</v>
      </c>
      <c r="D60" t="e">
        <f>VLOOKUP(A60,#REF!,2,FALSE)</f>
        <v>#REF!</v>
      </c>
      <c r="E60" t="e">
        <f t="shared" si="0"/>
        <v>#REF!</v>
      </c>
      <c r="H60" t="s">
        <v>5362</v>
      </c>
      <c r="I60">
        <v>93</v>
      </c>
      <c r="J60">
        <v>79</v>
      </c>
      <c r="K60">
        <v>60</v>
      </c>
      <c r="L60">
        <v>55</v>
      </c>
      <c r="M60">
        <v>54</v>
      </c>
      <c r="N60">
        <v>64</v>
      </c>
      <c r="O60">
        <v>67</v>
      </c>
      <c r="P60">
        <v>65</v>
      </c>
      <c r="Q60">
        <v>54</v>
      </c>
      <c r="R60">
        <v>61</v>
      </c>
      <c r="S60">
        <v>59</v>
      </c>
      <c r="T60">
        <v>22</v>
      </c>
      <c r="U60">
        <v>733</v>
      </c>
    </row>
    <row r="61" spans="1:21">
      <c r="A61" t="s">
        <v>5376</v>
      </c>
      <c r="B61">
        <v>1</v>
      </c>
      <c r="C61">
        <v>36</v>
      </c>
      <c r="D61" t="e">
        <f>VLOOKUP(A61,#REF!,2,FALSE)</f>
        <v>#REF!</v>
      </c>
      <c r="E61" t="e">
        <f t="shared" si="0"/>
        <v>#REF!</v>
      </c>
      <c r="H61" t="s">
        <v>5379</v>
      </c>
      <c r="I61">
        <v>31</v>
      </c>
      <c r="J61">
        <v>29</v>
      </c>
      <c r="K61">
        <v>45</v>
      </c>
      <c r="L61">
        <v>102</v>
      </c>
      <c r="M61">
        <v>89</v>
      </c>
      <c r="N61">
        <v>127</v>
      </c>
      <c r="O61">
        <v>119</v>
      </c>
      <c r="P61">
        <v>58</v>
      </c>
      <c r="Q61">
        <v>21</v>
      </c>
      <c r="R61">
        <v>23</v>
      </c>
      <c r="S61">
        <v>30</v>
      </c>
      <c r="T61">
        <v>16</v>
      </c>
      <c r="U61">
        <v>690</v>
      </c>
    </row>
    <row r="62" spans="1:21">
      <c r="A62" t="s">
        <v>5396</v>
      </c>
      <c r="B62">
        <v>1</v>
      </c>
      <c r="C62">
        <v>33</v>
      </c>
      <c r="D62" t="e">
        <f>VLOOKUP(A62,#REF!,2,FALSE)</f>
        <v>#REF!</v>
      </c>
      <c r="E62" t="e">
        <f t="shared" si="0"/>
        <v>#REF!</v>
      </c>
      <c r="H62" t="s">
        <v>5383</v>
      </c>
      <c r="I62">
        <v>27</v>
      </c>
      <c r="J62">
        <v>18</v>
      </c>
      <c r="K62">
        <v>21</v>
      </c>
      <c r="L62">
        <v>97</v>
      </c>
      <c r="M62">
        <v>86</v>
      </c>
      <c r="N62">
        <v>180</v>
      </c>
      <c r="O62">
        <v>99</v>
      </c>
      <c r="P62">
        <v>49</v>
      </c>
      <c r="Q62">
        <v>10</v>
      </c>
      <c r="R62">
        <v>17</v>
      </c>
      <c r="S62">
        <v>17</v>
      </c>
      <c r="T62">
        <v>12</v>
      </c>
      <c r="U62">
        <v>633</v>
      </c>
    </row>
    <row r="63" spans="1:21">
      <c r="A63" t="s">
        <v>5375</v>
      </c>
      <c r="B63">
        <v>1</v>
      </c>
      <c r="C63">
        <v>32</v>
      </c>
      <c r="D63" t="e">
        <f>VLOOKUP(A63,#REF!,2,FALSE)</f>
        <v>#REF!</v>
      </c>
      <c r="E63" t="e">
        <f t="shared" si="0"/>
        <v>#REF!</v>
      </c>
      <c r="H63" t="s">
        <v>5364</v>
      </c>
      <c r="I63">
        <v>76</v>
      </c>
      <c r="J63">
        <v>31</v>
      </c>
      <c r="K63">
        <v>22</v>
      </c>
      <c r="L63">
        <v>53</v>
      </c>
      <c r="M63">
        <v>46</v>
      </c>
      <c r="N63">
        <v>21</v>
      </c>
      <c r="O63">
        <v>20</v>
      </c>
      <c r="P63">
        <v>17</v>
      </c>
      <c r="Q63">
        <v>25</v>
      </c>
      <c r="R63">
        <v>66</v>
      </c>
      <c r="S63">
        <v>86</v>
      </c>
      <c r="T63">
        <v>59</v>
      </c>
      <c r="U63">
        <v>522</v>
      </c>
    </row>
    <row r="64" spans="1:21">
      <c r="A64" t="s">
        <v>5389</v>
      </c>
      <c r="B64">
        <v>1</v>
      </c>
      <c r="C64">
        <v>31</v>
      </c>
      <c r="D64" t="e">
        <f>VLOOKUP(A64,#REF!,2,FALSE)</f>
        <v>#REF!</v>
      </c>
      <c r="E64" t="e">
        <f t="shared" si="0"/>
        <v>#REF!</v>
      </c>
      <c r="H64" t="s">
        <v>5387</v>
      </c>
      <c r="I64">
        <v>22</v>
      </c>
      <c r="J64">
        <v>14</v>
      </c>
      <c r="K64">
        <v>16</v>
      </c>
      <c r="L64">
        <v>31</v>
      </c>
      <c r="M64">
        <v>39</v>
      </c>
      <c r="N64">
        <v>88</v>
      </c>
      <c r="O64">
        <v>38</v>
      </c>
      <c r="P64">
        <v>42</v>
      </c>
      <c r="Q64">
        <v>11</v>
      </c>
      <c r="R64">
        <v>10</v>
      </c>
      <c r="S64">
        <v>5</v>
      </c>
      <c r="T64">
        <v>9</v>
      </c>
      <c r="U64">
        <v>325</v>
      </c>
    </row>
    <row r="65" spans="1:21">
      <c r="A65" t="s">
        <v>5379</v>
      </c>
      <c r="B65">
        <v>1</v>
      </c>
      <c r="C65">
        <v>31</v>
      </c>
      <c r="D65" t="e">
        <f>VLOOKUP(A65,#REF!,2,FALSE)</f>
        <v>#REF!</v>
      </c>
      <c r="E65" t="e">
        <f t="shared" si="0"/>
        <v>#REF!</v>
      </c>
      <c r="H65" t="s">
        <v>5389</v>
      </c>
      <c r="I65">
        <v>31</v>
      </c>
      <c r="J65">
        <v>30</v>
      </c>
      <c r="K65">
        <v>49</v>
      </c>
      <c r="L65">
        <v>46</v>
      </c>
      <c r="M65">
        <v>46</v>
      </c>
      <c r="N65">
        <v>51</v>
      </c>
      <c r="O65">
        <v>45</v>
      </c>
      <c r="P65">
        <v>9</v>
      </c>
      <c r="S65">
        <v>2</v>
      </c>
      <c r="T65">
        <v>14</v>
      </c>
      <c r="U65">
        <v>323</v>
      </c>
    </row>
    <row r="66" spans="1:21">
      <c r="A66" t="s">
        <v>5384</v>
      </c>
      <c r="B66">
        <v>1</v>
      </c>
      <c r="C66">
        <v>30</v>
      </c>
      <c r="D66" t="e">
        <f>VLOOKUP(A66,#REF!,2,FALSE)</f>
        <v>#REF!</v>
      </c>
      <c r="E66" t="e">
        <f t="shared" ref="E66:E130" si="3">C66/D66</f>
        <v>#REF!</v>
      </c>
      <c r="H66" t="s">
        <v>5398</v>
      </c>
      <c r="I66">
        <v>4</v>
      </c>
      <c r="J66">
        <v>5</v>
      </c>
      <c r="K66">
        <v>11</v>
      </c>
      <c r="L66">
        <v>33</v>
      </c>
      <c r="M66">
        <v>15</v>
      </c>
      <c r="N66">
        <v>9</v>
      </c>
      <c r="O66">
        <v>30</v>
      </c>
      <c r="P66">
        <v>33</v>
      </c>
      <c r="Q66">
        <v>30</v>
      </c>
      <c r="R66">
        <v>31</v>
      </c>
      <c r="S66">
        <v>63</v>
      </c>
      <c r="T66">
        <v>36</v>
      </c>
      <c r="U66">
        <v>300</v>
      </c>
    </row>
    <row r="67" spans="1:21">
      <c r="A67" t="s">
        <v>5383</v>
      </c>
      <c r="B67">
        <v>1</v>
      </c>
      <c r="C67">
        <v>27</v>
      </c>
      <c r="D67" t="e">
        <f>VLOOKUP(A67,#REF!,2,FALSE)</f>
        <v>#REF!</v>
      </c>
      <c r="E67" t="e">
        <f t="shared" si="3"/>
        <v>#REF!</v>
      </c>
      <c r="H67" t="s">
        <v>5375</v>
      </c>
      <c r="I67">
        <v>32</v>
      </c>
      <c r="J67">
        <v>36</v>
      </c>
      <c r="K67">
        <v>22</v>
      </c>
      <c r="L67">
        <v>44</v>
      </c>
      <c r="M67">
        <v>19</v>
      </c>
      <c r="N67">
        <v>29</v>
      </c>
      <c r="O67">
        <v>14</v>
      </c>
      <c r="P67">
        <v>9</v>
      </c>
      <c r="Q67">
        <v>18</v>
      </c>
      <c r="R67">
        <v>15</v>
      </c>
      <c r="S67">
        <v>34</v>
      </c>
      <c r="T67">
        <v>21</v>
      </c>
      <c r="U67">
        <v>293</v>
      </c>
    </row>
    <row r="68" spans="1:21">
      <c r="A68" t="s">
        <v>5380</v>
      </c>
      <c r="B68">
        <v>1</v>
      </c>
      <c r="C68">
        <v>25</v>
      </c>
      <c r="D68" t="e">
        <f>VLOOKUP(A68,#REF!,2,FALSE)</f>
        <v>#REF!</v>
      </c>
      <c r="E68" t="e">
        <f t="shared" si="3"/>
        <v>#REF!</v>
      </c>
      <c r="H68" t="s">
        <v>5392</v>
      </c>
      <c r="I68">
        <v>24</v>
      </c>
      <c r="J68">
        <v>28</v>
      </c>
      <c r="K68">
        <v>17</v>
      </c>
      <c r="L68">
        <v>22</v>
      </c>
      <c r="M68">
        <v>38</v>
      </c>
      <c r="N68">
        <v>54</v>
      </c>
      <c r="O68">
        <v>21</v>
      </c>
      <c r="P68">
        <v>21</v>
      </c>
      <c r="Q68">
        <v>11</v>
      </c>
      <c r="R68">
        <v>7</v>
      </c>
      <c r="S68">
        <v>16</v>
      </c>
      <c r="T68">
        <v>19</v>
      </c>
      <c r="U68">
        <v>278</v>
      </c>
    </row>
    <row r="69" spans="1:21">
      <c r="A69" t="s">
        <v>5392</v>
      </c>
      <c r="B69">
        <v>1</v>
      </c>
      <c r="C69">
        <v>24</v>
      </c>
      <c r="D69" t="e">
        <f>VLOOKUP(A69,#REF!,2,FALSE)</f>
        <v>#REF!</v>
      </c>
      <c r="E69" t="e">
        <f t="shared" si="3"/>
        <v>#REF!</v>
      </c>
      <c r="H69" t="s">
        <v>5374</v>
      </c>
      <c r="I69">
        <v>47</v>
      </c>
      <c r="J69">
        <v>36</v>
      </c>
      <c r="K69">
        <v>43</v>
      </c>
      <c r="L69">
        <v>26</v>
      </c>
      <c r="M69">
        <v>23</v>
      </c>
      <c r="N69">
        <v>17</v>
      </c>
      <c r="O69">
        <v>12</v>
      </c>
      <c r="P69">
        <v>11</v>
      </c>
      <c r="Q69">
        <v>13</v>
      </c>
      <c r="R69">
        <v>21</v>
      </c>
      <c r="S69">
        <v>12</v>
      </c>
      <c r="T69">
        <v>12</v>
      </c>
      <c r="U69">
        <v>273</v>
      </c>
    </row>
    <row r="70" spans="1:21">
      <c r="A70" t="s">
        <v>5381</v>
      </c>
      <c r="B70">
        <v>1</v>
      </c>
      <c r="C70">
        <v>23</v>
      </c>
      <c r="D70" t="e">
        <f>VLOOKUP(A70,#REF!,2,FALSE)</f>
        <v>#REF!</v>
      </c>
      <c r="E70" t="e">
        <f t="shared" si="3"/>
        <v>#REF!</v>
      </c>
      <c r="H70" t="s">
        <v>5399</v>
      </c>
      <c r="I70">
        <v>10</v>
      </c>
      <c r="J70">
        <v>15</v>
      </c>
      <c r="K70">
        <v>27</v>
      </c>
      <c r="L70">
        <v>31</v>
      </c>
      <c r="M70">
        <v>32</v>
      </c>
      <c r="N70">
        <v>44</v>
      </c>
      <c r="O70">
        <v>26</v>
      </c>
      <c r="P70">
        <v>21</v>
      </c>
      <c r="Q70">
        <v>5</v>
      </c>
      <c r="R70">
        <v>6</v>
      </c>
      <c r="S70">
        <v>9</v>
      </c>
      <c r="T70">
        <v>27</v>
      </c>
      <c r="U70">
        <v>253</v>
      </c>
    </row>
    <row r="71" spans="1:21">
      <c r="A71" t="s">
        <v>5387</v>
      </c>
      <c r="B71">
        <v>1</v>
      </c>
      <c r="C71">
        <v>22</v>
      </c>
      <c r="D71" t="e">
        <f>VLOOKUP(A71,#REF!,2,FALSE)</f>
        <v>#REF!</v>
      </c>
      <c r="E71" t="e">
        <f t="shared" si="3"/>
        <v>#REF!</v>
      </c>
      <c r="H71" t="s">
        <v>5396</v>
      </c>
      <c r="I71">
        <v>33</v>
      </c>
      <c r="J71">
        <v>17</v>
      </c>
      <c r="K71">
        <v>22</v>
      </c>
      <c r="L71">
        <v>28</v>
      </c>
      <c r="M71">
        <v>28</v>
      </c>
      <c r="N71">
        <v>21</v>
      </c>
      <c r="O71">
        <v>29</v>
      </c>
      <c r="P71">
        <v>18</v>
      </c>
      <c r="Q71">
        <v>23</v>
      </c>
      <c r="R71">
        <v>11</v>
      </c>
      <c r="S71">
        <v>8</v>
      </c>
      <c r="T71">
        <v>11</v>
      </c>
      <c r="U71">
        <v>249</v>
      </c>
    </row>
    <row r="72" spans="1:21">
      <c r="A72" t="s">
        <v>5391</v>
      </c>
      <c r="B72">
        <v>1</v>
      </c>
      <c r="C72">
        <v>20</v>
      </c>
      <c r="D72" t="e">
        <f>VLOOKUP(A72,#REF!,2,FALSE)</f>
        <v>#REF!</v>
      </c>
      <c r="E72" t="e">
        <f t="shared" si="3"/>
        <v>#REF!</v>
      </c>
      <c r="H72" t="s">
        <v>5404</v>
      </c>
      <c r="I72">
        <v>4</v>
      </c>
      <c r="J72">
        <v>15</v>
      </c>
      <c r="K72">
        <v>15</v>
      </c>
      <c r="L72">
        <v>26</v>
      </c>
      <c r="M72">
        <v>16</v>
      </c>
      <c r="N72">
        <v>19</v>
      </c>
      <c r="O72">
        <v>19</v>
      </c>
      <c r="P72">
        <v>26</v>
      </c>
      <c r="Q72">
        <v>16</v>
      </c>
      <c r="R72">
        <v>12</v>
      </c>
      <c r="S72">
        <v>23</v>
      </c>
      <c r="T72">
        <v>35</v>
      </c>
      <c r="U72">
        <v>226</v>
      </c>
    </row>
    <row r="73" spans="1:21">
      <c r="A73" t="s">
        <v>5382</v>
      </c>
      <c r="B73">
        <v>1</v>
      </c>
      <c r="C73">
        <v>18</v>
      </c>
      <c r="D73" t="e">
        <f>VLOOKUP(A73,#REF!,2,FALSE)</f>
        <v>#REF!</v>
      </c>
      <c r="E73" t="e">
        <f t="shared" si="3"/>
        <v>#REF!</v>
      </c>
      <c r="H73" t="s">
        <v>5371</v>
      </c>
      <c r="I73">
        <v>57</v>
      </c>
      <c r="J73">
        <v>22</v>
      </c>
      <c r="K73">
        <v>30</v>
      </c>
      <c r="L73">
        <v>16</v>
      </c>
      <c r="M73">
        <v>15</v>
      </c>
      <c r="N73">
        <v>8</v>
      </c>
      <c r="O73">
        <v>14</v>
      </c>
      <c r="P73">
        <v>2</v>
      </c>
      <c r="Q73">
        <v>14</v>
      </c>
      <c r="R73">
        <v>9</v>
      </c>
      <c r="S73">
        <v>7</v>
      </c>
      <c r="T73">
        <v>16</v>
      </c>
      <c r="U73">
        <v>210</v>
      </c>
    </row>
    <row r="74" spans="1:21">
      <c r="A74" t="s">
        <v>5386</v>
      </c>
      <c r="B74">
        <v>1</v>
      </c>
      <c r="C74">
        <v>18</v>
      </c>
      <c r="D74" t="e">
        <f>VLOOKUP(A74,#REF!,2,FALSE)</f>
        <v>#REF!</v>
      </c>
      <c r="E74" t="e">
        <f t="shared" si="3"/>
        <v>#REF!</v>
      </c>
      <c r="H74" t="s">
        <v>5386</v>
      </c>
      <c r="I74">
        <v>18</v>
      </c>
      <c r="J74">
        <v>18</v>
      </c>
      <c r="K74">
        <v>10</v>
      </c>
      <c r="L74">
        <v>22</v>
      </c>
      <c r="M74">
        <v>27</v>
      </c>
      <c r="N74">
        <v>29</v>
      </c>
      <c r="O74">
        <v>20</v>
      </c>
      <c r="P74">
        <v>11</v>
      </c>
      <c r="Q74">
        <v>3</v>
      </c>
      <c r="R74">
        <v>17</v>
      </c>
      <c r="S74">
        <v>10</v>
      </c>
      <c r="T74">
        <v>13</v>
      </c>
      <c r="U74">
        <v>198</v>
      </c>
    </row>
    <row r="75" spans="1:21">
      <c r="A75" t="s">
        <v>5393</v>
      </c>
      <c r="B75">
        <v>1</v>
      </c>
      <c r="C75">
        <v>13</v>
      </c>
      <c r="D75" t="e">
        <f>VLOOKUP(A75,#REF!,2,FALSE)</f>
        <v>#REF!</v>
      </c>
      <c r="E75" t="e">
        <f t="shared" si="3"/>
        <v>#REF!</v>
      </c>
      <c r="H75" t="s">
        <v>5376</v>
      </c>
      <c r="I75">
        <v>36</v>
      </c>
      <c r="J75">
        <v>18</v>
      </c>
      <c r="K75">
        <v>12</v>
      </c>
      <c r="L75">
        <v>14</v>
      </c>
      <c r="M75">
        <v>10</v>
      </c>
      <c r="N75">
        <v>19</v>
      </c>
      <c r="O75">
        <v>18</v>
      </c>
      <c r="P75">
        <v>7</v>
      </c>
      <c r="Q75">
        <v>9</v>
      </c>
      <c r="R75">
        <v>11</v>
      </c>
      <c r="S75">
        <v>8</v>
      </c>
      <c r="T75">
        <v>11</v>
      </c>
      <c r="U75">
        <v>173</v>
      </c>
    </row>
    <row r="76" spans="1:21">
      <c r="A76" t="s">
        <v>5385</v>
      </c>
      <c r="B76">
        <v>1</v>
      </c>
      <c r="C76">
        <v>12</v>
      </c>
      <c r="D76" t="e">
        <f>VLOOKUP(A76,#REF!,2,FALSE)</f>
        <v>#REF!</v>
      </c>
      <c r="E76" t="e">
        <f t="shared" si="3"/>
        <v>#REF!</v>
      </c>
      <c r="H76" t="s">
        <v>5382</v>
      </c>
      <c r="I76">
        <v>18</v>
      </c>
      <c r="J76">
        <v>11</v>
      </c>
      <c r="K76">
        <v>4</v>
      </c>
      <c r="P76">
        <v>4</v>
      </c>
      <c r="Q76">
        <v>10</v>
      </c>
      <c r="R76">
        <v>31</v>
      </c>
      <c r="S76">
        <v>28</v>
      </c>
      <c r="T76">
        <v>54</v>
      </c>
      <c r="U76">
        <v>160</v>
      </c>
    </row>
    <row r="77" spans="1:21">
      <c r="A77" t="s">
        <v>5390</v>
      </c>
      <c r="B77">
        <v>1</v>
      </c>
      <c r="C77">
        <v>12</v>
      </c>
      <c r="D77" t="e">
        <f>VLOOKUP(A77,#REF!,2,FALSE)</f>
        <v>#REF!</v>
      </c>
      <c r="E77" t="e">
        <f t="shared" si="3"/>
        <v>#REF!</v>
      </c>
      <c r="H77" t="s">
        <v>5419</v>
      </c>
      <c r="P77">
        <v>2</v>
      </c>
      <c r="Q77">
        <v>19</v>
      </c>
      <c r="R77">
        <v>44</v>
      </c>
      <c r="S77">
        <v>68</v>
      </c>
      <c r="T77">
        <v>20</v>
      </c>
      <c r="U77">
        <v>153</v>
      </c>
    </row>
    <row r="78" spans="1:21">
      <c r="A78" t="s">
        <v>5402</v>
      </c>
      <c r="B78">
        <v>1</v>
      </c>
      <c r="C78">
        <v>11</v>
      </c>
      <c r="D78" t="e">
        <f>VLOOKUP(A78,#REF!,2,FALSE)</f>
        <v>#REF!</v>
      </c>
      <c r="E78" t="e">
        <f t="shared" si="3"/>
        <v>#REF!</v>
      </c>
      <c r="H78" t="s">
        <v>5390</v>
      </c>
      <c r="I78">
        <v>12</v>
      </c>
      <c r="J78">
        <v>17</v>
      </c>
      <c r="K78">
        <v>6</v>
      </c>
      <c r="L78">
        <v>8</v>
      </c>
      <c r="M78">
        <v>14</v>
      </c>
      <c r="N78">
        <v>8</v>
      </c>
      <c r="O78">
        <v>7</v>
      </c>
      <c r="P78">
        <v>8</v>
      </c>
      <c r="Q78">
        <v>6</v>
      </c>
      <c r="R78">
        <v>5</v>
      </c>
      <c r="S78">
        <v>22</v>
      </c>
      <c r="T78">
        <v>36</v>
      </c>
      <c r="U78">
        <v>149</v>
      </c>
    </row>
    <row r="79" spans="1:21">
      <c r="A79" t="s">
        <v>5399</v>
      </c>
      <c r="B79">
        <v>1</v>
      </c>
      <c r="C79">
        <v>10</v>
      </c>
      <c r="D79" t="e">
        <f>VLOOKUP(A79,#REF!,2,FALSE)</f>
        <v>#REF!</v>
      </c>
      <c r="E79" t="e">
        <f t="shared" si="3"/>
        <v>#REF!</v>
      </c>
      <c r="H79" t="s">
        <v>5393</v>
      </c>
      <c r="I79">
        <v>13</v>
      </c>
      <c r="J79">
        <v>19</v>
      </c>
      <c r="K79">
        <v>6</v>
      </c>
      <c r="L79">
        <v>6</v>
      </c>
      <c r="M79">
        <v>12</v>
      </c>
      <c r="N79">
        <v>11</v>
      </c>
      <c r="O79">
        <v>2</v>
      </c>
      <c r="P79">
        <v>6</v>
      </c>
      <c r="Q79">
        <v>10</v>
      </c>
      <c r="R79">
        <v>7</v>
      </c>
      <c r="S79">
        <v>17</v>
      </c>
      <c r="T79">
        <v>26</v>
      </c>
      <c r="U79">
        <v>135</v>
      </c>
    </row>
    <row r="80" spans="1:21">
      <c r="A80" t="s">
        <v>5388</v>
      </c>
      <c r="B80">
        <v>1</v>
      </c>
      <c r="C80">
        <v>10</v>
      </c>
      <c r="D80" t="e">
        <f>VLOOKUP(A80,#REF!,2,FALSE)</f>
        <v>#REF!</v>
      </c>
      <c r="E80" t="e">
        <f t="shared" si="3"/>
        <v>#REF!</v>
      </c>
      <c r="H80" t="s">
        <v>5388</v>
      </c>
      <c r="I80">
        <v>10</v>
      </c>
      <c r="J80">
        <v>12</v>
      </c>
      <c r="K80">
        <v>16</v>
      </c>
      <c r="L80">
        <v>9</v>
      </c>
      <c r="M80">
        <v>8</v>
      </c>
      <c r="N80">
        <v>4</v>
      </c>
      <c r="O80">
        <v>13</v>
      </c>
      <c r="P80">
        <v>17</v>
      </c>
      <c r="Q80">
        <v>5</v>
      </c>
      <c r="R80">
        <v>4</v>
      </c>
      <c r="S80">
        <v>9</v>
      </c>
      <c r="T80">
        <v>23</v>
      </c>
      <c r="U80">
        <v>130</v>
      </c>
    </row>
    <row r="81" spans="1:21">
      <c r="A81" t="s">
        <v>5395</v>
      </c>
      <c r="B81">
        <v>1</v>
      </c>
      <c r="C81">
        <v>9</v>
      </c>
      <c r="D81" t="e">
        <f>VLOOKUP(A81,#REF!,2,FALSE)</f>
        <v>#REF!</v>
      </c>
      <c r="E81" t="e">
        <f t="shared" si="3"/>
        <v>#REF!</v>
      </c>
      <c r="H81" t="s">
        <v>5405</v>
      </c>
      <c r="J81">
        <v>4</v>
      </c>
      <c r="K81">
        <v>14</v>
      </c>
      <c r="L81">
        <v>6</v>
      </c>
      <c r="M81">
        <v>11</v>
      </c>
      <c r="N81">
        <v>11</v>
      </c>
      <c r="O81">
        <v>13</v>
      </c>
      <c r="P81">
        <v>7</v>
      </c>
      <c r="Q81">
        <v>4</v>
      </c>
      <c r="R81">
        <v>8</v>
      </c>
      <c r="S81">
        <v>25</v>
      </c>
      <c r="T81">
        <v>25</v>
      </c>
      <c r="U81">
        <v>128</v>
      </c>
    </row>
    <row r="82" spans="1:21">
      <c r="A82" t="s">
        <v>5394</v>
      </c>
      <c r="B82">
        <v>1</v>
      </c>
      <c r="C82">
        <v>7</v>
      </c>
      <c r="D82" t="e">
        <f>VLOOKUP(A82,#REF!,2,FALSE)</f>
        <v>#REF!</v>
      </c>
      <c r="E82" t="e">
        <f t="shared" si="3"/>
        <v>#REF!</v>
      </c>
      <c r="H82" t="s">
        <v>5395</v>
      </c>
      <c r="I82">
        <v>9</v>
      </c>
      <c r="J82">
        <v>7</v>
      </c>
      <c r="K82">
        <v>8</v>
      </c>
      <c r="L82">
        <v>3</v>
      </c>
      <c r="M82">
        <v>4</v>
      </c>
      <c r="N82">
        <v>11</v>
      </c>
      <c r="O82">
        <v>8</v>
      </c>
      <c r="P82">
        <v>8</v>
      </c>
      <c r="Q82">
        <v>19</v>
      </c>
      <c r="R82">
        <v>12</v>
      </c>
      <c r="S82">
        <v>10</v>
      </c>
      <c r="T82">
        <v>10</v>
      </c>
      <c r="U82">
        <v>109</v>
      </c>
    </row>
    <row r="83" spans="1:21">
      <c r="A83" t="s">
        <v>5401</v>
      </c>
      <c r="B83">
        <v>1</v>
      </c>
      <c r="C83">
        <v>6</v>
      </c>
      <c r="D83" t="e">
        <f>VLOOKUP(A83,#REF!,2,FALSE)</f>
        <v>#REF!</v>
      </c>
      <c r="E83" t="e">
        <f t="shared" si="3"/>
        <v>#REF!</v>
      </c>
      <c r="H83" t="s">
        <v>5417</v>
      </c>
      <c r="M83">
        <v>1</v>
      </c>
      <c r="N83">
        <v>2</v>
      </c>
      <c r="O83">
        <v>7</v>
      </c>
      <c r="P83">
        <v>15</v>
      </c>
      <c r="Q83">
        <v>23</v>
      </c>
      <c r="R83">
        <v>8</v>
      </c>
      <c r="S83">
        <v>25</v>
      </c>
      <c r="T83">
        <v>10</v>
      </c>
      <c r="U83">
        <v>91</v>
      </c>
    </row>
    <row r="84" spans="1:21">
      <c r="A84" t="s">
        <v>5397</v>
      </c>
      <c r="B84">
        <v>1</v>
      </c>
      <c r="C84">
        <v>4</v>
      </c>
      <c r="D84" t="e">
        <f>VLOOKUP(A84,#REF!,2,FALSE)</f>
        <v>#REF!</v>
      </c>
      <c r="E84" t="e">
        <f t="shared" si="3"/>
        <v>#REF!</v>
      </c>
      <c r="H84" t="s">
        <v>5370</v>
      </c>
      <c r="I84">
        <v>40</v>
      </c>
      <c r="J84">
        <v>8</v>
      </c>
      <c r="K84">
        <v>2</v>
      </c>
      <c r="L84">
        <v>7</v>
      </c>
      <c r="M84">
        <v>4</v>
      </c>
      <c r="N84">
        <v>3</v>
      </c>
      <c r="O84">
        <v>2</v>
      </c>
      <c r="P84">
        <v>2</v>
      </c>
      <c r="Q84">
        <v>1</v>
      </c>
      <c r="S84">
        <v>4</v>
      </c>
      <c r="U84">
        <v>73</v>
      </c>
    </row>
    <row r="85" spans="1:21">
      <c r="A85" t="s">
        <v>5398</v>
      </c>
      <c r="B85">
        <v>1</v>
      </c>
      <c r="C85">
        <v>4</v>
      </c>
      <c r="D85" t="e">
        <f>VLOOKUP(A85,#REF!,2,FALSE)</f>
        <v>#REF!</v>
      </c>
      <c r="E85" t="e">
        <f t="shared" si="3"/>
        <v>#REF!</v>
      </c>
      <c r="H85" t="s">
        <v>5385</v>
      </c>
      <c r="I85">
        <v>12</v>
      </c>
      <c r="J85">
        <v>8</v>
      </c>
      <c r="K85">
        <v>10</v>
      </c>
      <c r="L85">
        <v>4</v>
      </c>
      <c r="M85">
        <v>2</v>
      </c>
      <c r="N85">
        <v>3</v>
      </c>
      <c r="O85">
        <v>1</v>
      </c>
      <c r="P85">
        <v>3</v>
      </c>
      <c r="Q85">
        <v>15</v>
      </c>
      <c r="R85">
        <v>6</v>
      </c>
      <c r="S85">
        <v>4</v>
      </c>
      <c r="T85">
        <v>3</v>
      </c>
      <c r="U85">
        <v>71</v>
      </c>
    </row>
    <row r="86" spans="1:21">
      <c r="A86" t="s">
        <v>5404</v>
      </c>
      <c r="B86">
        <v>1</v>
      </c>
      <c r="C86">
        <v>4</v>
      </c>
      <c r="D86" t="e">
        <f>VLOOKUP(A86,#REF!,2,FALSE)</f>
        <v>#REF!</v>
      </c>
      <c r="E86" t="e">
        <f t="shared" si="3"/>
        <v>#REF!</v>
      </c>
      <c r="H86" t="s">
        <v>5402</v>
      </c>
      <c r="I86">
        <v>11</v>
      </c>
      <c r="J86">
        <v>5</v>
      </c>
      <c r="K86">
        <v>5</v>
      </c>
      <c r="L86">
        <v>3</v>
      </c>
      <c r="M86">
        <v>4</v>
      </c>
      <c r="N86">
        <v>5</v>
      </c>
      <c r="O86">
        <v>7</v>
      </c>
      <c r="P86">
        <v>3</v>
      </c>
      <c r="Q86">
        <v>3</v>
      </c>
      <c r="R86">
        <v>5</v>
      </c>
      <c r="S86">
        <v>2</v>
      </c>
      <c r="T86">
        <v>6</v>
      </c>
      <c r="U86">
        <v>59</v>
      </c>
    </row>
    <row r="87" spans="1:21">
      <c r="A87" t="s">
        <v>5406</v>
      </c>
      <c r="B87">
        <v>1</v>
      </c>
      <c r="C87">
        <v>3</v>
      </c>
      <c r="D87" t="e">
        <f>VLOOKUP(A87,#REF!,2,FALSE)</f>
        <v>#REF!</v>
      </c>
      <c r="E87" t="e">
        <f t="shared" si="3"/>
        <v>#REF!</v>
      </c>
      <c r="H87" t="s">
        <v>5381</v>
      </c>
      <c r="I87">
        <v>23</v>
      </c>
      <c r="J87">
        <v>12</v>
      </c>
      <c r="K87">
        <v>5</v>
      </c>
      <c r="L87">
        <v>9</v>
      </c>
      <c r="M87">
        <v>4</v>
      </c>
      <c r="N87">
        <v>2</v>
      </c>
      <c r="O87">
        <v>1</v>
      </c>
      <c r="R87">
        <v>1</v>
      </c>
      <c r="U87">
        <v>57</v>
      </c>
    </row>
    <row r="88" spans="1:21">
      <c r="A88" t="s">
        <v>5400</v>
      </c>
      <c r="B88">
        <v>1</v>
      </c>
      <c r="C88">
        <v>3</v>
      </c>
      <c r="D88" t="e">
        <f>VLOOKUP(A88,#REF!,2,FALSE)</f>
        <v>#REF!</v>
      </c>
      <c r="E88" t="e">
        <f t="shared" si="3"/>
        <v>#REF!</v>
      </c>
      <c r="H88" t="s">
        <v>5413</v>
      </c>
      <c r="I88">
        <v>2</v>
      </c>
      <c r="J88">
        <v>5</v>
      </c>
      <c r="K88">
        <v>4</v>
      </c>
      <c r="L88">
        <v>3</v>
      </c>
      <c r="M88">
        <v>4</v>
      </c>
      <c r="O88">
        <v>7</v>
      </c>
      <c r="P88">
        <v>2</v>
      </c>
      <c r="Q88">
        <v>3</v>
      </c>
      <c r="R88">
        <v>2</v>
      </c>
      <c r="S88">
        <v>10</v>
      </c>
      <c r="T88">
        <v>11</v>
      </c>
      <c r="U88">
        <v>53</v>
      </c>
    </row>
    <row r="89" spans="1:21">
      <c r="A89" t="s">
        <v>5413</v>
      </c>
      <c r="B89">
        <v>1</v>
      </c>
      <c r="C89">
        <v>2</v>
      </c>
      <c r="D89" t="e">
        <f>VLOOKUP(A89,#REF!,2,FALSE)</f>
        <v>#REF!</v>
      </c>
      <c r="E89" t="e">
        <f t="shared" si="3"/>
        <v>#REF!</v>
      </c>
      <c r="H89" t="s">
        <v>5400</v>
      </c>
      <c r="I89">
        <v>3</v>
      </c>
      <c r="J89">
        <v>3</v>
      </c>
      <c r="K89">
        <v>2</v>
      </c>
      <c r="L89">
        <v>1</v>
      </c>
      <c r="M89">
        <v>1</v>
      </c>
      <c r="N89">
        <v>2</v>
      </c>
      <c r="O89">
        <v>7</v>
      </c>
      <c r="P89">
        <v>12</v>
      </c>
      <c r="Q89">
        <v>5</v>
      </c>
      <c r="R89">
        <v>6</v>
      </c>
      <c r="S89">
        <v>3</v>
      </c>
      <c r="T89">
        <v>3</v>
      </c>
      <c r="U89">
        <v>48</v>
      </c>
    </row>
    <row r="90" spans="1:21">
      <c r="A90" t="s">
        <v>5411</v>
      </c>
      <c r="B90">
        <v>1</v>
      </c>
      <c r="C90">
        <v>1</v>
      </c>
      <c r="D90" t="e">
        <f>VLOOKUP(A90,#REF!,2,FALSE)</f>
        <v>#REF!</v>
      </c>
      <c r="E90" t="e">
        <f t="shared" si="3"/>
        <v>#REF!</v>
      </c>
      <c r="H90" t="s">
        <v>5407</v>
      </c>
      <c r="J90">
        <v>3</v>
      </c>
      <c r="K90">
        <v>5</v>
      </c>
      <c r="L90">
        <v>2</v>
      </c>
      <c r="M90">
        <v>4</v>
      </c>
      <c r="N90">
        <v>3</v>
      </c>
      <c r="O90">
        <v>5</v>
      </c>
      <c r="P90">
        <v>3</v>
      </c>
      <c r="Q90">
        <v>3</v>
      </c>
      <c r="R90">
        <v>1</v>
      </c>
      <c r="S90">
        <v>3</v>
      </c>
      <c r="T90">
        <v>2</v>
      </c>
      <c r="U90">
        <v>34</v>
      </c>
    </row>
    <row r="91" spans="1:21">
      <c r="A91" t="s">
        <v>5410</v>
      </c>
      <c r="B91">
        <v>1</v>
      </c>
      <c r="C91">
        <v>1</v>
      </c>
      <c r="D91" t="e">
        <f>VLOOKUP(A91,#REF!,2,FALSE)</f>
        <v>#REF!</v>
      </c>
      <c r="E91" t="e">
        <f t="shared" si="3"/>
        <v>#REF!</v>
      </c>
      <c r="H91" t="s">
        <v>5414</v>
      </c>
      <c r="L91">
        <v>6</v>
      </c>
      <c r="M91">
        <v>11</v>
      </c>
      <c r="N91">
        <v>7</v>
      </c>
      <c r="O91">
        <v>5</v>
      </c>
      <c r="P91">
        <v>4</v>
      </c>
      <c r="U91">
        <v>33</v>
      </c>
    </row>
    <row r="92" spans="1:21">
      <c r="A92" t="s">
        <v>5403</v>
      </c>
      <c r="B92">
        <v>1</v>
      </c>
      <c r="C92">
        <v>1</v>
      </c>
      <c r="D92" t="e">
        <f>VLOOKUP(A92,#REF!,2,FALSE)</f>
        <v>#REF!</v>
      </c>
      <c r="E92" t="e">
        <f t="shared" si="3"/>
        <v>#REF!</v>
      </c>
      <c r="H92" t="s">
        <v>5394</v>
      </c>
      <c r="I92">
        <v>7</v>
      </c>
      <c r="J92">
        <v>5</v>
      </c>
      <c r="K92">
        <v>1</v>
      </c>
      <c r="P92">
        <v>1</v>
      </c>
      <c r="Q92">
        <v>7</v>
      </c>
      <c r="R92">
        <v>2</v>
      </c>
      <c r="S92">
        <v>5</v>
      </c>
      <c r="T92">
        <v>3</v>
      </c>
      <c r="U92">
        <v>31</v>
      </c>
    </row>
    <row r="93" spans="1:21">
      <c r="A93" t="s">
        <v>5427</v>
      </c>
      <c r="B93">
        <v>1</v>
      </c>
      <c r="C93">
        <v>1</v>
      </c>
      <c r="D93" t="e">
        <f>VLOOKUP(A93,#REF!,2,FALSE)</f>
        <v>#REF!</v>
      </c>
      <c r="E93" t="e">
        <f t="shared" si="3"/>
        <v>#REF!</v>
      </c>
      <c r="H93" t="s">
        <v>5397</v>
      </c>
      <c r="I93">
        <v>4</v>
      </c>
      <c r="J93">
        <v>6</v>
      </c>
      <c r="P93">
        <v>2</v>
      </c>
      <c r="R93">
        <v>2</v>
      </c>
      <c r="S93">
        <v>7</v>
      </c>
      <c r="T93">
        <v>9</v>
      </c>
      <c r="U93">
        <v>30</v>
      </c>
    </row>
    <row r="94" spans="1:21">
      <c r="A94" t="s">
        <v>5321</v>
      </c>
      <c r="B94">
        <v>2</v>
      </c>
      <c r="C94">
        <v>9423</v>
      </c>
      <c r="D94" t="e">
        <f>VLOOKUP(A94,#REF!,2,FALSE)</f>
        <v>#REF!</v>
      </c>
      <c r="E94" t="e">
        <f t="shared" si="3"/>
        <v>#REF!</v>
      </c>
      <c r="H94" t="s">
        <v>5406</v>
      </c>
      <c r="I94">
        <v>3</v>
      </c>
      <c r="J94">
        <v>4</v>
      </c>
      <c r="K94">
        <v>4</v>
      </c>
      <c r="L94">
        <v>4</v>
      </c>
      <c r="M94">
        <v>2</v>
      </c>
      <c r="N94">
        <v>4</v>
      </c>
      <c r="O94">
        <v>4</v>
      </c>
      <c r="P94">
        <v>3</v>
      </c>
      <c r="T94">
        <v>2</v>
      </c>
      <c r="U94">
        <v>30</v>
      </c>
    </row>
    <row r="95" spans="1:21">
      <c r="A95" t="s">
        <v>5320</v>
      </c>
      <c r="B95">
        <v>2</v>
      </c>
      <c r="C95">
        <v>5721</v>
      </c>
      <c r="D95" t="e">
        <f>VLOOKUP(A95,#REF!,2,FALSE)</f>
        <v>#REF!</v>
      </c>
      <c r="E95" t="e">
        <f t="shared" si="3"/>
        <v>#REF!</v>
      </c>
      <c r="H95" t="s">
        <v>5408</v>
      </c>
      <c r="J95">
        <v>3</v>
      </c>
      <c r="K95">
        <v>8</v>
      </c>
      <c r="N95">
        <v>1</v>
      </c>
      <c r="O95">
        <v>12</v>
      </c>
      <c r="Q95">
        <v>1</v>
      </c>
      <c r="R95">
        <v>1</v>
      </c>
      <c r="T95">
        <v>1</v>
      </c>
      <c r="U95">
        <v>27</v>
      </c>
    </row>
    <row r="96" spans="1:21">
      <c r="A96" t="s">
        <v>5326</v>
      </c>
      <c r="B96">
        <v>2</v>
      </c>
      <c r="C96">
        <v>4533</v>
      </c>
      <c r="D96" t="e">
        <f>VLOOKUP(A96,#REF!,2,FALSE)</f>
        <v>#REF!</v>
      </c>
      <c r="E96" t="e">
        <f t="shared" si="3"/>
        <v>#REF!</v>
      </c>
      <c r="H96" t="s">
        <v>5424</v>
      </c>
      <c r="R96">
        <v>5</v>
      </c>
      <c r="S96">
        <v>15</v>
      </c>
      <c r="T96">
        <v>6</v>
      </c>
      <c r="U96">
        <v>26</v>
      </c>
    </row>
    <row r="97" spans="1:21">
      <c r="A97" t="s">
        <v>1408</v>
      </c>
      <c r="B97">
        <v>2</v>
      </c>
      <c r="C97">
        <v>4068</v>
      </c>
      <c r="D97" t="e">
        <f>VLOOKUP(A97,#REF!,2,FALSE)</f>
        <v>#REF!</v>
      </c>
      <c r="E97" t="e">
        <f t="shared" si="3"/>
        <v>#REF!</v>
      </c>
      <c r="H97" t="s">
        <v>5412</v>
      </c>
      <c r="K97">
        <v>3</v>
      </c>
      <c r="M97">
        <v>2</v>
      </c>
      <c r="N97">
        <v>2</v>
      </c>
      <c r="P97">
        <v>3</v>
      </c>
      <c r="Q97">
        <v>7</v>
      </c>
      <c r="R97">
        <v>1</v>
      </c>
      <c r="S97">
        <v>3</v>
      </c>
      <c r="T97">
        <v>4</v>
      </c>
      <c r="U97">
        <v>25</v>
      </c>
    </row>
    <row r="98" spans="1:21">
      <c r="A98" t="s">
        <v>5317</v>
      </c>
      <c r="B98">
        <v>2</v>
      </c>
      <c r="C98">
        <v>3172</v>
      </c>
      <c r="D98" t="e">
        <f>VLOOKUP(A98,#REF!,2,FALSE)</f>
        <v>#REF!</v>
      </c>
      <c r="E98" t="e">
        <f t="shared" si="3"/>
        <v>#REF!</v>
      </c>
      <c r="H98" t="s">
        <v>5415</v>
      </c>
      <c r="M98">
        <v>2</v>
      </c>
      <c r="N98">
        <v>6</v>
      </c>
      <c r="O98">
        <v>8</v>
      </c>
      <c r="P98">
        <v>3</v>
      </c>
      <c r="S98">
        <v>2</v>
      </c>
      <c r="T98">
        <v>3</v>
      </c>
      <c r="U98">
        <v>24</v>
      </c>
    </row>
    <row r="99" spans="1:21">
      <c r="A99" t="s">
        <v>5328</v>
      </c>
      <c r="B99">
        <v>2</v>
      </c>
      <c r="C99">
        <v>2981</v>
      </c>
      <c r="D99" t="e">
        <f>VLOOKUP(A99,#REF!,2,FALSE)</f>
        <v>#REF!</v>
      </c>
      <c r="E99" t="e">
        <f t="shared" si="3"/>
        <v>#REF!</v>
      </c>
      <c r="H99" t="s">
        <v>5411</v>
      </c>
      <c r="I99">
        <v>1</v>
      </c>
      <c r="J99">
        <v>2</v>
      </c>
      <c r="K99">
        <v>1</v>
      </c>
      <c r="M99">
        <v>1</v>
      </c>
      <c r="O99">
        <v>4</v>
      </c>
      <c r="P99">
        <v>4</v>
      </c>
      <c r="Q99">
        <v>1</v>
      </c>
      <c r="R99">
        <v>3</v>
      </c>
      <c r="S99">
        <v>2</v>
      </c>
      <c r="T99">
        <v>3</v>
      </c>
      <c r="U99">
        <v>22</v>
      </c>
    </row>
    <row r="100" spans="1:21">
      <c r="A100" t="s">
        <v>5323</v>
      </c>
      <c r="B100">
        <v>2</v>
      </c>
      <c r="C100">
        <v>2277</v>
      </c>
      <c r="D100" t="e">
        <f>VLOOKUP(A100,#REF!,2,FALSE)</f>
        <v>#REF!</v>
      </c>
      <c r="E100" t="e">
        <f t="shared" si="3"/>
        <v>#REF!</v>
      </c>
      <c r="H100" t="s">
        <v>5401</v>
      </c>
      <c r="I100">
        <v>6</v>
      </c>
      <c r="J100">
        <v>5</v>
      </c>
      <c r="K100">
        <v>1</v>
      </c>
      <c r="N100">
        <v>1</v>
      </c>
      <c r="O100">
        <v>4</v>
      </c>
      <c r="P100">
        <v>1</v>
      </c>
      <c r="Q100">
        <v>2</v>
      </c>
      <c r="R100">
        <v>2</v>
      </c>
      <c r="U100">
        <v>22</v>
      </c>
    </row>
    <row r="101" spans="1:21">
      <c r="A101" t="s">
        <v>5333</v>
      </c>
      <c r="B101">
        <v>2</v>
      </c>
      <c r="C101">
        <v>2137</v>
      </c>
      <c r="D101" t="e">
        <f>VLOOKUP(A101,#REF!,2,FALSE)</f>
        <v>#REF!</v>
      </c>
      <c r="E101" t="e">
        <f t="shared" si="3"/>
        <v>#REF!</v>
      </c>
      <c r="H101" t="s">
        <v>5423</v>
      </c>
      <c r="J101">
        <v>2</v>
      </c>
      <c r="R101">
        <v>2</v>
      </c>
      <c r="S101">
        <v>3</v>
      </c>
      <c r="T101">
        <v>11</v>
      </c>
      <c r="U101">
        <v>18</v>
      </c>
    </row>
    <row r="102" spans="1:21">
      <c r="A102" t="s">
        <v>5325</v>
      </c>
      <c r="B102">
        <v>2</v>
      </c>
      <c r="C102">
        <v>1675</v>
      </c>
      <c r="D102" t="e">
        <f>VLOOKUP(A102,#REF!,2,FALSE)</f>
        <v>#REF!</v>
      </c>
      <c r="E102" t="e">
        <f t="shared" si="3"/>
        <v>#REF!</v>
      </c>
      <c r="H102" t="s">
        <v>5416</v>
      </c>
      <c r="L102">
        <v>1</v>
      </c>
      <c r="M102">
        <v>3</v>
      </c>
      <c r="N102">
        <v>3</v>
      </c>
      <c r="O102">
        <v>2</v>
      </c>
      <c r="Q102">
        <v>2</v>
      </c>
      <c r="U102">
        <v>11</v>
      </c>
    </row>
    <row r="103" spans="1:21">
      <c r="A103" t="s">
        <v>5334</v>
      </c>
      <c r="B103">
        <v>2</v>
      </c>
      <c r="C103">
        <v>1635</v>
      </c>
      <c r="D103" t="e">
        <f>VLOOKUP(A103,#REF!,2,FALSE)</f>
        <v>#REF!</v>
      </c>
      <c r="E103" t="e">
        <f t="shared" si="3"/>
        <v>#REF!</v>
      </c>
      <c r="H103" t="s">
        <v>5403</v>
      </c>
      <c r="I103">
        <v>1</v>
      </c>
      <c r="K103">
        <v>1</v>
      </c>
      <c r="L103">
        <v>1</v>
      </c>
      <c r="M103">
        <v>1</v>
      </c>
      <c r="N103">
        <v>2</v>
      </c>
      <c r="O103">
        <v>3</v>
      </c>
      <c r="P103">
        <v>1</v>
      </c>
      <c r="Q103">
        <v>1</v>
      </c>
      <c r="U103">
        <v>11</v>
      </c>
    </row>
    <row r="104" spans="1:21">
      <c r="A104" t="s">
        <v>5327</v>
      </c>
      <c r="B104">
        <v>2</v>
      </c>
      <c r="C104">
        <v>1577</v>
      </c>
      <c r="D104" t="e">
        <f>VLOOKUP(A104,#REF!,2,FALSE)</f>
        <v>#REF!</v>
      </c>
      <c r="E104" t="e">
        <f t="shared" si="3"/>
        <v>#REF!</v>
      </c>
      <c r="H104" t="s">
        <v>5422</v>
      </c>
      <c r="R104">
        <v>3</v>
      </c>
      <c r="S104">
        <v>6</v>
      </c>
      <c r="T104">
        <v>1</v>
      </c>
      <c r="U104">
        <v>10</v>
      </c>
    </row>
    <row r="105" spans="1:21">
      <c r="A105" t="s">
        <v>5318</v>
      </c>
      <c r="B105">
        <v>2</v>
      </c>
      <c r="C105">
        <v>1567</v>
      </c>
      <c r="D105" t="e">
        <f>VLOOKUP(A105,#REF!,2,FALSE)</f>
        <v>#REF!</v>
      </c>
      <c r="E105" t="e">
        <f t="shared" si="3"/>
        <v>#REF!</v>
      </c>
      <c r="H105" t="s">
        <v>5410</v>
      </c>
      <c r="I105">
        <v>1</v>
      </c>
      <c r="J105">
        <v>2</v>
      </c>
      <c r="K105">
        <v>1</v>
      </c>
      <c r="M105">
        <v>2</v>
      </c>
      <c r="N105">
        <v>2</v>
      </c>
      <c r="O105">
        <v>2</v>
      </c>
      <c r="U105">
        <v>10</v>
      </c>
    </row>
    <row r="106" spans="1:21">
      <c r="A106" t="s">
        <v>5329</v>
      </c>
      <c r="B106">
        <v>2</v>
      </c>
      <c r="C106">
        <v>1543</v>
      </c>
      <c r="D106" t="e">
        <f>VLOOKUP(A106,#REF!,2,FALSE)</f>
        <v>#REF!</v>
      </c>
      <c r="E106" t="e">
        <f t="shared" si="3"/>
        <v>#REF!</v>
      </c>
      <c r="H106" t="s">
        <v>5426</v>
      </c>
      <c r="T106">
        <v>9</v>
      </c>
      <c r="U106">
        <v>9</v>
      </c>
    </row>
    <row r="107" spans="1:21">
      <c r="A107" t="s">
        <v>5319</v>
      </c>
      <c r="B107">
        <v>2</v>
      </c>
      <c r="C107">
        <v>1429</v>
      </c>
      <c r="D107" t="e">
        <f>VLOOKUP(A107,#REF!,2,FALSE)</f>
        <v>#REF!</v>
      </c>
      <c r="E107" t="e">
        <f t="shared" si="3"/>
        <v>#REF!</v>
      </c>
      <c r="H107" t="s">
        <v>5421</v>
      </c>
      <c r="P107">
        <v>1</v>
      </c>
      <c r="Q107">
        <v>2</v>
      </c>
      <c r="R107">
        <v>2</v>
      </c>
      <c r="S107">
        <v>2</v>
      </c>
      <c r="T107">
        <v>1</v>
      </c>
      <c r="U107">
        <v>8</v>
      </c>
    </row>
    <row r="108" spans="1:21">
      <c r="A108" t="s">
        <v>5322</v>
      </c>
      <c r="B108">
        <v>2</v>
      </c>
      <c r="C108">
        <v>1391</v>
      </c>
      <c r="D108" t="e">
        <f>VLOOKUP(A108,#REF!,2,FALSE)</f>
        <v>#REF!</v>
      </c>
      <c r="E108" t="e">
        <f t="shared" si="3"/>
        <v>#REF!</v>
      </c>
      <c r="H108" t="s">
        <v>5418</v>
      </c>
      <c r="O108">
        <v>1</v>
      </c>
      <c r="Q108">
        <v>1</v>
      </c>
      <c r="S108">
        <v>1</v>
      </c>
      <c r="T108">
        <v>3</v>
      </c>
      <c r="U108">
        <v>6</v>
      </c>
    </row>
    <row r="109" spans="1:21">
      <c r="A109" t="s">
        <v>5335</v>
      </c>
      <c r="B109">
        <v>2</v>
      </c>
      <c r="C109">
        <v>1013</v>
      </c>
      <c r="D109" t="e">
        <f>VLOOKUP(A109,#REF!,2,FALSE)</f>
        <v>#REF!</v>
      </c>
      <c r="E109" t="e">
        <f t="shared" si="3"/>
        <v>#REF!</v>
      </c>
      <c r="H109" t="s">
        <v>5409</v>
      </c>
      <c r="J109">
        <v>4</v>
      </c>
      <c r="T109">
        <v>2</v>
      </c>
      <c r="U109">
        <v>6</v>
      </c>
    </row>
    <row r="110" spans="1:21">
      <c r="A110" t="s">
        <v>5316</v>
      </c>
      <c r="B110">
        <v>2</v>
      </c>
      <c r="C110">
        <v>950</v>
      </c>
      <c r="D110" t="e">
        <f>VLOOKUP(A110,#REF!,2,FALSE)</f>
        <v>#REF!</v>
      </c>
      <c r="E110" t="e">
        <f t="shared" si="3"/>
        <v>#REF!</v>
      </c>
      <c r="H110" t="s">
        <v>5427</v>
      </c>
      <c r="I110">
        <v>1</v>
      </c>
      <c r="S110">
        <v>2</v>
      </c>
      <c r="T110">
        <v>1</v>
      </c>
      <c r="U110">
        <v>4</v>
      </c>
    </row>
    <row r="111" spans="1:21">
      <c r="A111" t="s">
        <v>5336</v>
      </c>
      <c r="B111">
        <v>2</v>
      </c>
      <c r="C111">
        <v>936</v>
      </c>
      <c r="D111" t="e">
        <f>VLOOKUP(A111,#REF!,2,FALSE)</f>
        <v>#REF!</v>
      </c>
      <c r="E111" t="e">
        <f t="shared" si="3"/>
        <v>#REF!</v>
      </c>
      <c r="H111" t="s">
        <v>5420</v>
      </c>
      <c r="P111">
        <v>1</v>
      </c>
      <c r="S111">
        <v>1</v>
      </c>
      <c r="T111">
        <v>1</v>
      </c>
      <c r="U111">
        <v>3</v>
      </c>
    </row>
    <row r="112" spans="1:21">
      <c r="A112" t="s">
        <v>5337</v>
      </c>
      <c r="B112">
        <v>2</v>
      </c>
      <c r="C112">
        <v>765</v>
      </c>
      <c r="D112" t="e">
        <f>VLOOKUP(A112,#REF!,2,FALSE)</f>
        <v>#REF!</v>
      </c>
      <c r="E112" t="e">
        <f t="shared" si="3"/>
        <v>#REF!</v>
      </c>
      <c r="H112" t="s">
        <v>5428</v>
      </c>
      <c r="R112">
        <v>3</v>
      </c>
      <c r="U112">
        <v>3</v>
      </c>
    </row>
    <row r="113" spans="1:21">
      <c r="A113" t="s">
        <v>5324</v>
      </c>
      <c r="B113">
        <v>2</v>
      </c>
      <c r="C113">
        <v>742</v>
      </c>
      <c r="D113" t="e">
        <f>VLOOKUP(A113,#REF!,2,FALSE)</f>
        <v>#REF!</v>
      </c>
      <c r="E113" t="e">
        <f t="shared" si="3"/>
        <v>#REF!</v>
      </c>
      <c r="H113" t="s">
        <v>5425</v>
      </c>
      <c r="R113">
        <v>2</v>
      </c>
      <c r="U113">
        <v>2</v>
      </c>
    </row>
    <row r="114" spans="1:21">
      <c r="A114" t="s">
        <v>5338</v>
      </c>
      <c r="B114">
        <v>2</v>
      </c>
      <c r="C114">
        <v>638</v>
      </c>
      <c r="D114" t="e">
        <f>VLOOKUP(A114,#REF!,2,FALSE)</f>
        <v>#REF!</v>
      </c>
      <c r="E114" t="e">
        <f t="shared" si="3"/>
        <v>#REF!</v>
      </c>
      <c r="H114" t="s">
        <v>5429</v>
      </c>
      <c r="T114">
        <v>1</v>
      </c>
      <c r="U114">
        <v>1</v>
      </c>
    </row>
    <row r="115" spans="1:21">
      <c r="A115" t="s">
        <v>5321</v>
      </c>
      <c r="B115">
        <v>1</v>
      </c>
      <c r="C115">
        <v>9974</v>
      </c>
      <c r="D115" t="e">
        <f>VLOOKUP(A115,#REF!,2,FALSE)</f>
        <v>#REF!</v>
      </c>
      <c r="E115" t="e">
        <f>C115/D115</f>
        <v>#REF!</v>
      </c>
      <c r="H115" s="12" t="s">
        <v>87</v>
      </c>
      <c r="I115" s="12">
        <v>63149</v>
      </c>
      <c r="J115" s="12">
        <v>57262</v>
      </c>
      <c r="K115" s="12">
        <v>63699</v>
      </c>
      <c r="L115" s="12">
        <v>73241</v>
      </c>
      <c r="M115" s="12">
        <v>77449</v>
      </c>
      <c r="N115" s="12">
        <v>94854</v>
      </c>
      <c r="O115" s="12">
        <v>89597</v>
      </c>
      <c r="P115" s="12">
        <v>62311</v>
      </c>
      <c r="Q115" s="12">
        <v>60600</v>
      </c>
      <c r="R115" s="12">
        <v>55847</v>
      </c>
      <c r="S115" s="12">
        <v>59313</v>
      </c>
      <c r="T115" s="12">
        <v>55609</v>
      </c>
      <c r="U115" s="12">
        <v>812931</v>
      </c>
    </row>
    <row r="116" spans="1:21">
      <c r="A116" t="s">
        <v>5342</v>
      </c>
      <c r="B116">
        <v>2</v>
      </c>
      <c r="C116">
        <v>478</v>
      </c>
      <c r="D116" t="e">
        <f>VLOOKUP(A116,#REF!,2,FALSE)</f>
        <v>#REF!</v>
      </c>
      <c r="E116" t="e">
        <f t="shared" si="3"/>
        <v>#REF!</v>
      </c>
    </row>
    <row r="117" spans="1:21">
      <c r="A117" t="s">
        <v>5341</v>
      </c>
      <c r="B117">
        <v>2</v>
      </c>
      <c r="C117">
        <v>428</v>
      </c>
      <c r="D117" t="e">
        <f>VLOOKUP(A117,#REF!,2,FALSE)</f>
        <v>#REF!</v>
      </c>
      <c r="E117" t="e">
        <f t="shared" si="3"/>
        <v>#REF!</v>
      </c>
    </row>
    <row r="118" spans="1:21">
      <c r="A118" t="s">
        <v>5357</v>
      </c>
      <c r="B118">
        <v>2</v>
      </c>
      <c r="C118">
        <v>398</v>
      </c>
      <c r="D118" t="e">
        <f>VLOOKUP(A118,#REF!,2,FALSE)</f>
        <v>#REF!</v>
      </c>
      <c r="E118" t="e">
        <f t="shared" si="3"/>
        <v>#REF!</v>
      </c>
    </row>
    <row r="119" spans="1:21">
      <c r="A119" t="s">
        <v>5345</v>
      </c>
      <c r="B119">
        <v>2</v>
      </c>
      <c r="C119">
        <v>386</v>
      </c>
      <c r="D119" t="e">
        <f>VLOOKUP(A119,#REF!,2,FALSE)</f>
        <v>#REF!</v>
      </c>
      <c r="E119" t="e">
        <f t="shared" si="3"/>
        <v>#REF!</v>
      </c>
    </row>
    <row r="120" spans="1:21">
      <c r="A120" t="s">
        <v>5347</v>
      </c>
      <c r="B120">
        <v>2</v>
      </c>
      <c r="C120">
        <v>361</v>
      </c>
      <c r="D120" t="e">
        <f>VLOOKUP(A120,#REF!,2,FALSE)</f>
        <v>#REF!</v>
      </c>
      <c r="E120" t="e">
        <f t="shared" si="3"/>
        <v>#REF!</v>
      </c>
    </row>
    <row r="121" spans="1:21">
      <c r="A121" t="s">
        <v>5343</v>
      </c>
      <c r="B121">
        <v>2</v>
      </c>
      <c r="C121">
        <v>342</v>
      </c>
      <c r="D121" t="e">
        <f>VLOOKUP(A121,#REF!,2,FALSE)</f>
        <v>#REF!</v>
      </c>
      <c r="E121" t="e">
        <f t="shared" si="3"/>
        <v>#REF!</v>
      </c>
    </row>
    <row r="122" spans="1:21">
      <c r="A122" t="s">
        <v>5340</v>
      </c>
      <c r="B122">
        <v>2</v>
      </c>
      <c r="C122">
        <v>324</v>
      </c>
      <c r="D122" t="e">
        <f>VLOOKUP(A122,#REF!,2,FALSE)</f>
        <v>#REF!</v>
      </c>
      <c r="E122" t="e">
        <f t="shared" si="3"/>
        <v>#REF!</v>
      </c>
    </row>
    <row r="123" spans="1:21">
      <c r="A123" t="s">
        <v>5346</v>
      </c>
      <c r="B123">
        <v>2</v>
      </c>
      <c r="C123">
        <v>324</v>
      </c>
      <c r="D123" t="e">
        <f>VLOOKUP(A123,#REF!,2,FALSE)</f>
        <v>#REF!</v>
      </c>
      <c r="E123" t="e">
        <f t="shared" si="3"/>
        <v>#REF!</v>
      </c>
    </row>
    <row r="124" spans="1:21">
      <c r="A124" t="s">
        <v>5339</v>
      </c>
      <c r="B124">
        <v>2</v>
      </c>
      <c r="C124">
        <v>319</v>
      </c>
      <c r="D124" t="e">
        <f>VLOOKUP(A124,#REF!,2,FALSE)</f>
        <v>#REF!</v>
      </c>
      <c r="E124" t="e">
        <f t="shared" si="3"/>
        <v>#REF!</v>
      </c>
    </row>
    <row r="125" spans="1:21">
      <c r="A125" t="s">
        <v>5349</v>
      </c>
      <c r="B125">
        <v>2</v>
      </c>
      <c r="C125">
        <v>302</v>
      </c>
      <c r="D125" t="e">
        <f>VLOOKUP(A125,#REF!,2,FALSE)</f>
        <v>#REF!</v>
      </c>
      <c r="E125" t="e">
        <f t="shared" si="3"/>
        <v>#REF!</v>
      </c>
    </row>
    <row r="126" spans="1:21">
      <c r="A126" t="s">
        <v>5355</v>
      </c>
      <c r="B126">
        <v>2</v>
      </c>
      <c r="C126">
        <v>235</v>
      </c>
      <c r="D126" t="e">
        <f>VLOOKUP(A126,#REF!,2,FALSE)</f>
        <v>#REF!</v>
      </c>
      <c r="E126" t="e">
        <f t="shared" si="3"/>
        <v>#REF!</v>
      </c>
    </row>
    <row r="127" spans="1:21">
      <c r="A127" t="s">
        <v>5353</v>
      </c>
      <c r="B127">
        <v>2</v>
      </c>
      <c r="C127">
        <v>220</v>
      </c>
      <c r="D127" t="e">
        <f>VLOOKUP(A127,#REF!,2,FALSE)</f>
        <v>#REF!</v>
      </c>
      <c r="E127" t="e">
        <f t="shared" si="3"/>
        <v>#REF!</v>
      </c>
    </row>
    <row r="128" spans="1:21">
      <c r="A128" t="s">
        <v>5356</v>
      </c>
      <c r="B128">
        <v>2</v>
      </c>
      <c r="C128">
        <v>211</v>
      </c>
      <c r="D128" t="e">
        <f>VLOOKUP(A128,#REF!,2,FALSE)</f>
        <v>#REF!</v>
      </c>
      <c r="E128" t="e">
        <f t="shared" si="3"/>
        <v>#REF!</v>
      </c>
    </row>
    <row r="129" spans="1:5">
      <c r="A129" t="s">
        <v>5348</v>
      </c>
      <c r="B129">
        <v>2</v>
      </c>
      <c r="C129">
        <v>202</v>
      </c>
      <c r="D129" t="e">
        <f>VLOOKUP(A129,#REF!,2,FALSE)</f>
        <v>#REF!</v>
      </c>
      <c r="E129" t="e">
        <f t="shared" si="3"/>
        <v>#REF!</v>
      </c>
    </row>
    <row r="130" spans="1:5">
      <c r="A130" t="s">
        <v>5351</v>
      </c>
      <c r="B130">
        <v>2</v>
      </c>
      <c r="C130">
        <v>184</v>
      </c>
      <c r="D130" t="e">
        <f>VLOOKUP(A130,#REF!,2,FALSE)</f>
        <v>#REF!</v>
      </c>
      <c r="E130" t="e">
        <f t="shared" si="3"/>
        <v>#REF!</v>
      </c>
    </row>
    <row r="131" spans="1:5">
      <c r="A131" t="s">
        <v>5352</v>
      </c>
      <c r="B131">
        <v>2</v>
      </c>
      <c r="C131">
        <v>183</v>
      </c>
      <c r="D131" t="e">
        <f>VLOOKUP(A131,#REF!,2,FALSE)</f>
        <v>#REF!</v>
      </c>
      <c r="E131" t="e">
        <f t="shared" ref="E131:E194" si="4">C131/D131</f>
        <v>#REF!</v>
      </c>
    </row>
    <row r="132" spans="1:5">
      <c r="A132" t="s">
        <v>5344</v>
      </c>
      <c r="B132">
        <v>2</v>
      </c>
      <c r="C132">
        <v>153</v>
      </c>
      <c r="D132" t="e">
        <f>VLOOKUP(A132,#REF!,2,FALSE)</f>
        <v>#REF!</v>
      </c>
      <c r="E132" t="e">
        <f t="shared" si="4"/>
        <v>#REF!</v>
      </c>
    </row>
    <row r="133" spans="1:5">
      <c r="A133" t="s">
        <v>5368</v>
      </c>
      <c r="B133">
        <v>2</v>
      </c>
      <c r="C133">
        <v>129</v>
      </c>
      <c r="D133" t="e">
        <f>VLOOKUP(A133,#REF!,2,FALSE)</f>
        <v>#REF!</v>
      </c>
      <c r="E133" t="e">
        <f t="shared" si="4"/>
        <v>#REF!</v>
      </c>
    </row>
    <row r="134" spans="1:5">
      <c r="A134" t="s">
        <v>5350</v>
      </c>
      <c r="B134">
        <v>2</v>
      </c>
      <c r="C134">
        <v>126</v>
      </c>
      <c r="D134" t="e">
        <f>VLOOKUP(A134,#REF!,2,FALSE)</f>
        <v>#REF!</v>
      </c>
      <c r="E134" t="e">
        <f t="shared" si="4"/>
        <v>#REF!</v>
      </c>
    </row>
    <row r="135" spans="1:5">
      <c r="A135" t="s">
        <v>5366</v>
      </c>
      <c r="B135">
        <v>2</v>
      </c>
      <c r="C135">
        <v>116</v>
      </c>
      <c r="D135" t="e">
        <f>VLOOKUP(A135,#REF!,2,FALSE)</f>
        <v>#REF!</v>
      </c>
      <c r="E135" t="e">
        <f t="shared" si="4"/>
        <v>#REF!</v>
      </c>
    </row>
    <row r="136" spans="1:5">
      <c r="A136" t="s">
        <v>5367</v>
      </c>
      <c r="B136">
        <v>2</v>
      </c>
      <c r="C136">
        <v>107</v>
      </c>
      <c r="D136" t="e">
        <f>VLOOKUP(A136,#REF!,2,FALSE)</f>
        <v>#REF!</v>
      </c>
      <c r="E136" t="e">
        <f t="shared" si="4"/>
        <v>#REF!</v>
      </c>
    </row>
    <row r="137" spans="1:5">
      <c r="A137" t="s">
        <v>5354</v>
      </c>
      <c r="B137">
        <v>2</v>
      </c>
      <c r="C137">
        <v>102</v>
      </c>
      <c r="D137" t="e">
        <f>VLOOKUP(A137,#REF!,2,FALSE)</f>
        <v>#REF!</v>
      </c>
      <c r="E137" t="e">
        <f t="shared" si="4"/>
        <v>#REF!</v>
      </c>
    </row>
    <row r="138" spans="1:5">
      <c r="A138" t="s">
        <v>5369</v>
      </c>
      <c r="B138">
        <v>2</v>
      </c>
      <c r="C138">
        <v>95</v>
      </c>
      <c r="D138" t="e">
        <f>VLOOKUP(A138,#REF!,2,FALSE)</f>
        <v>#REF!</v>
      </c>
      <c r="E138" t="e">
        <f t="shared" si="4"/>
        <v>#REF!</v>
      </c>
    </row>
    <row r="139" spans="1:5">
      <c r="A139" t="s">
        <v>5360</v>
      </c>
      <c r="B139">
        <v>2</v>
      </c>
      <c r="C139">
        <v>90</v>
      </c>
      <c r="D139" t="e">
        <f>VLOOKUP(A139,#REF!,2,FALSE)</f>
        <v>#REF!</v>
      </c>
      <c r="E139" t="e">
        <f t="shared" si="4"/>
        <v>#REF!</v>
      </c>
    </row>
    <row r="140" spans="1:5">
      <c r="A140" t="s">
        <v>5359</v>
      </c>
      <c r="B140">
        <v>2</v>
      </c>
      <c r="C140">
        <v>87</v>
      </c>
      <c r="D140" t="e">
        <f>VLOOKUP(A140,#REF!,2,FALSE)</f>
        <v>#REF!</v>
      </c>
      <c r="E140" t="e">
        <f t="shared" si="4"/>
        <v>#REF!</v>
      </c>
    </row>
    <row r="141" spans="1:5">
      <c r="A141" t="s">
        <v>5365</v>
      </c>
      <c r="B141">
        <v>2</v>
      </c>
      <c r="C141">
        <v>80</v>
      </c>
      <c r="D141" t="e">
        <f>VLOOKUP(A141,#REF!,2,FALSE)</f>
        <v>#REF!</v>
      </c>
      <c r="E141" t="e">
        <f t="shared" si="4"/>
        <v>#REF!</v>
      </c>
    </row>
    <row r="142" spans="1:5">
      <c r="A142" t="s">
        <v>5362</v>
      </c>
      <c r="B142">
        <v>2</v>
      </c>
      <c r="C142">
        <v>79</v>
      </c>
      <c r="D142" t="e">
        <f>VLOOKUP(A142,#REF!,2,FALSE)</f>
        <v>#REF!</v>
      </c>
      <c r="E142" t="e">
        <f t="shared" si="4"/>
        <v>#REF!</v>
      </c>
    </row>
    <row r="143" spans="1:5">
      <c r="A143" t="s">
        <v>5378</v>
      </c>
      <c r="B143">
        <v>2</v>
      </c>
      <c r="C143">
        <v>69</v>
      </c>
      <c r="D143" t="e">
        <f>VLOOKUP(A143,#REF!,2,FALSE)</f>
        <v>#REF!</v>
      </c>
      <c r="E143" t="e">
        <f t="shared" si="4"/>
        <v>#REF!</v>
      </c>
    </row>
    <row r="144" spans="1:5">
      <c r="A144" t="s">
        <v>5363</v>
      </c>
      <c r="B144">
        <v>2</v>
      </c>
      <c r="C144">
        <v>67</v>
      </c>
      <c r="D144" t="e">
        <f>VLOOKUP(A144,#REF!,2,FALSE)</f>
        <v>#REF!</v>
      </c>
      <c r="E144" t="e">
        <f t="shared" si="4"/>
        <v>#REF!</v>
      </c>
    </row>
    <row r="145" spans="1:5">
      <c r="A145" t="s">
        <v>5377</v>
      </c>
      <c r="B145">
        <v>2</v>
      </c>
      <c r="C145">
        <v>64</v>
      </c>
      <c r="D145" t="e">
        <f>VLOOKUP(A145,#REF!,2,FALSE)</f>
        <v>#REF!</v>
      </c>
      <c r="E145" t="e">
        <f t="shared" si="4"/>
        <v>#REF!</v>
      </c>
    </row>
    <row r="146" spans="1:5">
      <c r="A146" t="s">
        <v>5373</v>
      </c>
      <c r="B146">
        <v>2</v>
      </c>
      <c r="C146">
        <v>60</v>
      </c>
      <c r="D146" t="e">
        <f>VLOOKUP(A146,#REF!,2,FALSE)</f>
        <v>#REF!</v>
      </c>
      <c r="E146" t="e">
        <f t="shared" si="4"/>
        <v>#REF!</v>
      </c>
    </row>
    <row r="147" spans="1:5">
      <c r="A147" t="s">
        <v>5298</v>
      </c>
      <c r="B147">
        <v>2</v>
      </c>
      <c r="C147">
        <v>53</v>
      </c>
      <c r="D147" t="e">
        <f>VLOOKUP(A147,#REF!,2,FALSE)</f>
        <v>#REF!</v>
      </c>
      <c r="E147" t="e">
        <f t="shared" si="4"/>
        <v>#REF!</v>
      </c>
    </row>
    <row r="148" spans="1:5">
      <c r="A148" t="s">
        <v>5372</v>
      </c>
      <c r="B148">
        <v>2</v>
      </c>
      <c r="C148">
        <v>52</v>
      </c>
      <c r="D148" t="e">
        <f>VLOOKUP(A148,#REF!,2,FALSE)</f>
        <v>#REF!</v>
      </c>
      <c r="E148" t="e">
        <f t="shared" si="4"/>
        <v>#REF!</v>
      </c>
    </row>
    <row r="149" spans="1:5">
      <c r="A149" t="s">
        <v>5361</v>
      </c>
      <c r="B149">
        <v>2</v>
      </c>
      <c r="C149">
        <v>50</v>
      </c>
      <c r="D149" t="e">
        <f>VLOOKUP(A149,#REF!,2,FALSE)</f>
        <v>#REF!</v>
      </c>
      <c r="E149" t="e">
        <f t="shared" si="4"/>
        <v>#REF!</v>
      </c>
    </row>
    <row r="150" spans="1:5">
      <c r="A150" t="s">
        <v>5384</v>
      </c>
      <c r="B150">
        <v>2</v>
      </c>
      <c r="C150">
        <v>45</v>
      </c>
      <c r="D150" t="e">
        <f>VLOOKUP(A150,#REF!,2,FALSE)</f>
        <v>#REF!</v>
      </c>
      <c r="E150" t="e">
        <f t="shared" si="4"/>
        <v>#REF!</v>
      </c>
    </row>
    <row r="151" spans="1:5">
      <c r="A151" t="s">
        <v>5374</v>
      </c>
      <c r="B151">
        <v>2</v>
      </c>
      <c r="C151">
        <v>36</v>
      </c>
      <c r="D151" t="e">
        <f>VLOOKUP(A151,#REF!,2,FALSE)</f>
        <v>#REF!</v>
      </c>
      <c r="E151" t="e">
        <f t="shared" si="4"/>
        <v>#REF!</v>
      </c>
    </row>
    <row r="152" spans="1:5">
      <c r="A152" t="s">
        <v>5375</v>
      </c>
      <c r="B152">
        <v>2</v>
      </c>
      <c r="C152">
        <v>36</v>
      </c>
      <c r="D152" t="e">
        <f>VLOOKUP(A152,#REF!,2,FALSE)</f>
        <v>#REF!</v>
      </c>
      <c r="E152" t="e">
        <f t="shared" si="4"/>
        <v>#REF!</v>
      </c>
    </row>
    <row r="153" spans="1:5">
      <c r="A153" t="s">
        <v>5380</v>
      </c>
      <c r="B153">
        <v>2</v>
      </c>
      <c r="C153">
        <v>35</v>
      </c>
      <c r="D153" t="e">
        <f>VLOOKUP(A153,#REF!,2,FALSE)</f>
        <v>#REF!</v>
      </c>
      <c r="E153" t="e">
        <f t="shared" si="4"/>
        <v>#REF!</v>
      </c>
    </row>
    <row r="154" spans="1:5">
      <c r="A154" t="s">
        <v>5358</v>
      </c>
      <c r="B154">
        <v>2</v>
      </c>
      <c r="C154">
        <v>33</v>
      </c>
      <c r="D154" t="e">
        <f>VLOOKUP(A154,#REF!,2,FALSE)</f>
        <v>#REF!</v>
      </c>
      <c r="E154" t="e">
        <f t="shared" si="4"/>
        <v>#REF!</v>
      </c>
    </row>
    <row r="155" spans="1:5">
      <c r="A155" t="s">
        <v>5364</v>
      </c>
      <c r="B155">
        <v>2</v>
      </c>
      <c r="C155">
        <v>31</v>
      </c>
      <c r="D155" t="e">
        <f>VLOOKUP(A155,#REF!,2,FALSE)</f>
        <v>#REF!</v>
      </c>
      <c r="E155" t="e">
        <f t="shared" si="4"/>
        <v>#REF!</v>
      </c>
    </row>
    <row r="156" spans="1:5">
      <c r="A156" t="s">
        <v>5389</v>
      </c>
      <c r="B156">
        <v>2</v>
      </c>
      <c r="C156">
        <v>30</v>
      </c>
      <c r="D156" t="e">
        <f>VLOOKUP(A156,#REF!,2,FALSE)</f>
        <v>#REF!</v>
      </c>
      <c r="E156" t="e">
        <f t="shared" si="4"/>
        <v>#REF!</v>
      </c>
    </row>
    <row r="157" spans="1:5">
      <c r="A157" t="s">
        <v>5379</v>
      </c>
      <c r="B157">
        <v>2</v>
      </c>
      <c r="C157">
        <v>29</v>
      </c>
      <c r="D157" t="e">
        <f>VLOOKUP(A157,#REF!,2,FALSE)</f>
        <v>#REF!</v>
      </c>
      <c r="E157" t="e">
        <f t="shared" si="4"/>
        <v>#REF!</v>
      </c>
    </row>
    <row r="158" spans="1:5">
      <c r="A158" t="s">
        <v>5392</v>
      </c>
      <c r="B158">
        <v>2</v>
      </c>
      <c r="C158">
        <v>28</v>
      </c>
      <c r="D158" t="e">
        <f>VLOOKUP(A158,#REF!,2,FALSE)</f>
        <v>#REF!</v>
      </c>
      <c r="E158" t="e">
        <f t="shared" si="4"/>
        <v>#REF!</v>
      </c>
    </row>
    <row r="159" spans="1:5">
      <c r="A159" t="s">
        <v>5371</v>
      </c>
      <c r="B159">
        <v>2</v>
      </c>
      <c r="C159">
        <v>22</v>
      </c>
      <c r="D159" t="e">
        <f>VLOOKUP(A159,#REF!,2,FALSE)</f>
        <v>#REF!</v>
      </c>
      <c r="E159" t="e">
        <f t="shared" si="4"/>
        <v>#REF!</v>
      </c>
    </row>
    <row r="160" spans="1:5">
      <c r="A160" t="s">
        <v>5391</v>
      </c>
      <c r="B160">
        <v>2</v>
      </c>
      <c r="C160">
        <v>21</v>
      </c>
      <c r="D160" t="e">
        <f>VLOOKUP(A160,#REF!,2,FALSE)</f>
        <v>#REF!</v>
      </c>
      <c r="E160" t="e">
        <f t="shared" si="4"/>
        <v>#REF!</v>
      </c>
    </row>
    <row r="161" spans="1:5">
      <c r="A161" t="s">
        <v>5393</v>
      </c>
      <c r="B161">
        <v>2</v>
      </c>
      <c r="C161">
        <v>19</v>
      </c>
      <c r="D161" t="e">
        <f>VLOOKUP(A161,#REF!,2,FALSE)</f>
        <v>#REF!</v>
      </c>
      <c r="E161" t="e">
        <f t="shared" si="4"/>
        <v>#REF!</v>
      </c>
    </row>
    <row r="162" spans="1:5">
      <c r="A162" t="s">
        <v>5383</v>
      </c>
      <c r="B162">
        <v>2</v>
      </c>
      <c r="C162">
        <v>18</v>
      </c>
      <c r="D162" t="e">
        <f>VLOOKUP(A162,#REF!,2,FALSE)</f>
        <v>#REF!</v>
      </c>
      <c r="E162" t="e">
        <f t="shared" si="4"/>
        <v>#REF!</v>
      </c>
    </row>
    <row r="163" spans="1:5">
      <c r="A163" t="s">
        <v>5376</v>
      </c>
      <c r="B163">
        <v>2</v>
      </c>
      <c r="C163">
        <v>18</v>
      </c>
      <c r="D163" t="e">
        <f>VLOOKUP(A163,#REF!,2,FALSE)</f>
        <v>#REF!</v>
      </c>
      <c r="E163" t="e">
        <f t="shared" si="4"/>
        <v>#REF!</v>
      </c>
    </row>
    <row r="164" spans="1:5">
      <c r="A164" t="s">
        <v>5386</v>
      </c>
      <c r="B164">
        <v>2</v>
      </c>
      <c r="C164">
        <v>18</v>
      </c>
      <c r="D164" t="e">
        <f>VLOOKUP(A164,#REF!,2,FALSE)</f>
        <v>#REF!</v>
      </c>
      <c r="E164" t="e">
        <f t="shared" si="4"/>
        <v>#REF!</v>
      </c>
    </row>
    <row r="165" spans="1:5">
      <c r="A165" t="s">
        <v>5390</v>
      </c>
      <c r="B165">
        <v>2</v>
      </c>
      <c r="C165">
        <v>17</v>
      </c>
      <c r="D165" t="e">
        <f>VLOOKUP(A165,#REF!,2,FALSE)</f>
        <v>#REF!</v>
      </c>
      <c r="E165" t="e">
        <f t="shared" si="4"/>
        <v>#REF!</v>
      </c>
    </row>
    <row r="166" spans="1:5">
      <c r="A166" t="s">
        <v>5396</v>
      </c>
      <c r="B166">
        <v>2</v>
      </c>
      <c r="C166">
        <v>17</v>
      </c>
      <c r="D166" t="e">
        <f>VLOOKUP(A166,#REF!,2,FALSE)</f>
        <v>#REF!</v>
      </c>
      <c r="E166" t="e">
        <f t="shared" si="4"/>
        <v>#REF!</v>
      </c>
    </row>
    <row r="167" spans="1:5">
      <c r="A167" t="s">
        <v>5404</v>
      </c>
      <c r="B167">
        <v>2</v>
      </c>
      <c r="C167">
        <v>15</v>
      </c>
      <c r="D167" t="e">
        <f>VLOOKUP(A167,#REF!,2,FALSE)</f>
        <v>#REF!</v>
      </c>
      <c r="E167" t="e">
        <f t="shared" si="4"/>
        <v>#REF!</v>
      </c>
    </row>
    <row r="168" spans="1:5">
      <c r="A168" t="s">
        <v>5399</v>
      </c>
      <c r="B168">
        <v>2</v>
      </c>
      <c r="C168">
        <v>15</v>
      </c>
      <c r="D168" t="e">
        <f>VLOOKUP(A168,#REF!,2,FALSE)</f>
        <v>#REF!</v>
      </c>
      <c r="E168" t="e">
        <f t="shared" si="4"/>
        <v>#REF!</v>
      </c>
    </row>
    <row r="169" spans="1:5">
      <c r="A169" t="s">
        <v>5387</v>
      </c>
      <c r="B169">
        <v>2</v>
      </c>
      <c r="C169">
        <v>14</v>
      </c>
      <c r="D169" t="e">
        <f>VLOOKUP(A169,#REF!,2,FALSE)</f>
        <v>#REF!</v>
      </c>
      <c r="E169" t="e">
        <f t="shared" si="4"/>
        <v>#REF!</v>
      </c>
    </row>
    <row r="170" spans="1:5">
      <c r="A170" t="s">
        <v>5381</v>
      </c>
      <c r="B170">
        <v>2</v>
      </c>
      <c r="C170">
        <v>12</v>
      </c>
      <c r="D170" t="e">
        <f>VLOOKUP(A170,#REF!,2,FALSE)</f>
        <v>#REF!</v>
      </c>
      <c r="E170" t="e">
        <f t="shared" si="4"/>
        <v>#REF!</v>
      </c>
    </row>
    <row r="171" spans="1:5">
      <c r="A171" t="s">
        <v>5388</v>
      </c>
      <c r="B171">
        <v>2</v>
      </c>
      <c r="C171">
        <v>12</v>
      </c>
      <c r="D171" t="e">
        <f>VLOOKUP(A171,#REF!,2,FALSE)</f>
        <v>#REF!</v>
      </c>
      <c r="E171" t="e">
        <f t="shared" si="4"/>
        <v>#REF!</v>
      </c>
    </row>
    <row r="172" spans="1:5">
      <c r="A172" t="s">
        <v>5382</v>
      </c>
      <c r="B172">
        <v>2</v>
      </c>
      <c r="C172">
        <v>11</v>
      </c>
      <c r="D172" t="e">
        <f>VLOOKUP(A172,#REF!,2,FALSE)</f>
        <v>#REF!</v>
      </c>
      <c r="E172" t="e">
        <f t="shared" si="4"/>
        <v>#REF!</v>
      </c>
    </row>
    <row r="173" spans="1:5">
      <c r="A173" t="s">
        <v>5385</v>
      </c>
      <c r="B173">
        <v>2</v>
      </c>
      <c r="C173">
        <v>8</v>
      </c>
      <c r="D173" t="e">
        <f>VLOOKUP(A173,#REF!,2,FALSE)</f>
        <v>#REF!</v>
      </c>
      <c r="E173" t="e">
        <f t="shared" si="4"/>
        <v>#REF!</v>
      </c>
    </row>
    <row r="174" spans="1:5">
      <c r="A174" t="s">
        <v>5370</v>
      </c>
      <c r="B174">
        <v>2</v>
      </c>
      <c r="C174">
        <v>8</v>
      </c>
      <c r="D174" t="e">
        <f>VLOOKUP(A174,#REF!,2,FALSE)</f>
        <v>#REF!</v>
      </c>
      <c r="E174" t="e">
        <f t="shared" si="4"/>
        <v>#REF!</v>
      </c>
    </row>
    <row r="175" spans="1:5">
      <c r="A175" t="s">
        <v>5395</v>
      </c>
      <c r="B175">
        <v>2</v>
      </c>
      <c r="C175">
        <v>7</v>
      </c>
      <c r="D175" t="e">
        <f>VLOOKUP(A175,#REF!,2,FALSE)</f>
        <v>#REF!</v>
      </c>
      <c r="E175" t="e">
        <f t="shared" si="4"/>
        <v>#REF!</v>
      </c>
    </row>
    <row r="176" spans="1:5">
      <c r="A176" t="s">
        <v>5397</v>
      </c>
      <c r="B176">
        <v>2</v>
      </c>
      <c r="C176">
        <v>6</v>
      </c>
      <c r="D176" t="e">
        <f>VLOOKUP(A176,#REF!,2,FALSE)</f>
        <v>#REF!</v>
      </c>
      <c r="E176" t="e">
        <f t="shared" si="4"/>
        <v>#REF!</v>
      </c>
    </row>
    <row r="177" spans="1:5">
      <c r="A177" t="s">
        <v>5394</v>
      </c>
      <c r="B177">
        <v>2</v>
      </c>
      <c r="C177">
        <v>5</v>
      </c>
      <c r="D177" t="e">
        <f>VLOOKUP(A177,#REF!,2,FALSE)</f>
        <v>#REF!</v>
      </c>
      <c r="E177" t="e">
        <f t="shared" si="4"/>
        <v>#REF!</v>
      </c>
    </row>
    <row r="178" spans="1:5">
      <c r="A178" t="s">
        <v>5401</v>
      </c>
      <c r="B178">
        <v>2</v>
      </c>
      <c r="C178">
        <v>5</v>
      </c>
      <c r="D178" t="e">
        <f>VLOOKUP(A178,#REF!,2,FALSE)</f>
        <v>#REF!</v>
      </c>
      <c r="E178" t="e">
        <f t="shared" si="4"/>
        <v>#REF!</v>
      </c>
    </row>
    <row r="179" spans="1:5">
      <c r="A179" t="s">
        <v>5402</v>
      </c>
      <c r="B179">
        <v>2</v>
      </c>
      <c r="C179">
        <v>5</v>
      </c>
      <c r="D179" t="e">
        <f>VLOOKUP(A179,#REF!,2,FALSE)</f>
        <v>#REF!</v>
      </c>
      <c r="E179" t="e">
        <f t="shared" si="4"/>
        <v>#REF!</v>
      </c>
    </row>
    <row r="180" spans="1:5">
      <c r="A180" t="s">
        <v>5398</v>
      </c>
      <c r="B180">
        <v>2</v>
      </c>
      <c r="C180">
        <v>5</v>
      </c>
      <c r="D180" t="e">
        <f>VLOOKUP(A180,#REF!,2,FALSE)</f>
        <v>#REF!</v>
      </c>
      <c r="E180" t="e">
        <f t="shared" si="4"/>
        <v>#REF!</v>
      </c>
    </row>
    <row r="181" spans="1:5">
      <c r="A181" t="s">
        <v>5413</v>
      </c>
      <c r="B181">
        <v>2</v>
      </c>
      <c r="C181">
        <v>5</v>
      </c>
      <c r="D181" t="e">
        <f>VLOOKUP(A181,#REF!,2,FALSE)</f>
        <v>#REF!</v>
      </c>
      <c r="E181" t="e">
        <f t="shared" si="4"/>
        <v>#REF!</v>
      </c>
    </row>
    <row r="182" spans="1:5">
      <c r="A182" t="s">
        <v>5406</v>
      </c>
      <c r="B182">
        <v>2</v>
      </c>
      <c r="C182">
        <v>4</v>
      </c>
      <c r="D182" t="e">
        <f>VLOOKUP(A182,#REF!,2,FALSE)</f>
        <v>#REF!</v>
      </c>
      <c r="E182" t="e">
        <f t="shared" si="4"/>
        <v>#REF!</v>
      </c>
    </row>
    <row r="183" spans="1:5">
      <c r="A183" t="s">
        <v>5405</v>
      </c>
      <c r="B183">
        <v>2</v>
      </c>
      <c r="C183">
        <v>4</v>
      </c>
      <c r="D183" t="e">
        <f>VLOOKUP(A183,#REF!,2,FALSE)</f>
        <v>#REF!</v>
      </c>
      <c r="E183" t="e">
        <f t="shared" si="4"/>
        <v>#REF!</v>
      </c>
    </row>
    <row r="184" spans="1:5">
      <c r="A184" t="s">
        <v>5409</v>
      </c>
      <c r="B184">
        <v>2</v>
      </c>
      <c r="C184">
        <v>4</v>
      </c>
      <c r="D184" t="e">
        <f>VLOOKUP(A184,#REF!,2,FALSE)</f>
        <v>#REF!</v>
      </c>
      <c r="E184" t="e">
        <f t="shared" si="4"/>
        <v>#REF!</v>
      </c>
    </row>
    <row r="185" spans="1:5">
      <c r="A185" t="s">
        <v>5407</v>
      </c>
      <c r="B185">
        <v>2</v>
      </c>
      <c r="C185">
        <v>3</v>
      </c>
      <c r="D185" t="e">
        <f>VLOOKUP(A185,#REF!,2,FALSE)</f>
        <v>#REF!</v>
      </c>
      <c r="E185" t="e">
        <f t="shared" si="4"/>
        <v>#REF!</v>
      </c>
    </row>
    <row r="186" spans="1:5">
      <c r="A186" t="s">
        <v>5400</v>
      </c>
      <c r="B186">
        <v>2</v>
      </c>
      <c r="C186">
        <v>3</v>
      </c>
      <c r="D186" t="e">
        <f>VLOOKUP(A186,#REF!,2,FALSE)</f>
        <v>#REF!</v>
      </c>
      <c r="E186" t="e">
        <f t="shared" si="4"/>
        <v>#REF!</v>
      </c>
    </row>
    <row r="187" spans="1:5">
      <c r="A187" t="s">
        <v>5408</v>
      </c>
      <c r="B187">
        <v>2</v>
      </c>
      <c r="C187">
        <v>3</v>
      </c>
      <c r="D187" t="e">
        <f>VLOOKUP(A187,#REF!,2,FALSE)</f>
        <v>#REF!</v>
      </c>
      <c r="E187" t="e">
        <f t="shared" si="4"/>
        <v>#REF!</v>
      </c>
    </row>
    <row r="188" spans="1:5">
      <c r="A188" t="s">
        <v>5411</v>
      </c>
      <c r="B188">
        <v>2</v>
      </c>
      <c r="C188">
        <v>2</v>
      </c>
      <c r="D188" t="e">
        <f>VLOOKUP(A188,#REF!,2,FALSE)</f>
        <v>#REF!</v>
      </c>
      <c r="E188" t="e">
        <f t="shared" si="4"/>
        <v>#REF!</v>
      </c>
    </row>
    <row r="189" spans="1:5">
      <c r="A189" t="s">
        <v>5423</v>
      </c>
      <c r="B189">
        <v>2</v>
      </c>
      <c r="C189">
        <v>2</v>
      </c>
      <c r="D189" t="e">
        <f>VLOOKUP(A189,#REF!,2,FALSE)</f>
        <v>#REF!</v>
      </c>
      <c r="E189" t="e">
        <f t="shared" si="4"/>
        <v>#REF!</v>
      </c>
    </row>
    <row r="190" spans="1:5">
      <c r="A190" t="s">
        <v>5410</v>
      </c>
      <c r="B190">
        <v>2</v>
      </c>
      <c r="C190">
        <v>2</v>
      </c>
      <c r="D190" t="e">
        <f>VLOOKUP(A190,#REF!,2,FALSE)</f>
        <v>#REF!</v>
      </c>
      <c r="E190" t="e">
        <f t="shared" si="4"/>
        <v>#REF!</v>
      </c>
    </row>
    <row r="191" spans="1:5">
      <c r="A191" t="s">
        <v>5321</v>
      </c>
      <c r="B191">
        <v>3</v>
      </c>
      <c r="C191">
        <v>10154</v>
      </c>
      <c r="D191" t="e">
        <f>VLOOKUP(A191,#REF!,2,FALSE)</f>
        <v>#REF!</v>
      </c>
      <c r="E191" t="e">
        <f t="shared" si="4"/>
        <v>#REF!</v>
      </c>
    </row>
    <row r="192" spans="1:5">
      <c r="A192" t="s">
        <v>1408</v>
      </c>
      <c r="B192">
        <v>3</v>
      </c>
      <c r="C192">
        <v>5732</v>
      </c>
      <c r="D192" t="e">
        <f>VLOOKUP(A192,#REF!,2,FALSE)</f>
        <v>#REF!</v>
      </c>
      <c r="E192" t="e">
        <f t="shared" si="4"/>
        <v>#REF!</v>
      </c>
    </row>
    <row r="193" spans="1:5">
      <c r="A193" t="s">
        <v>5326</v>
      </c>
      <c r="B193">
        <v>3</v>
      </c>
      <c r="C193">
        <v>5287</v>
      </c>
      <c r="D193" t="e">
        <f>VLOOKUP(A193,#REF!,2,FALSE)</f>
        <v>#REF!</v>
      </c>
      <c r="E193" t="e">
        <f t="shared" si="4"/>
        <v>#REF!</v>
      </c>
    </row>
    <row r="194" spans="1:5">
      <c r="A194" t="s">
        <v>5320</v>
      </c>
      <c r="B194">
        <v>3</v>
      </c>
      <c r="C194">
        <v>4521</v>
      </c>
      <c r="D194" t="e">
        <f>VLOOKUP(A194,#REF!,2,FALSE)</f>
        <v>#REF!</v>
      </c>
      <c r="E194" t="e">
        <f t="shared" si="4"/>
        <v>#REF!</v>
      </c>
    </row>
    <row r="195" spans="1:5">
      <c r="A195" t="s">
        <v>5328</v>
      </c>
      <c r="B195">
        <v>3</v>
      </c>
      <c r="C195">
        <v>4046</v>
      </c>
      <c r="D195" t="e">
        <f>VLOOKUP(A195,#REF!,2,FALSE)</f>
        <v>#REF!</v>
      </c>
      <c r="E195" t="e">
        <f t="shared" ref="E195:E258" si="5">C195/D195</f>
        <v>#REF!</v>
      </c>
    </row>
    <row r="196" spans="1:5">
      <c r="A196" t="s">
        <v>5317</v>
      </c>
      <c r="B196">
        <v>3</v>
      </c>
      <c r="C196">
        <v>3562</v>
      </c>
      <c r="D196" t="e">
        <f>VLOOKUP(A196,#REF!,2,FALSE)</f>
        <v>#REF!</v>
      </c>
      <c r="E196" t="e">
        <f t="shared" si="5"/>
        <v>#REF!</v>
      </c>
    </row>
    <row r="197" spans="1:5">
      <c r="A197" t="s">
        <v>5327</v>
      </c>
      <c r="B197">
        <v>3</v>
      </c>
      <c r="C197">
        <v>2380</v>
      </c>
      <c r="D197" t="e">
        <f>VLOOKUP(A197,#REF!,2,FALSE)</f>
        <v>#REF!</v>
      </c>
      <c r="E197" t="e">
        <f t="shared" si="5"/>
        <v>#REF!</v>
      </c>
    </row>
    <row r="198" spans="1:5">
      <c r="A198" t="s">
        <v>5323</v>
      </c>
      <c r="B198">
        <v>3</v>
      </c>
      <c r="C198">
        <v>2335</v>
      </c>
      <c r="D198" t="e">
        <f>VLOOKUP(A198,#REF!,2,FALSE)</f>
        <v>#REF!</v>
      </c>
      <c r="E198" t="e">
        <f t="shared" si="5"/>
        <v>#REF!</v>
      </c>
    </row>
    <row r="199" spans="1:5">
      <c r="A199" t="s">
        <v>5329</v>
      </c>
      <c r="B199">
        <v>3</v>
      </c>
      <c r="C199">
        <v>2325</v>
      </c>
      <c r="D199" t="e">
        <f>VLOOKUP(A199,#REF!,2,FALSE)</f>
        <v>#REF!</v>
      </c>
      <c r="E199" t="e">
        <f t="shared" si="5"/>
        <v>#REF!</v>
      </c>
    </row>
    <row r="200" spans="1:5">
      <c r="A200" t="s">
        <v>5325</v>
      </c>
      <c r="B200">
        <v>3</v>
      </c>
      <c r="C200">
        <v>2283</v>
      </c>
      <c r="D200" t="e">
        <f>VLOOKUP(A200,#REF!,2,FALSE)</f>
        <v>#REF!</v>
      </c>
      <c r="E200" t="e">
        <f t="shared" si="5"/>
        <v>#REF!</v>
      </c>
    </row>
    <row r="201" spans="1:5">
      <c r="A201" t="s">
        <v>5333</v>
      </c>
      <c r="B201">
        <v>3</v>
      </c>
      <c r="C201">
        <v>2018</v>
      </c>
      <c r="D201" t="e">
        <f>VLOOKUP(A201,#REF!,2,FALSE)</f>
        <v>#REF!</v>
      </c>
      <c r="E201" t="e">
        <f t="shared" si="5"/>
        <v>#REF!</v>
      </c>
    </row>
    <row r="202" spans="1:5">
      <c r="A202" t="s">
        <v>5318</v>
      </c>
      <c r="B202">
        <v>3</v>
      </c>
      <c r="C202">
        <v>1824</v>
      </c>
      <c r="D202" t="e">
        <f>VLOOKUP(A202,#REF!,2,FALSE)</f>
        <v>#REF!</v>
      </c>
      <c r="E202" t="e">
        <f t="shared" si="5"/>
        <v>#REF!</v>
      </c>
    </row>
    <row r="203" spans="1:5">
      <c r="A203" t="s">
        <v>5319</v>
      </c>
      <c r="B203">
        <v>3</v>
      </c>
      <c r="C203">
        <v>1614</v>
      </c>
      <c r="D203" t="e">
        <f>VLOOKUP(A203,#REF!,2,FALSE)</f>
        <v>#REF!</v>
      </c>
      <c r="E203" t="e">
        <f t="shared" si="5"/>
        <v>#REF!</v>
      </c>
    </row>
    <row r="204" spans="1:5">
      <c r="A204" t="s">
        <v>5334</v>
      </c>
      <c r="B204">
        <v>3</v>
      </c>
      <c r="C204">
        <v>1474</v>
      </c>
      <c r="D204" t="e">
        <f>VLOOKUP(A204,#REF!,2,FALSE)</f>
        <v>#REF!</v>
      </c>
      <c r="E204" t="e">
        <f t="shared" si="5"/>
        <v>#REF!</v>
      </c>
    </row>
    <row r="205" spans="1:5">
      <c r="A205" t="s">
        <v>5322</v>
      </c>
      <c r="B205">
        <v>3</v>
      </c>
      <c r="C205">
        <v>1373</v>
      </c>
      <c r="D205" t="e">
        <f>VLOOKUP(A205,#REF!,2,FALSE)</f>
        <v>#REF!</v>
      </c>
      <c r="E205" t="e">
        <f t="shared" si="5"/>
        <v>#REF!</v>
      </c>
    </row>
    <row r="206" spans="1:5">
      <c r="A206" t="s">
        <v>5324</v>
      </c>
      <c r="B206">
        <v>3</v>
      </c>
      <c r="C206">
        <v>1243</v>
      </c>
      <c r="D206" t="e">
        <f>VLOOKUP(A206,#REF!,2,FALSE)</f>
        <v>#REF!</v>
      </c>
      <c r="E206" t="e">
        <f t="shared" si="5"/>
        <v>#REF!</v>
      </c>
    </row>
    <row r="207" spans="1:5">
      <c r="A207" t="s">
        <v>5316</v>
      </c>
      <c r="B207">
        <v>3</v>
      </c>
      <c r="C207">
        <v>1136</v>
      </c>
      <c r="D207" t="e">
        <f>VLOOKUP(A207,#REF!,2,FALSE)</f>
        <v>#REF!</v>
      </c>
      <c r="E207" t="e">
        <f t="shared" si="5"/>
        <v>#REF!</v>
      </c>
    </row>
    <row r="208" spans="1:5">
      <c r="A208" t="s">
        <v>5338</v>
      </c>
      <c r="B208">
        <v>3</v>
      </c>
      <c r="C208">
        <v>875</v>
      </c>
      <c r="D208" t="e">
        <f>VLOOKUP(A208,#REF!,2,FALSE)</f>
        <v>#REF!</v>
      </c>
      <c r="E208" t="e">
        <f t="shared" si="5"/>
        <v>#REF!</v>
      </c>
    </row>
    <row r="209" spans="1:5">
      <c r="A209" t="s">
        <v>5336</v>
      </c>
      <c r="B209">
        <v>3</v>
      </c>
      <c r="C209">
        <v>846</v>
      </c>
      <c r="D209" t="e">
        <f>VLOOKUP(A209,#REF!,2,FALSE)</f>
        <v>#REF!</v>
      </c>
      <c r="E209" t="e">
        <f t="shared" si="5"/>
        <v>#REF!</v>
      </c>
    </row>
    <row r="210" spans="1:5">
      <c r="A210" t="s">
        <v>5335</v>
      </c>
      <c r="B210">
        <v>3</v>
      </c>
      <c r="C210">
        <v>787</v>
      </c>
      <c r="D210" t="e">
        <f>VLOOKUP(A210,#REF!,2,FALSE)</f>
        <v>#REF!</v>
      </c>
      <c r="E210" t="e">
        <f t="shared" si="5"/>
        <v>#REF!</v>
      </c>
    </row>
    <row r="211" spans="1:5">
      <c r="A211" t="s">
        <v>5337</v>
      </c>
      <c r="B211">
        <v>3</v>
      </c>
      <c r="C211">
        <v>718</v>
      </c>
      <c r="D211" t="e">
        <f>VLOOKUP(A211,#REF!,2,FALSE)</f>
        <v>#REF!</v>
      </c>
      <c r="E211" t="e">
        <f t="shared" si="5"/>
        <v>#REF!</v>
      </c>
    </row>
    <row r="212" spans="1:5">
      <c r="A212" t="s">
        <v>5342</v>
      </c>
      <c r="B212">
        <v>3</v>
      </c>
      <c r="C212">
        <v>471</v>
      </c>
      <c r="D212" t="e">
        <f>VLOOKUP(A212,#REF!,2,FALSE)</f>
        <v>#REF!</v>
      </c>
      <c r="E212" t="e">
        <f t="shared" si="5"/>
        <v>#REF!</v>
      </c>
    </row>
    <row r="213" spans="1:5">
      <c r="A213" t="s">
        <v>5339</v>
      </c>
      <c r="B213">
        <v>3</v>
      </c>
      <c r="C213">
        <v>438</v>
      </c>
      <c r="D213" t="e">
        <f>VLOOKUP(A213,#REF!,2,FALSE)</f>
        <v>#REF!</v>
      </c>
      <c r="E213" t="e">
        <f t="shared" si="5"/>
        <v>#REF!</v>
      </c>
    </row>
    <row r="214" spans="1:5">
      <c r="A214" t="s">
        <v>5341</v>
      </c>
      <c r="B214">
        <v>3</v>
      </c>
      <c r="C214">
        <v>392</v>
      </c>
      <c r="D214" t="e">
        <f>VLOOKUP(A214,#REF!,2,FALSE)</f>
        <v>#REF!</v>
      </c>
      <c r="E214" t="e">
        <f t="shared" si="5"/>
        <v>#REF!</v>
      </c>
    </row>
    <row r="215" spans="1:5">
      <c r="A215" t="s">
        <v>5345</v>
      </c>
      <c r="B215">
        <v>3</v>
      </c>
      <c r="C215">
        <v>387</v>
      </c>
      <c r="D215" t="e">
        <f>VLOOKUP(A215,#REF!,2,FALSE)</f>
        <v>#REF!</v>
      </c>
      <c r="E215" t="e">
        <f t="shared" si="5"/>
        <v>#REF!</v>
      </c>
    </row>
    <row r="216" spans="1:5">
      <c r="A216" t="s">
        <v>5347</v>
      </c>
      <c r="B216">
        <v>3</v>
      </c>
      <c r="C216">
        <v>383</v>
      </c>
      <c r="D216" t="e">
        <f>VLOOKUP(A216,#REF!,2,FALSE)</f>
        <v>#REF!</v>
      </c>
      <c r="E216" t="e">
        <f t="shared" si="5"/>
        <v>#REF!</v>
      </c>
    </row>
    <row r="217" spans="1:5">
      <c r="A217" t="s">
        <v>5357</v>
      </c>
      <c r="B217">
        <v>3</v>
      </c>
      <c r="C217">
        <v>359</v>
      </c>
      <c r="D217" t="e">
        <f>VLOOKUP(A217,#REF!,2,FALSE)</f>
        <v>#REF!</v>
      </c>
      <c r="E217" t="e">
        <f t="shared" si="5"/>
        <v>#REF!</v>
      </c>
    </row>
    <row r="218" spans="1:5">
      <c r="A218" t="s">
        <v>5346</v>
      </c>
      <c r="B218">
        <v>3</v>
      </c>
      <c r="C218">
        <v>339</v>
      </c>
      <c r="D218" t="e">
        <f>VLOOKUP(A218,#REF!,2,FALSE)</f>
        <v>#REF!</v>
      </c>
      <c r="E218" t="e">
        <f t="shared" si="5"/>
        <v>#REF!</v>
      </c>
    </row>
    <row r="219" spans="1:5">
      <c r="A219" t="s">
        <v>5353</v>
      </c>
      <c r="B219">
        <v>3</v>
      </c>
      <c r="C219">
        <v>325</v>
      </c>
      <c r="D219" t="e">
        <f>VLOOKUP(A219,#REF!,2,FALSE)</f>
        <v>#REF!</v>
      </c>
      <c r="E219" t="e">
        <f t="shared" si="5"/>
        <v>#REF!</v>
      </c>
    </row>
    <row r="220" spans="1:5">
      <c r="A220" t="s">
        <v>5349</v>
      </c>
      <c r="B220">
        <v>3</v>
      </c>
      <c r="C220">
        <v>289</v>
      </c>
      <c r="D220" t="e">
        <f>VLOOKUP(A220,#REF!,2,FALSE)</f>
        <v>#REF!</v>
      </c>
      <c r="E220" t="e">
        <f t="shared" si="5"/>
        <v>#REF!</v>
      </c>
    </row>
    <row r="221" spans="1:5">
      <c r="A221" t="s">
        <v>5355</v>
      </c>
      <c r="B221">
        <v>3</v>
      </c>
      <c r="C221">
        <v>250</v>
      </c>
      <c r="D221" t="e">
        <f>VLOOKUP(A221,#REF!,2,FALSE)</f>
        <v>#REF!</v>
      </c>
      <c r="E221" t="e">
        <f t="shared" si="5"/>
        <v>#REF!</v>
      </c>
    </row>
    <row r="222" spans="1:5">
      <c r="A222" t="s">
        <v>5340</v>
      </c>
      <c r="B222">
        <v>3</v>
      </c>
      <c r="C222">
        <v>238</v>
      </c>
      <c r="D222" t="e">
        <f>VLOOKUP(A222,#REF!,2,FALSE)</f>
        <v>#REF!</v>
      </c>
      <c r="E222" t="e">
        <f t="shared" si="5"/>
        <v>#REF!</v>
      </c>
    </row>
    <row r="223" spans="1:5">
      <c r="A223" t="s">
        <v>5343</v>
      </c>
      <c r="B223">
        <v>3</v>
      </c>
      <c r="C223">
        <v>225</v>
      </c>
      <c r="D223" t="e">
        <f>VLOOKUP(A223,#REF!,2,FALSE)</f>
        <v>#REF!</v>
      </c>
      <c r="E223" t="e">
        <f t="shared" si="5"/>
        <v>#REF!</v>
      </c>
    </row>
    <row r="224" spans="1:5">
      <c r="A224" t="s">
        <v>5356</v>
      </c>
      <c r="B224">
        <v>3</v>
      </c>
      <c r="C224">
        <v>208</v>
      </c>
      <c r="D224" t="e">
        <f>VLOOKUP(A224,#REF!,2,FALSE)</f>
        <v>#REF!</v>
      </c>
      <c r="E224" t="e">
        <f t="shared" si="5"/>
        <v>#REF!</v>
      </c>
    </row>
    <row r="225" spans="1:5">
      <c r="A225" t="s">
        <v>5351</v>
      </c>
      <c r="B225">
        <v>3</v>
      </c>
      <c r="C225">
        <v>173</v>
      </c>
      <c r="D225" t="e">
        <f>VLOOKUP(A225,#REF!,2,FALSE)</f>
        <v>#REF!</v>
      </c>
      <c r="E225" t="e">
        <f t="shared" si="5"/>
        <v>#REF!</v>
      </c>
    </row>
    <row r="226" spans="1:5">
      <c r="A226" t="s">
        <v>5380</v>
      </c>
      <c r="B226">
        <v>3</v>
      </c>
      <c r="C226">
        <v>171</v>
      </c>
      <c r="D226" t="e">
        <f>VLOOKUP(A226,#REF!,2,FALSE)</f>
        <v>#REF!</v>
      </c>
      <c r="E226" t="e">
        <f t="shared" si="5"/>
        <v>#REF!</v>
      </c>
    </row>
    <row r="227" spans="1:5">
      <c r="A227" t="s">
        <v>5348</v>
      </c>
      <c r="B227">
        <v>3</v>
      </c>
      <c r="C227">
        <v>158</v>
      </c>
      <c r="D227" t="e">
        <f>VLOOKUP(A227,#REF!,2,FALSE)</f>
        <v>#REF!</v>
      </c>
      <c r="E227" t="e">
        <f t="shared" si="5"/>
        <v>#REF!</v>
      </c>
    </row>
    <row r="228" spans="1:5">
      <c r="A228" t="s">
        <v>5361</v>
      </c>
      <c r="B228">
        <v>3</v>
      </c>
      <c r="C228">
        <v>152</v>
      </c>
      <c r="D228" t="e">
        <f>VLOOKUP(A228,#REF!,2,FALSE)</f>
        <v>#REF!</v>
      </c>
      <c r="E228" t="e">
        <f t="shared" si="5"/>
        <v>#REF!</v>
      </c>
    </row>
    <row r="229" spans="1:5">
      <c r="A229" t="s">
        <v>5366</v>
      </c>
      <c r="B229">
        <v>3</v>
      </c>
      <c r="C229">
        <v>139</v>
      </c>
      <c r="D229" t="e">
        <f>VLOOKUP(A229,#REF!,2,FALSE)</f>
        <v>#REF!</v>
      </c>
      <c r="E229" t="e">
        <f t="shared" si="5"/>
        <v>#REF!</v>
      </c>
    </row>
    <row r="230" spans="1:5">
      <c r="A230" t="s">
        <v>5367</v>
      </c>
      <c r="B230">
        <v>3</v>
      </c>
      <c r="C230">
        <v>128</v>
      </c>
      <c r="D230" t="e">
        <f>VLOOKUP(A230,#REF!,2,FALSE)</f>
        <v>#REF!</v>
      </c>
      <c r="E230" t="e">
        <f t="shared" si="5"/>
        <v>#REF!</v>
      </c>
    </row>
    <row r="231" spans="1:5">
      <c r="A231" t="s">
        <v>5352</v>
      </c>
      <c r="B231">
        <v>3</v>
      </c>
      <c r="C231">
        <v>120</v>
      </c>
      <c r="D231" t="e">
        <f>VLOOKUP(A231,#REF!,2,FALSE)</f>
        <v>#REF!</v>
      </c>
      <c r="E231" t="e">
        <f t="shared" si="5"/>
        <v>#REF!</v>
      </c>
    </row>
    <row r="232" spans="1:5">
      <c r="A232" t="s">
        <v>5298</v>
      </c>
      <c r="B232">
        <v>3</v>
      </c>
      <c r="C232">
        <v>107</v>
      </c>
      <c r="D232" t="e">
        <f>VLOOKUP(A232,#REF!,2,FALSE)</f>
        <v>#REF!</v>
      </c>
      <c r="E232" t="e">
        <f t="shared" si="5"/>
        <v>#REF!</v>
      </c>
    </row>
    <row r="233" spans="1:5">
      <c r="A233" t="s">
        <v>5378</v>
      </c>
      <c r="B233">
        <v>3</v>
      </c>
      <c r="C233">
        <v>105</v>
      </c>
      <c r="D233" t="e">
        <f>VLOOKUP(A233,#REF!,2,FALSE)</f>
        <v>#REF!</v>
      </c>
      <c r="E233" t="e">
        <f t="shared" si="5"/>
        <v>#REF!</v>
      </c>
    </row>
    <row r="234" spans="1:5">
      <c r="A234" t="s">
        <v>5350</v>
      </c>
      <c r="B234">
        <v>3</v>
      </c>
      <c r="C234">
        <v>100</v>
      </c>
      <c r="D234" t="e">
        <f>VLOOKUP(A234,#REF!,2,FALSE)</f>
        <v>#REF!</v>
      </c>
      <c r="E234" t="e">
        <f t="shared" si="5"/>
        <v>#REF!</v>
      </c>
    </row>
    <row r="235" spans="1:5">
      <c r="A235" t="s">
        <v>5372</v>
      </c>
      <c r="B235">
        <v>3</v>
      </c>
      <c r="C235">
        <v>95</v>
      </c>
      <c r="D235" t="e">
        <f>VLOOKUP(A235,#REF!,2,FALSE)</f>
        <v>#REF!</v>
      </c>
      <c r="E235" t="e">
        <f t="shared" si="5"/>
        <v>#REF!</v>
      </c>
    </row>
    <row r="236" spans="1:5">
      <c r="A236" t="s">
        <v>5373</v>
      </c>
      <c r="B236">
        <v>3</v>
      </c>
      <c r="C236">
        <v>89</v>
      </c>
      <c r="D236" t="e">
        <f>VLOOKUP(A236,#REF!,2,FALSE)</f>
        <v>#REF!</v>
      </c>
      <c r="E236" t="e">
        <f t="shared" si="5"/>
        <v>#REF!</v>
      </c>
    </row>
    <row r="237" spans="1:5">
      <c r="A237" t="s">
        <v>5360</v>
      </c>
      <c r="B237">
        <v>3</v>
      </c>
      <c r="C237">
        <v>88</v>
      </c>
      <c r="D237" t="e">
        <f>VLOOKUP(A237,#REF!,2,FALSE)</f>
        <v>#REF!</v>
      </c>
      <c r="E237" t="e">
        <f t="shared" si="5"/>
        <v>#REF!</v>
      </c>
    </row>
    <row r="238" spans="1:5">
      <c r="A238" t="s">
        <v>5384</v>
      </c>
      <c r="B238">
        <v>3</v>
      </c>
      <c r="C238">
        <v>82</v>
      </c>
      <c r="D238" t="e">
        <f>VLOOKUP(A238,#REF!,2,FALSE)</f>
        <v>#REF!</v>
      </c>
      <c r="E238" t="e">
        <f t="shared" si="5"/>
        <v>#REF!</v>
      </c>
    </row>
    <row r="239" spans="1:5">
      <c r="A239" t="s">
        <v>5368</v>
      </c>
      <c r="B239">
        <v>3</v>
      </c>
      <c r="C239">
        <v>79</v>
      </c>
      <c r="D239" t="e">
        <f>VLOOKUP(A239,#REF!,2,FALSE)</f>
        <v>#REF!</v>
      </c>
      <c r="E239" t="e">
        <f t="shared" si="5"/>
        <v>#REF!</v>
      </c>
    </row>
    <row r="240" spans="1:5">
      <c r="A240" t="s">
        <v>5369</v>
      </c>
      <c r="B240">
        <v>3</v>
      </c>
      <c r="C240">
        <v>79</v>
      </c>
      <c r="D240" t="e">
        <f>VLOOKUP(A240,#REF!,2,FALSE)</f>
        <v>#REF!</v>
      </c>
      <c r="E240" t="e">
        <f t="shared" si="5"/>
        <v>#REF!</v>
      </c>
    </row>
    <row r="241" spans="1:5">
      <c r="A241" t="s">
        <v>5391</v>
      </c>
      <c r="B241">
        <v>3</v>
      </c>
      <c r="C241">
        <v>78</v>
      </c>
      <c r="D241" t="e">
        <f>VLOOKUP(A241,#REF!,2,FALSE)</f>
        <v>#REF!</v>
      </c>
      <c r="E241" t="e">
        <f t="shared" si="5"/>
        <v>#REF!</v>
      </c>
    </row>
    <row r="242" spans="1:5">
      <c r="A242" t="s">
        <v>5363</v>
      </c>
      <c r="B242">
        <v>3</v>
      </c>
      <c r="C242">
        <v>73</v>
      </c>
      <c r="D242" t="e">
        <f>VLOOKUP(A242,#REF!,2,FALSE)</f>
        <v>#REF!</v>
      </c>
      <c r="E242" t="e">
        <f t="shared" si="5"/>
        <v>#REF!</v>
      </c>
    </row>
    <row r="243" spans="1:5">
      <c r="A243" t="s">
        <v>5344</v>
      </c>
      <c r="B243">
        <v>3</v>
      </c>
      <c r="C243">
        <v>64</v>
      </c>
      <c r="D243" t="e">
        <f>VLOOKUP(A243,#REF!,2,FALSE)</f>
        <v>#REF!</v>
      </c>
      <c r="E243" t="e">
        <f t="shared" si="5"/>
        <v>#REF!</v>
      </c>
    </row>
    <row r="244" spans="1:5">
      <c r="A244" t="s">
        <v>5377</v>
      </c>
      <c r="B244">
        <v>3</v>
      </c>
      <c r="C244">
        <v>64</v>
      </c>
      <c r="D244" t="e">
        <f>VLOOKUP(A244,#REF!,2,FALSE)</f>
        <v>#REF!</v>
      </c>
      <c r="E244" t="e">
        <f t="shared" si="5"/>
        <v>#REF!</v>
      </c>
    </row>
    <row r="245" spans="1:5">
      <c r="A245" t="s">
        <v>5365</v>
      </c>
      <c r="B245">
        <v>3</v>
      </c>
      <c r="C245">
        <v>60</v>
      </c>
      <c r="D245" t="e">
        <f>VLOOKUP(A245,#REF!,2,FALSE)</f>
        <v>#REF!</v>
      </c>
      <c r="E245" t="e">
        <f t="shared" si="5"/>
        <v>#REF!</v>
      </c>
    </row>
    <row r="246" spans="1:5">
      <c r="A246" t="s">
        <v>5362</v>
      </c>
      <c r="B246">
        <v>3</v>
      </c>
      <c r="C246">
        <v>60</v>
      </c>
      <c r="D246" t="e">
        <f>VLOOKUP(A246,#REF!,2,FALSE)</f>
        <v>#REF!</v>
      </c>
      <c r="E246" t="e">
        <f t="shared" si="5"/>
        <v>#REF!</v>
      </c>
    </row>
    <row r="247" spans="1:5">
      <c r="A247" t="s">
        <v>5354</v>
      </c>
      <c r="B247">
        <v>3</v>
      </c>
      <c r="C247">
        <v>60</v>
      </c>
      <c r="D247" t="e">
        <f>VLOOKUP(A247,#REF!,2,FALSE)</f>
        <v>#REF!</v>
      </c>
      <c r="E247" t="e">
        <f t="shared" si="5"/>
        <v>#REF!</v>
      </c>
    </row>
    <row r="248" spans="1:5">
      <c r="A248" t="s">
        <v>5359</v>
      </c>
      <c r="B248">
        <v>3</v>
      </c>
      <c r="C248">
        <v>58</v>
      </c>
      <c r="D248" t="e">
        <f>VLOOKUP(A248,#REF!,2,FALSE)</f>
        <v>#REF!</v>
      </c>
      <c r="E248" t="e">
        <f t="shared" si="5"/>
        <v>#REF!</v>
      </c>
    </row>
    <row r="249" spans="1:5">
      <c r="A249" t="s">
        <v>5389</v>
      </c>
      <c r="B249">
        <v>3</v>
      </c>
      <c r="C249">
        <v>49</v>
      </c>
      <c r="D249" t="e">
        <f>VLOOKUP(A249,#REF!,2,FALSE)</f>
        <v>#REF!</v>
      </c>
      <c r="E249" t="e">
        <f t="shared" si="5"/>
        <v>#REF!</v>
      </c>
    </row>
    <row r="250" spans="1:5">
      <c r="A250" t="s">
        <v>5379</v>
      </c>
      <c r="B250">
        <v>3</v>
      </c>
      <c r="C250">
        <v>45</v>
      </c>
      <c r="D250" t="e">
        <f>VLOOKUP(A250,#REF!,2,FALSE)</f>
        <v>#REF!</v>
      </c>
      <c r="E250" t="e">
        <f t="shared" si="5"/>
        <v>#REF!</v>
      </c>
    </row>
    <row r="251" spans="1:5">
      <c r="A251" t="s">
        <v>5374</v>
      </c>
      <c r="B251">
        <v>3</v>
      </c>
      <c r="C251">
        <v>43</v>
      </c>
      <c r="D251" t="e">
        <f>VLOOKUP(A251,#REF!,2,FALSE)</f>
        <v>#REF!</v>
      </c>
      <c r="E251" t="e">
        <f t="shared" si="5"/>
        <v>#REF!</v>
      </c>
    </row>
    <row r="252" spans="1:5">
      <c r="A252" t="s">
        <v>5371</v>
      </c>
      <c r="B252">
        <v>3</v>
      </c>
      <c r="C252">
        <v>30</v>
      </c>
      <c r="D252" t="e">
        <f>VLOOKUP(A252,#REF!,2,FALSE)</f>
        <v>#REF!</v>
      </c>
      <c r="E252" t="e">
        <f t="shared" si="5"/>
        <v>#REF!</v>
      </c>
    </row>
    <row r="253" spans="1:5">
      <c r="A253" t="s">
        <v>5399</v>
      </c>
      <c r="B253">
        <v>3</v>
      </c>
      <c r="C253">
        <v>27</v>
      </c>
      <c r="D253" t="e">
        <f>VLOOKUP(A253,#REF!,2,FALSE)</f>
        <v>#REF!</v>
      </c>
      <c r="E253" t="e">
        <f t="shared" si="5"/>
        <v>#REF!</v>
      </c>
    </row>
    <row r="254" spans="1:5">
      <c r="A254" t="s">
        <v>5364</v>
      </c>
      <c r="B254">
        <v>3</v>
      </c>
      <c r="C254">
        <v>22</v>
      </c>
      <c r="D254" t="e">
        <f>VLOOKUP(A254,#REF!,2,FALSE)</f>
        <v>#REF!</v>
      </c>
      <c r="E254" t="e">
        <f t="shared" si="5"/>
        <v>#REF!</v>
      </c>
    </row>
    <row r="255" spans="1:5">
      <c r="A255" t="s">
        <v>5396</v>
      </c>
      <c r="B255">
        <v>3</v>
      </c>
      <c r="C255">
        <v>22</v>
      </c>
      <c r="D255" t="e">
        <f>VLOOKUP(A255,#REF!,2,FALSE)</f>
        <v>#REF!</v>
      </c>
      <c r="E255" t="e">
        <f t="shared" si="5"/>
        <v>#REF!</v>
      </c>
    </row>
    <row r="256" spans="1:5">
      <c r="A256" t="s">
        <v>5375</v>
      </c>
      <c r="B256">
        <v>3</v>
      </c>
      <c r="C256">
        <v>22</v>
      </c>
      <c r="D256" t="e">
        <f>VLOOKUP(A256,#REF!,2,FALSE)</f>
        <v>#REF!</v>
      </c>
      <c r="E256" t="e">
        <f t="shared" si="5"/>
        <v>#REF!</v>
      </c>
    </row>
    <row r="257" spans="1:5">
      <c r="A257" t="s">
        <v>5383</v>
      </c>
      <c r="B257">
        <v>3</v>
      </c>
      <c r="C257">
        <v>21</v>
      </c>
      <c r="D257" t="e">
        <f>VLOOKUP(A257,#REF!,2,FALSE)</f>
        <v>#REF!</v>
      </c>
      <c r="E257" t="e">
        <f t="shared" si="5"/>
        <v>#REF!</v>
      </c>
    </row>
    <row r="258" spans="1:5">
      <c r="A258" t="s">
        <v>5392</v>
      </c>
      <c r="B258">
        <v>3</v>
      </c>
      <c r="C258">
        <v>17</v>
      </c>
      <c r="D258" t="e">
        <f>VLOOKUP(A258,#REF!,2,FALSE)</f>
        <v>#REF!</v>
      </c>
      <c r="E258" t="e">
        <f t="shared" si="5"/>
        <v>#REF!</v>
      </c>
    </row>
    <row r="259" spans="1:5">
      <c r="A259" t="s">
        <v>5388</v>
      </c>
      <c r="B259">
        <v>3</v>
      </c>
      <c r="C259">
        <v>16</v>
      </c>
      <c r="D259" t="e">
        <f>VLOOKUP(A259,#REF!,2,FALSE)</f>
        <v>#REF!</v>
      </c>
      <c r="E259" t="e">
        <f t="shared" ref="E259:E322" si="6">C259/D259</f>
        <v>#REF!</v>
      </c>
    </row>
    <row r="260" spans="1:5">
      <c r="A260" t="s">
        <v>5387</v>
      </c>
      <c r="B260">
        <v>3</v>
      </c>
      <c r="C260">
        <v>16</v>
      </c>
      <c r="D260" t="e">
        <f>VLOOKUP(A260,#REF!,2,FALSE)</f>
        <v>#REF!</v>
      </c>
      <c r="E260" t="e">
        <f t="shared" si="6"/>
        <v>#REF!</v>
      </c>
    </row>
    <row r="261" spans="1:5">
      <c r="A261" t="s">
        <v>5404</v>
      </c>
      <c r="B261">
        <v>3</v>
      </c>
      <c r="C261">
        <v>15</v>
      </c>
      <c r="D261" t="e">
        <f>VLOOKUP(A261,#REF!,2,FALSE)</f>
        <v>#REF!</v>
      </c>
      <c r="E261" t="e">
        <f t="shared" si="6"/>
        <v>#REF!</v>
      </c>
    </row>
    <row r="262" spans="1:5">
      <c r="A262" t="s">
        <v>5405</v>
      </c>
      <c r="B262">
        <v>3</v>
      </c>
      <c r="C262">
        <v>14</v>
      </c>
      <c r="D262" t="e">
        <f>VLOOKUP(A262,#REF!,2,FALSE)</f>
        <v>#REF!</v>
      </c>
      <c r="E262" t="e">
        <f t="shared" si="6"/>
        <v>#REF!</v>
      </c>
    </row>
    <row r="263" spans="1:5">
      <c r="A263" t="s">
        <v>5376</v>
      </c>
      <c r="B263">
        <v>3</v>
      </c>
      <c r="C263">
        <v>12</v>
      </c>
      <c r="D263" t="e">
        <f>VLOOKUP(A263,#REF!,2,FALSE)</f>
        <v>#REF!</v>
      </c>
      <c r="E263" t="e">
        <f t="shared" si="6"/>
        <v>#REF!</v>
      </c>
    </row>
    <row r="264" spans="1:5">
      <c r="A264" t="s">
        <v>5358</v>
      </c>
      <c r="B264">
        <v>3</v>
      </c>
      <c r="C264">
        <v>11</v>
      </c>
      <c r="D264" t="e">
        <f>VLOOKUP(A264,#REF!,2,FALSE)</f>
        <v>#REF!</v>
      </c>
      <c r="E264" t="e">
        <f t="shared" si="6"/>
        <v>#REF!</v>
      </c>
    </row>
    <row r="265" spans="1:5">
      <c r="A265" t="s">
        <v>5398</v>
      </c>
      <c r="B265">
        <v>3</v>
      </c>
      <c r="C265">
        <v>11</v>
      </c>
      <c r="D265" t="e">
        <f>VLOOKUP(A265,#REF!,2,FALSE)</f>
        <v>#REF!</v>
      </c>
      <c r="E265" t="e">
        <f t="shared" si="6"/>
        <v>#REF!</v>
      </c>
    </row>
    <row r="266" spans="1:5">
      <c r="A266" t="s">
        <v>5386</v>
      </c>
      <c r="B266">
        <v>3</v>
      </c>
      <c r="C266">
        <v>10</v>
      </c>
      <c r="D266" t="e">
        <f>VLOOKUP(A266,#REF!,2,FALSE)</f>
        <v>#REF!</v>
      </c>
      <c r="E266" t="e">
        <f t="shared" si="6"/>
        <v>#REF!</v>
      </c>
    </row>
    <row r="267" spans="1:5">
      <c r="A267" t="s">
        <v>5385</v>
      </c>
      <c r="B267">
        <v>3</v>
      </c>
      <c r="C267">
        <v>10</v>
      </c>
      <c r="D267" t="e">
        <f>VLOOKUP(A267,#REF!,2,FALSE)</f>
        <v>#REF!</v>
      </c>
      <c r="E267" t="e">
        <f t="shared" si="6"/>
        <v>#REF!</v>
      </c>
    </row>
    <row r="268" spans="1:5">
      <c r="A268" t="s">
        <v>5408</v>
      </c>
      <c r="B268">
        <v>3</v>
      </c>
      <c r="C268">
        <v>8</v>
      </c>
      <c r="D268" t="e">
        <f>VLOOKUP(A268,#REF!,2,FALSE)</f>
        <v>#REF!</v>
      </c>
      <c r="E268" t="e">
        <f t="shared" si="6"/>
        <v>#REF!</v>
      </c>
    </row>
    <row r="269" spans="1:5">
      <c r="A269" t="s">
        <v>5395</v>
      </c>
      <c r="B269">
        <v>3</v>
      </c>
      <c r="C269">
        <v>8</v>
      </c>
      <c r="D269" t="e">
        <f>VLOOKUP(A269,#REF!,2,FALSE)</f>
        <v>#REF!</v>
      </c>
      <c r="E269" t="e">
        <f t="shared" si="6"/>
        <v>#REF!</v>
      </c>
    </row>
    <row r="270" spans="1:5">
      <c r="A270" t="s">
        <v>5393</v>
      </c>
      <c r="B270">
        <v>3</v>
      </c>
      <c r="C270">
        <v>6</v>
      </c>
      <c r="D270" t="e">
        <f>VLOOKUP(A270,#REF!,2,FALSE)</f>
        <v>#REF!</v>
      </c>
      <c r="E270" t="e">
        <f t="shared" si="6"/>
        <v>#REF!</v>
      </c>
    </row>
    <row r="271" spans="1:5">
      <c r="A271" t="s">
        <v>5390</v>
      </c>
      <c r="B271">
        <v>3</v>
      </c>
      <c r="C271">
        <v>6</v>
      </c>
      <c r="D271" t="e">
        <f>VLOOKUP(A271,#REF!,2,FALSE)</f>
        <v>#REF!</v>
      </c>
      <c r="E271" t="e">
        <f t="shared" si="6"/>
        <v>#REF!</v>
      </c>
    </row>
    <row r="272" spans="1:5">
      <c r="A272" t="s">
        <v>5402</v>
      </c>
      <c r="B272">
        <v>3</v>
      </c>
      <c r="C272">
        <v>5</v>
      </c>
      <c r="D272" t="e">
        <f>VLOOKUP(A272,#REF!,2,FALSE)</f>
        <v>#REF!</v>
      </c>
      <c r="E272" t="e">
        <f t="shared" si="6"/>
        <v>#REF!</v>
      </c>
    </row>
    <row r="273" spans="1:5">
      <c r="A273" t="s">
        <v>5407</v>
      </c>
      <c r="B273">
        <v>3</v>
      </c>
      <c r="C273">
        <v>5</v>
      </c>
      <c r="D273" t="e">
        <f>VLOOKUP(A273,#REF!,2,FALSE)</f>
        <v>#REF!</v>
      </c>
      <c r="E273" t="e">
        <f t="shared" si="6"/>
        <v>#REF!</v>
      </c>
    </row>
    <row r="274" spans="1:5">
      <c r="A274" t="s">
        <v>5381</v>
      </c>
      <c r="B274">
        <v>3</v>
      </c>
      <c r="C274">
        <v>5</v>
      </c>
      <c r="D274" t="e">
        <f>VLOOKUP(A274,#REF!,2,FALSE)</f>
        <v>#REF!</v>
      </c>
      <c r="E274" t="e">
        <f t="shared" si="6"/>
        <v>#REF!</v>
      </c>
    </row>
    <row r="275" spans="1:5">
      <c r="A275" t="s">
        <v>5413</v>
      </c>
      <c r="B275">
        <v>3</v>
      </c>
      <c r="C275">
        <v>4</v>
      </c>
      <c r="D275" t="e">
        <f>VLOOKUP(A275,#REF!,2,FALSE)</f>
        <v>#REF!</v>
      </c>
      <c r="E275" t="e">
        <f t="shared" si="6"/>
        <v>#REF!</v>
      </c>
    </row>
    <row r="276" spans="1:5">
      <c r="A276" t="s">
        <v>5406</v>
      </c>
      <c r="B276">
        <v>3</v>
      </c>
      <c r="C276">
        <v>4</v>
      </c>
      <c r="D276" t="e">
        <f>VLOOKUP(A276,#REF!,2,FALSE)</f>
        <v>#REF!</v>
      </c>
      <c r="E276" t="e">
        <f t="shared" si="6"/>
        <v>#REF!</v>
      </c>
    </row>
    <row r="277" spans="1:5">
      <c r="A277" t="s">
        <v>5382</v>
      </c>
      <c r="B277">
        <v>3</v>
      </c>
      <c r="C277">
        <v>4</v>
      </c>
      <c r="D277" t="e">
        <f>VLOOKUP(A277,#REF!,2,FALSE)</f>
        <v>#REF!</v>
      </c>
      <c r="E277" t="e">
        <f t="shared" si="6"/>
        <v>#REF!</v>
      </c>
    </row>
    <row r="278" spans="1:5">
      <c r="A278" t="s">
        <v>5412</v>
      </c>
      <c r="B278">
        <v>3</v>
      </c>
      <c r="C278">
        <v>3</v>
      </c>
      <c r="D278" t="e">
        <f>VLOOKUP(A278,#REF!,2,FALSE)</f>
        <v>#REF!</v>
      </c>
      <c r="E278" t="e">
        <f t="shared" si="6"/>
        <v>#REF!</v>
      </c>
    </row>
    <row r="279" spans="1:5">
      <c r="A279" t="s">
        <v>5370</v>
      </c>
      <c r="B279">
        <v>3</v>
      </c>
      <c r="C279">
        <v>2</v>
      </c>
      <c r="D279" t="e">
        <f>VLOOKUP(A279,#REF!,2,FALSE)</f>
        <v>#REF!</v>
      </c>
      <c r="E279" t="e">
        <f t="shared" si="6"/>
        <v>#REF!</v>
      </c>
    </row>
    <row r="280" spans="1:5">
      <c r="A280" t="s">
        <v>5400</v>
      </c>
      <c r="B280">
        <v>3</v>
      </c>
      <c r="C280">
        <v>2</v>
      </c>
      <c r="D280" t="e">
        <f>VLOOKUP(A280,#REF!,2,FALSE)</f>
        <v>#REF!</v>
      </c>
      <c r="E280" t="e">
        <f t="shared" si="6"/>
        <v>#REF!</v>
      </c>
    </row>
    <row r="281" spans="1:5">
      <c r="A281" t="s">
        <v>5394</v>
      </c>
      <c r="B281">
        <v>3</v>
      </c>
      <c r="C281">
        <v>1</v>
      </c>
      <c r="D281" t="e">
        <f>VLOOKUP(A281,#REF!,2,FALSE)</f>
        <v>#REF!</v>
      </c>
      <c r="E281" t="e">
        <f t="shared" si="6"/>
        <v>#REF!</v>
      </c>
    </row>
    <row r="282" spans="1:5">
      <c r="A282" t="s">
        <v>5401</v>
      </c>
      <c r="B282">
        <v>3</v>
      </c>
      <c r="C282">
        <v>1</v>
      </c>
      <c r="D282" t="e">
        <f>VLOOKUP(A282,#REF!,2,FALSE)</f>
        <v>#REF!</v>
      </c>
      <c r="E282" t="e">
        <f t="shared" si="6"/>
        <v>#REF!</v>
      </c>
    </row>
    <row r="283" spans="1:5">
      <c r="A283" t="s">
        <v>5410</v>
      </c>
      <c r="B283">
        <v>3</v>
      </c>
      <c r="C283">
        <v>1</v>
      </c>
      <c r="D283" t="e">
        <f>VLOOKUP(A283,#REF!,2,FALSE)</f>
        <v>#REF!</v>
      </c>
      <c r="E283" t="e">
        <f t="shared" si="6"/>
        <v>#REF!</v>
      </c>
    </row>
    <row r="284" spans="1:5">
      <c r="A284" t="s">
        <v>5403</v>
      </c>
      <c r="B284">
        <v>3</v>
      </c>
      <c r="C284">
        <v>1</v>
      </c>
      <c r="D284" t="e">
        <f>VLOOKUP(A284,#REF!,2,FALSE)</f>
        <v>#REF!</v>
      </c>
      <c r="E284" t="e">
        <f t="shared" si="6"/>
        <v>#REF!</v>
      </c>
    </row>
    <row r="285" spans="1:5">
      <c r="A285" t="s">
        <v>5411</v>
      </c>
      <c r="B285">
        <v>3</v>
      </c>
      <c r="C285">
        <v>1</v>
      </c>
      <c r="D285" t="e">
        <f>VLOOKUP(A285,#REF!,2,FALSE)</f>
        <v>#REF!</v>
      </c>
      <c r="E285" t="e">
        <f t="shared" si="6"/>
        <v>#REF!</v>
      </c>
    </row>
    <row r="286" spans="1:5">
      <c r="A286" t="s">
        <v>5321</v>
      </c>
      <c r="B286">
        <v>4</v>
      </c>
      <c r="C286">
        <v>9249</v>
      </c>
      <c r="D286" t="e">
        <f>VLOOKUP(A286,#REF!,2,FALSE)</f>
        <v>#REF!</v>
      </c>
      <c r="E286" t="e">
        <f t="shared" si="6"/>
        <v>#REF!</v>
      </c>
    </row>
    <row r="287" spans="1:5">
      <c r="A287" t="s">
        <v>1408</v>
      </c>
      <c r="B287">
        <v>4</v>
      </c>
      <c r="C287">
        <v>8994</v>
      </c>
      <c r="D287" t="e">
        <f>VLOOKUP(A287,#REF!,2,FALSE)</f>
        <v>#REF!</v>
      </c>
      <c r="E287" t="e">
        <f t="shared" si="6"/>
        <v>#REF!</v>
      </c>
    </row>
    <row r="288" spans="1:5">
      <c r="A288" t="s">
        <v>5326</v>
      </c>
      <c r="B288">
        <v>4</v>
      </c>
      <c r="C288">
        <v>6856</v>
      </c>
      <c r="D288" t="e">
        <f>VLOOKUP(A288,#REF!,2,FALSE)</f>
        <v>#REF!</v>
      </c>
      <c r="E288" t="e">
        <f t="shared" si="6"/>
        <v>#REF!</v>
      </c>
    </row>
    <row r="289" spans="1:5">
      <c r="A289" t="s">
        <v>5324</v>
      </c>
      <c r="B289">
        <v>4</v>
      </c>
      <c r="C289">
        <v>3890</v>
      </c>
      <c r="D289" t="e">
        <f>VLOOKUP(A289,#REF!,2,FALSE)</f>
        <v>#REF!</v>
      </c>
      <c r="E289" t="e">
        <f t="shared" si="6"/>
        <v>#REF!</v>
      </c>
    </row>
    <row r="290" spans="1:5">
      <c r="A290" t="s">
        <v>5328</v>
      </c>
      <c r="B290">
        <v>4</v>
      </c>
      <c r="C290">
        <v>3876</v>
      </c>
      <c r="D290" t="e">
        <f>VLOOKUP(A290,#REF!,2,FALSE)</f>
        <v>#REF!</v>
      </c>
      <c r="E290" t="e">
        <f t="shared" si="6"/>
        <v>#REF!</v>
      </c>
    </row>
    <row r="291" spans="1:5">
      <c r="A291" t="s">
        <v>5317</v>
      </c>
      <c r="B291">
        <v>4</v>
      </c>
      <c r="C291">
        <v>3819</v>
      </c>
      <c r="D291" t="e">
        <f>VLOOKUP(A291,#REF!,2,FALSE)</f>
        <v>#REF!</v>
      </c>
      <c r="E291" t="e">
        <f t="shared" si="6"/>
        <v>#REF!</v>
      </c>
    </row>
    <row r="292" spans="1:5">
      <c r="A292" t="s">
        <v>5325</v>
      </c>
      <c r="B292">
        <v>4</v>
      </c>
      <c r="C292">
        <v>3783</v>
      </c>
      <c r="D292" t="e">
        <f>VLOOKUP(A292,#REF!,2,FALSE)</f>
        <v>#REF!</v>
      </c>
      <c r="E292" t="e">
        <f t="shared" si="6"/>
        <v>#REF!</v>
      </c>
    </row>
    <row r="293" spans="1:5">
      <c r="A293" t="s">
        <v>5327</v>
      </c>
      <c r="B293">
        <v>4</v>
      </c>
      <c r="C293">
        <v>3720</v>
      </c>
      <c r="D293" t="e">
        <f>VLOOKUP(A293,#REF!,2,FALSE)</f>
        <v>#REF!</v>
      </c>
      <c r="E293" t="e">
        <f t="shared" si="6"/>
        <v>#REF!</v>
      </c>
    </row>
    <row r="294" spans="1:5">
      <c r="A294" t="s">
        <v>5329</v>
      </c>
      <c r="B294">
        <v>4</v>
      </c>
      <c r="C294">
        <v>3704</v>
      </c>
      <c r="D294" t="e">
        <f>VLOOKUP(A294,#REF!,2,FALSE)</f>
        <v>#REF!</v>
      </c>
      <c r="E294" t="e">
        <f t="shared" si="6"/>
        <v>#REF!</v>
      </c>
    </row>
    <row r="295" spans="1:5">
      <c r="A295" t="s">
        <v>5323</v>
      </c>
      <c r="B295">
        <v>4</v>
      </c>
      <c r="C295">
        <v>2344</v>
      </c>
      <c r="D295" t="e">
        <f>VLOOKUP(A295,#REF!,2,FALSE)</f>
        <v>#REF!</v>
      </c>
      <c r="E295" t="e">
        <f t="shared" si="6"/>
        <v>#REF!</v>
      </c>
    </row>
    <row r="296" spans="1:5">
      <c r="A296" t="s">
        <v>5319</v>
      </c>
      <c r="B296">
        <v>4</v>
      </c>
      <c r="C296">
        <v>2187</v>
      </c>
      <c r="D296" t="e">
        <f>VLOOKUP(A296,#REF!,2,FALSE)</f>
        <v>#REF!</v>
      </c>
      <c r="E296" t="e">
        <f t="shared" si="6"/>
        <v>#REF!</v>
      </c>
    </row>
    <row r="297" spans="1:5">
      <c r="A297" t="s">
        <v>5333</v>
      </c>
      <c r="B297">
        <v>4</v>
      </c>
      <c r="C297">
        <v>2139</v>
      </c>
      <c r="D297" t="e">
        <f>VLOOKUP(A297,#REF!,2,FALSE)</f>
        <v>#REF!</v>
      </c>
      <c r="E297" t="e">
        <f t="shared" si="6"/>
        <v>#REF!</v>
      </c>
    </row>
    <row r="298" spans="1:5">
      <c r="A298" t="s">
        <v>5320</v>
      </c>
      <c r="B298">
        <v>4</v>
      </c>
      <c r="C298">
        <v>2086</v>
      </c>
      <c r="D298" t="e">
        <f>VLOOKUP(A298,#REF!,2,FALSE)</f>
        <v>#REF!</v>
      </c>
      <c r="E298" t="e">
        <f t="shared" si="6"/>
        <v>#REF!</v>
      </c>
    </row>
    <row r="299" spans="1:5">
      <c r="A299" t="s">
        <v>5318</v>
      </c>
      <c r="B299">
        <v>4</v>
      </c>
      <c r="C299">
        <v>1802</v>
      </c>
      <c r="D299" t="e">
        <f>VLOOKUP(A299,#REF!,2,FALSE)</f>
        <v>#REF!</v>
      </c>
      <c r="E299" t="e">
        <f t="shared" si="6"/>
        <v>#REF!</v>
      </c>
    </row>
    <row r="300" spans="1:5">
      <c r="A300" t="s">
        <v>5334</v>
      </c>
      <c r="B300">
        <v>4</v>
      </c>
      <c r="C300">
        <v>1345</v>
      </c>
      <c r="D300" t="e">
        <f>VLOOKUP(A300,#REF!,2,FALSE)</f>
        <v>#REF!</v>
      </c>
      <c r="E300" t="e">
        <f t="shared" si="6"/>
        <v>#REF!</v>
      </c>
    </row>
    <row r="301" spans="1:5">
      <c r="A301" t="s">
        <v>5338</v>
      </c>
      <c r="B301">
        <v>4</v>
      </c>
      <c r="C301">
        <v>1025</v>
      </c>
      <c r="D301" t="e">
        <f>VLOOKUP(A301,#REF!,2,FALSE)</f>
        <v>#REF!</v>
      </c>
      <c r="E301" t="e">
        <f t="shared" si="6"/>
        <v>#REF!</v>
      </c>
    </row>
    <row r="302" spans="1:5">
      <c r="A302" t="s">
        <v>5322</v>
      </c>
      <c r="B302">
        <v>4</v>
      </c>
      <c r="C302">
        <v>984</v>
      </c>
      <c r="D302" t="e">
        <f>VLOOKUP(A302,#REF!,2,FALSE)</f>
        <v>#REF!</v>
      </c>
      <c r="E302" t="e">
        <f t="shared" si="6"/>
        <v>#REF!</v>
      </c>
    </row>
    <row r="303" spans="1:5">
      <c r="A303" t="s">
        <v>5316</v>
      </c>
      <c r="B303">
        <v>4</v>
      </c>
      <c r="C303">
        <v>963</v>
      </c>
      <c r="D303" t="e">
        <f>VLOOKUP(A303,#REF!,2,FALSE)</f>
        <v>#REF!</v>
      </c>
      <c r="E303" t="e">
        <f t="shared" si="6"/>
        <v>#REF!</v>
      </c>
    </row>
    <row r="304" spans="1:5">
      <c r="A304" t="s">
        <v>5336</v>
      </c>
      <c r="B304">
        <v>4</v>
      </c>
      <c r="C304">
        <v>947</v>
      </c>
      <c r="D304" t="e">
        <f>VLOOKUP(A304,#REF!,2,FALSE)</f>
        <v>#REF!</v>
      </c>
      <c r="E304" t="e">
        <f t="shared" si="6"/>
        <v>#REF!</v>
      </c>
    </row>
    <row r="305" spans="1:5">
      <c r="A305" t="s">
        <v>5353</v>
      </c>
      <c r="B305">
        <v>4</v>
      </c>
      <c r="C305">
        <v>674</v>
      </c>
      <c r="D305" t="e">
        <f>VLOOKUP(A305,#REF!,2,FALSE)</f>
        <v>#REF!</v>
      </c>
      <c r="E305" t="e">
        <f t="shared" si="6"/>
        <v>#REF!</v>
      </c>
    </row>
    <row r="306" spans="1:5">
      <c r="A306" t="s">
        <v>5337</v>
      </c>
      <c r="B306">
        <v>4</v>
      </c>
      <c r="C306">
        <v>630</v>
      </c>
      <c r="D306" t="e">
        <f>VLOOKUP(A306,#REF!,2,FALSE)</f>
        <v>#REF!</v>
      </c>
      <c r="E306" t="e">
        <f t="shared" si="6"/>
        <v>#REF!</v>
      </c>
    </row>
    <row r="307" spans="1:5">
      <c r="A307" t="s">
        <v>5335</v>
      </c>
      <c r="B307">
        <v>4</v>
      </c>
      <c r="C307">
        <v>624</v>
      </c>
      <c r="D307" t="e">
        <f>VLOOKUP(A307,#REF!,2,FALSE)</f>
        <v>#REF!</v>
      </c>
      <c r="E307" t="e">
        <f t="shared" si="6"/>
        <v>#REF!</v>
      </c>
    </row>
    <row r="308" spans="1:5">
      <c r="A308" t="s">
        <v>5357</v>
      </c>
      <c r="B308">
        <v>4</v>
      </c>
      <c r="C308">
        <v>528</v>
      </c>
      <c r="D308" t="e">
        <f>VLOOKUP(A308,#REF!,2,FALSE)</f>
        <v>#REF!</v>
      </c>
      <c r="E308" t="e">
        <f t="shared" si="6"/>
        <v>#REF!</v>
      </c>
    </row>
    <row r="309" spans="1:5">
      <c r="A309" t="s">
        <v>5342</v>
      </c>
      <c r="B309">
        <v>4</v>
      </c>
      <c r="C309">
        <v>522</v>
      </c>
      <c r="D309" t="e">
        <f>VLOOKUP(A309,#REF!,2,FALSE)</f>
        <v>#REF!</v>
      </c>
      <c r="E309" t="e">
        <f t="shared" si="6"/>
        <v>#REF!</v>
      </c>
    </row>
    <row r="310" spans="1:5">
      <c r="A310" t="s">
        <v>5361</v>
      </c>
      <c r="B310">
        <v>4</v>
      </c>
      <c r="C310">
        <v>435</v>
      </c>
      <c r="D310" t="e">
        <f>VLOOKUP(A310,#REF!,2,FALSE)</f>
        <v>#REF!</v>
      </c>
      <c r="E310" t="e">
        <f t="shared" si="6"/>
        <v>#REF!</v>
      </c>
    </row>
    <row r="311" spans="1:5">
      <c r="A311" t="s">
        <v>5345</v>
      </c>
      <c r="B311">
        <v>4</v>
      </c>
      <c r="C311">
        <v>414</v>
      </c>
      <c r="D311" t="e">
        <f>VLOOKUP(A311,#REF!,2,FALSE)</f>
        <v>#REF!</v>
      </c>
      <c r="E311" t="e">
        <f t="shared" si="6"/>
        <v>#REF!</v>
      </c>
    </row>
    <row r="312" spans="1:5">
      <c r="A312" t="s">
        <v>5347</v>
      </c>
      <c r="B312">
        <v>4</v>
      </c>
      <c r="C312">
        <v>404</v>
      </c>
      <c r="D312" t="e">
        <f>VLOOKUP(A312,#REF!,2,FALSE)</f>
        <v>#REF!</v>
      </c>
      <c r="E312" t="e">
        <f t="shared" si="6"/>
        <v>#REF!</v>
      </c>
    </row>
    <row r="313" spans="1:5">
      <c r="A313" t="s">
        <v>5380</v>
      </c>
      <c r="B313">
        <v>4</v>
      </c>
      <c r="C313">
        <v>330</v>
      </c>
      <c r="D313" t="e">
        <f>VLOOKUP(A313,#REF!,2,FALSE)</f>
        <v>#REF!</v>
      </c>
      <c r="E313" t="e">
        <f t="shared" si="6"/>
        <v>#REF!</v>
      </c>
    </row>
    <row r="314" spans="1:5">
      <c r="A314" t="s">
        <v>5340</v>
      </c>
      <c r="B314">
        <v>4</v>
      </c>
      <c r="C314">
        <v>318</v>
      </c>
      <c r="D314" t="e">
        <f>VLOOKUP(A314,#REF!,2,FALSE)</f>
        <v>#REF!</v>
      </c>
      <c r="E314" t="e">
        <f t="shared" si="6"/>
        <v>#REF!</v>
      </c>
    </row>
    <row r="315" spans="1:5">
      <c r="A315" t="s">
        <v>5367</v>
      </c>
      <c r="B315">
        <v>4</v>
      </c>
      <c r="C315">
        <v>306</v>
      </c>
      <c r="D315" t="e">
        <f>VLOOKUP(A315,#REF!,2,FALSE)</f>
        <v>#REF!</v>
      </c>
      <c r="E315" t="e">
        <f t="shared" si="6"/>
        <v>#REF!</v>
      </c>
    </row>
    <row r="316" spans="1:5">
      <c r="A316" t="s">
        <v>5346</v>
      </c>
      <c r="B316">
        <v>4</v>
      </c>
      <c r="C316">
        <v>286</v>
      </c>
      <c r="D316" t="e">
        <f>VLOOKUP(A316,#REF!,2,FALSE)</f>
        <v>#REF!</v>
      </c>
      <c r="E316" t="e">
        <f t="shared" si="6"/>
        <v>#REF!</v>
      </c>
    </row>
    <row r="317" spans="1:5">
      <c r="A317" t="s">
        <v>5355</v>
      </c>
      <c r="B317">
        <v>4</v>
      </c>
      <c r="C317">
        <v>269</v>
      </c>
      <c r="D317" t="e">
        <f>VLOOKUP(A317,#REF!,2,FALSE)</f>
        <v>#REF!</v>
      </c>
      <c r="E317" t="e">
        <f t="shared" si="6"/>
        <v>#REF!</v>
      </c>
    </row>
    <row r="318" spans="1:5">
      <c r="A318" t="s">
        <v>5351</v>
      </c>
      <c r="B318">
        <v>4</v>
      </c>
      <c r="C318">
        <v>251</v>
      </c>
      <c r="D318" t="e">
        <f>VLOOKUP(A318,#REF!,2,FALSE)</f>
        <v>#REF!</v>
      </c>
      <c r="E318" t="e">
        <f t="shared" si="6"/>
        <v>#REF!</v>
      </c>
    </row>
    <row r="319" spans="1:5">
      <c r="A319" t="s">
        <v>5348</v>
      </c>
      <c r="B319">
        <v>4</v>
      </c>
      <c r="C319">
        <v>247</v>
      </c>
      <c r="D319" t="e">
        <f>VLOOKUP(A319,#REF!,2,FALSE)</f>
        <v>#REF!</v>
      </c>
      <c r="E319" t="e">
        <f t="shared" si="6"/>
        <v>#REF!</v>
      </c>
    </row>
    <row r="320" spans="1:5">
      <c r="A320" t="s">
        <v>5341</v>
      </c>
      <c r="B320">
        <v>4</v>
      </c>
      <c r="C320">
        <v>216</v>
      </c>
      <c r="D320" t="e">
        <f>VLOOKUP(A320,#REF!,2,FALSE)</f>
        <v>#REF!</v>
      </c>
      <c r="E320" t="e">
        <f t="shared" si="6"/>
        <v>#REF!</v>
      </c>
    </row>
    <row r="321" spans="1:5">
      <c r="A321" t="s">
        <v>5356</v>
      </c>
      <c r="B321">
        <v>4</v>
      </c>
      <c r="C321">
        <v>193</v>
      </c>
      <c r="D321" t="e">
        <f>VLOOKUP(A321,#REF!,2,FALSE)</f>
        <v>#REF!</v>
      </c>
      <c r="E321" t="e">
        <f t="shared" si="6"/>
        <v>#REF!</v>
      </c>
    </row>
    <row r="322" spans="1:5">
      <c r="A322" t="s">
        <v>5391</v>
      </c>
      <c r="B322">
        <v>4</v>
      </c>
      <c r="C322">
        <v>187</v>
      </c>
      <c r="D322" t="e">
        <f>VLOOKUP(A322,#REF!,2,FALSE)</f>
        <v>#REF!</v>
      </c>
      <c r="E322" t="e">
        <f t="shared" si="6"/>
        <v>#REF!</v>
      </c>
    </row>
    <row r="323" spans="1:5">
      <c r="A323" t="s">
        <v>5372</v>
      </c>
      <c r="B323">
        <v>4</v>
      </c>
      <c r="C323">
        <v>165</v>
      </c>
      <c r="D323" t="e">
        <f>VLOOKUP(A323,#REF!,2,FALSE)</f>
        <v>#REF!</v>
      </c>
      <c r="E323" t="e">
        <f t="shared" ref="E323:E386" si="7">C323/D323</f>
        <v>#REF!</v>
      </c>
    </row>
    <row r="324" spans="1:5">
      <c r="A324" t="s">
        <v>5339</v>
      </c>
      <c r="B324">
        <v>4</v>
      </c>
      <c r="C324">
        <v>147</v>
      </c>
      <c r="D324" t="e">
        <f>VLOOKUP(A324,#REF!,2,FALSE)</f>
        <v>#REF!</v>
      </c>
      <c r="E324" t="e">
        <f t="shared" si="7"/>
        <v>#REF!</v>
      </c>
    </row>
    <row r="325" spans="1:5">
      <c r="A325" t="s">
        <v>5343</v>
      </c>
      <c r="B325">
        <v>4</v>
      </c>
      <c r="C325">
        <v>142</v>
      </c>
      <c r="D325" t="e">
        <f>VLOOKUP(A325,#REF!,2,FALSE)</f>
        <v>#REF!</v>
      </c>
      <c r="E325" t="e">
        <f t="shared" si="7"/>
        <v>#REF!</v>
      </c>
    </row>
    <row r="326" spans="1:5">
      <c r="A326" t="s">
        <v>5378</v>
      </c>
      <c r="B326">
        <v>4</v>
      </c>
      <c r="C326">
        <v>137</v>
      </c>
      <c r="D326" t="e">
        <f>VLOOKUP(A326,#REF!,2,FALSE)</f>
        <v>#REF!</v>
      </c>
      <c r="E326" t="e">
        <f t="shared" si="7"/>
        <v>#REF!</v>
      </c>
    </row>
    <row r="327" spans="1:5">
      <c r="A327" t="s">
        <v>5298</v>
      </c>
      <c r="B327">
        <v>4</v>
      </c>
      <c r="C327">
        <v>128</v>
      </c>
      <c r="D327" t="e">
        <f>VLOOKUP(A327,#REF!,2,FALSE)</f>
        <v>#REF!</v>
      </c>
      <c r="E327" t="e">
        <f t="shared" si="7"/>
        <v>#REF!</v>
      </c>
    </row>
    <row r="328" spans="1:5">
      <c r="A328" t="s">
        <v>5384</v>
      </c>
      <c r="B328">
        <v>4</v>
      </c>
      <c r="C328">
        <v>128</v>
      </c>
      <c r="D328" t="e">
        <f>VLOOKUP(A328,#REF!,2,FALSE)</f>
        <v>#REF!</v>
      </c>
      <c r="E328" t="e">
        <f t="shared" si="7"/>
        <v>#REF!</v>
      </c>
    </row>
    <row r="329" spans="1:5">
      <c r="A329" t="s">
        <v>5360</v>
      </c>
      <c r="B329">
        <v>4</v>
      </c>
      <c r="C329">
        <v>127</v>
      </c>
      <c r="D329" t="e">
        <f>VLOOKUP(A329,#REF!,2,FALSE)</f>
        <v>#REF!</v>
      </c>
      <c r="E329" t="e">
        <f t="shared" si="7"/>
        <v>#REF!</v>
      </c>
    </row>
    <row r="330" spans="1:5">
      <c r="A330" t="s">
        <v>5349</v>
      </c>
      <c r="B330">
        <v>4</v>
      </c>
      <c r="C330">
        <v>117</v>
      </c>
      <c r="D330" t="e">
        <f>VLOOKUP(A330,#REF!,2,FALSE)</f>
        <v>#REF!</v>
      </c>
      <c r="E330" t="e">
        <f t="shared" si="7"/>
        <v>#REF!</v>
      </c>
    </row>
    <row r="331" spans="1:5">
      <c r="A331" t="s">
        <v>5350</v>
      </c>
      <c r="B331">
        <v>4</v>
      </c>
      <c r="C331">
        <v>117</v>
      </c>
      <c r="D331" t="e">
        <f>VLOOKUP(A331,#REF!,2,FALSE)</f>
        <v>#REF!</v>
      </c>
      <c r="E331" t="e">
        <f t="shared" si="7"/>
        <v>#REF!</v>
      </c>
    </row>
    <row r="332" spans="1:5">
      <c r="A332" t="s">
        <v>5366</v>
      </c>
      <c r="B332">
        <v>4</v>
      </c>
      <c r="C332">
        <v>103</v>
      </c>
      <c r="D332" t="e">
        <f>VLOOKUP(A332,#REF!,2,FALSE)</f>
        <v>#REF!</v>
      </c>
      <c r="E332" t="e">
        <f t="shared" si="7"/>
        <v>#REF!</v>
      </c>
    </row>
    <row r="333" spans="1:5">
      <c r="A333" t="s">
        <v>5379</v>
      </c>
      <c r="B333">
        <v>4</v>
      </c>
      <c r="C333">
        <v>102</v>
      </c>
      <c r="D333" t="e">
        <f>VLOOKUP(A333,#REF!,2,FALSE)</f>
        <v>#REF!</v>
      </c>
      <c r="E333" t="e">
        <f t="shared" si="7"/>
        <v>#REF!</v>
      </c>
    </row>
    <row r="334" spans="1:5">
      <c r="A334" t="s">
        <v>5383</v>
      </c>
      <c r="B334">
        <v>4</v>
      </c>
      <c r="C334">
        <v>97</v>
      </c>
      <c r="D334" t="e">
        <f>VLOOKUP(A334,#REF!,2,FALSE)</f>
        <v>#REF!</v>
      </c>
      <c r="E334" t="e">
        <f t="shared" si="7"/>
        <v>#REF!</v>
      </c>
    </row>
    <row r="335" spans="1:5">
      <c r="A335" t="s">
        <v>5352</v>
      </c>
      <c r="B335">
        <v>4</v>
      </c>
      <c r="C335">
        <v>91</v>
      </c>
      <c r="D335" t="e">
        <f>VLOOKUP(A335,#REF!,2,FALSE)</f>
        <v>#REF!</v>
      </c>
      <c r="E335" t="e">
        <f t="shared" si="7"/>
        <v>#REF!</v>
      </c>
    </row>
    <row r="336" spans="1:5">
      <c r="A336" t="s">
        <v>5368</v>
      </c>
      <c r="B336">
        <v>4</v>
      </c>
      <c r="C336">
        <v>89</v>
      </c>
      <c r="D336" t="e">
        <f>VLOOKUP(A336,#REF!,2,FALSE)</f>
        <v>#REF!</v>
      </c>
      <c r="E336" t="e">
        <f t="shared" si="7"/>
        <v>#REF!</v>
      </c>
    </row>
    <row r="337" spans="1:5">
      <c r="A337" t="s">
        <v>5369</v>
      </c>
      <c r="B337">
        <v>4</v>
      </c>
      <c r="C337">
        <v>86</v>
      </c>
      <c r="D337" t="e">
        <f>VLOOKUP(A337,#REF!,2,FALSE)</f>
        <v>#REF!</v>
      </c>
      <c r="E337" t="e">
        <f t="shared" si="7"/>
        <v>#REF!</v>
      </c>
    </row>
    <row r="338" spans="1:5">
      <c r="A338" t="s">
        <v>5354</v>
      </c>
      <c r="B338">
        <v>4</v>
      </c>
      <c r="C338">
        <v>75</v>
      </c>
      <c r="D338" t="e">
        <f>VLOOKUP(A338,#REF!,2,FALSE)</f>
        <v>#REF!</v>
      </c>
      <c r="E338" t="e">
        <f t="shared" si="7"/>
        <v>#REF!</v>
      </c>
    </row>
    <row r="339" spans="1:5">
      <c r="A339" t="s">
        <v>5373</v>
      </c>
      <c r="B339">
        <v>4</v>
      </c>
      <c r="C339">
        <v>72</v>
      </c>
      <c r="D339" t="e">
        <f>VLOOKUP(A339,#REF!,2,FALSE)</f>
        <v>#REF!</v>
      </c>
      <c r="E339" t="e">
        <f t="shared" si="7"/>
        <v>#REF!</v>
      </c>
    </row>
    <row r="340" spans="1:5">
      <c r="A340" t="s">
        <v>5359</v>
      </c>
      <c r="B340">
        <v>4</v>
      </c>
      <c r="C340">
        <v>69</v>
      </c>
      <c r="D340" t="e">
        <f>VLOOKUP(A340,#REF!,2,FALSE)</f>
        <v>#REF!</v>
      </c>
      <c r="E340" t="e">
        <f t="shared" si="7"/>
        <v>#REF!</v>
      </c>
    </row>
    <row r="341" spans="1:5">
      <c r="A341" t="s">
        <v>5363</v>
      </c>
      <c r="B341">
        <v>4</v>
      </c>
      <c r="C341">
        <v>65</v>
      </c>
      <c r="D341" t="e">
        <f>VLOOKUP(A341,#REF!,2,FALSE)</f>
        <v>#REF!</v>
      </c>
      <c r="E341" t="e">
        <f t="shared" si="7"/>
        <v>#REF!</v>
      </c>
    </row>
    <row r="342" spans="1:5">
      <c r="A342" t="s">
        <v>5362</v>
      </c>
      <c r="B342">
        <v>4</v>
      </c>
      <c r="C342">
        <v>55</v>
      </c>
      <c r="D342" t="e">
        <f>VLOOKUP(A342,#REF!,2,FALSE)</f>
        <v>#REF!</v>
      </c>
      <c r="E342" t="e">
        <f t="shared" si="7"/>
        <v>#REF!</v>
      </c>
    </row>
    <row r="343" spans="1:5">
      <c r="A343" t="s">
        <v>5364</v>
      </c>
      <c r="B343">
        <v>4</v>
      </c>
      <c r="C343">
        <v>53</v>
      </c>
      <c r="D343" t="e">
        <f>VLOOKUP(A343,#REF!,2,FALSE)</f>
        <v>#REF!</v>
      </c>
      <c r="E343" t="e">
        <f t="shared" si="7"/>
        <v>#REF!</v>
      </c>
    </row>
    <row r="344" spans="1:5">
      <c r="A344" t="s">
        <v>5389</v>
      </c>
      <c r="B344">
        <v>4</v>
      </c>
      <c r="C344">
        <v>46</v>
      </c>
      <c r="D344" t="e">
        <f>VLOOKUP(A344,#REF!,2,FALSE)</f>
        <v>#REF!</v>
      </c>
      <c r="E344" t="e">
        <f t="shared" si="7"/>
        <v>#REF!</v>
      </c>
    </row>
    <row r="345" spans="1:5">
      <c r="A345" t="s">
        <v>5375</v>
      </c>
      <c r="B345">
        <v>4</v>
      </c>
      <c r="C345">
        <v>44</v>
      </c>
      <c r="D345" t="e">
        <f>VLOOKUP(A345,#REF!,2,FALSE)</f>
        <v>#REF!</v>
      </c>
      <c r="E345" t="e">
        <f t="shared" si="7"/>
        <v>#REF!</v>
      </c>
    </row>
    <row r="346" spans="1:5">
      <c r="A346" t="s">
        <v>5365</v>
      </c>
      <c r="B346">
        <v>4</v>
      </c>
      <c r="C346">
        <v>44</v>
      </c>
      <c r="D346" t="e">
        <f>VLOOKUP(A346,#REF!,2,FALSE)</f>
        <v>#REF!</v>
      </c>
      <c r="E346" t="e">
        <f t="shared" si="7"/>
        <v>#REF!</v>
      </c>
    </row>
    <row r="347" spans="1:5">
      <c r="A347" t="s">
        <v>5377</v>
      </c>
      <c r="B347">
        <v>4</v>
      </c>
      <c r="C347">
        <v>40</v>
      </c>
      <c r="D347" t="e">
        <f>VLOOKUP(A347,#REF!,2,FALSE)</f>
        <v>#REF!</v>
      </c>
      <c r="E347" t="e">
        <f t="shared" si="7"/>
        <v>#REF!</v>
      </c>
    </row>
    <row r="348" spans="1:5">
      <c r="A348" t="s">
        <v>5398</v>
      </c>
      <c r="B348">
        <v>4</v>
      </c>
      <c r="C348">
        <v>33</v>
      </c>
      <c r="D348" t="e">
        <f>VLOOKUP(A348,#REF!,2,FALSE)</f>
        <v>#REF!</v>
      </c>
      <c r="E348" t="e">
        <f t="shared" si="7"/>
        <v>#REF!</v>
      </c>
    </row>
    <row r="349" spans="1:5">
      <c r="A349" t="s">
        <v>5387</v>
      </c>
      <c r="B349">
        <v>4</v>
      </c>
      <c r="C349">
        <v>31</v>
      </c>
      <c r="D349" t="e">
        <f>VLOOKUP(A349,#REF!,2,FALSE)</f>
        <v>#REF!</v>
      </c>
      <c r="E349" t="e">
        <f t="shared" si="7"/>
        <v>#REF!</v>
      </c>
    </row>
    <row r="350" spans="1:5">
      <c r="A350" t="s">
        <v>5344</v>
      </c>
      <c r="B350">
        <v>4</v>
      </c>
      <c r="C350">
        <v>31</v>
      </c>
      <c r="D350" t="e">
        <f>VLOOKUP(A350,#REF!,2,FALSE)</f>
        <v>#REF!</v>
      </c>
      <c r="E350" t="e">
        <f t="shared" si="7"/>
        <v>#REF!</v>
      </c>
    </row>
    <row r="351" spans="1:5">
      <c r="A351" t="s">
        <v>5399</v>
      </c>
      <c r="B351">
        <v>4</v>
      </c>
      <c r="C351">
        <v>31</v>
      </c>
      <c r="D351" t="e">
        <f>VLOOKUP(A351,#REF!,2,FALSE)</f>
        <v>#REF!</v>
      </c>
      <c r="E351" t="e">
        <f t="shared" si="7"/>
        <v>#REF!</v>
      </c>
    </row>
    <row r="352" spans="1:5">
      <c r="A352" t="s">
        <v>5396</v>
      </c>
      <c r="B352">
        <v>4</v>
      </c>
      <c r="C352">
        <v>28</v>
      </c>
      <c r="D352" t="e">
        <f>VLOOKUP(A352,#REF!,2,FALSE)</f>
        <v>#REF!</v>
      </c>
      <c r="E352" t="e">
        <f t="shared" si="7"/>
        <v>#REF!</v>
      </c>
    </row>
    <row r="353" spans="1:5">
      <c r="A353" t="s">
        <v>5404</v>
      </c>
      <c r="B353">
        <v>4</v>
      </c>
      <c r="C353">
        <v>26</v>
      </c>
      <c r="D353" t="e">
        <f>VLOOKUP(A353,#REF!,2,FALSE)</f>
        <v>#REF!</v>
      </c>
      <c r="E353" t="e">
        <f t="shared" si="7"/>
        <v>#REF!</v>
      </c>
    </row>
    <row r="354" spans="1:5">
      <c r="A354" t="s">
        <v>5374</v>
      </c>
      <c r="B354">
        <v>4</v>
      </c>
      <c r="C354">
        <v>26</v>
      </c>
      <c r="D354" t="e">
        <f>VLOOKUP(A354,#REF!,2,FALSE)</f>
        <v>#REF!</v>
      </c>
      <c r="E354" t="e">
        <f t="shared" si="7"/>
        <v>#REF!</v>
      </c>
    </row>
    <row r="355" spans="1:5">
      <c r="A355" t="s">
        <v>5392</v>
      </c>
      <c r="B355">
        <v>4</v>
      </c>
      <c r="C355">
        <v>22</v>
      </c>
      <c r="D355" t="e">
        <f>VLOOKUP(A355,#REF!,2,FALSE)</f>
        <v>#REF!</v>
      </c>
      <c r="E355" t="e">
        <f t="shared" si="7"/>
        <v>#REF!</v>
      </c>
    </row>
    <row r="356" spans="1:5">
      <c r="A356" t="s">
        <v>5386</v>
      </c>
      <c r="B356">
        <v>4</v>
      </c>
      <c r="C356">
        <v>22</v>
      </c>
      <c r="D356" t="e">
        <f>VLOOKUP(A356,#REF!,2,FALSE)</f>
        <v>#REF!</v>
      </c>
      <c r="E356" t="e">
        <f t="shared" si="7"/>
        <v>#REF!</v>
      </c>
    </row>
    <row r="357" spans="1:5">
      <c r="A357" t="s">
        <v>5371</v>
      </c>
      <c r="B357">
        <v>4</v>
      </c>
      <c r="C357">
        <v>16</v>
      </c>
      <c r="D357" t="e">
        <f>VLOOKUP(A357,#REF!,2,FALSE)</f>
        <v>#REF!</v>
      </c>
      <c r="E357" t="e">
        <f t="shared" si="7"/>
        <v>#REF!</v>
      </c>
    </row>
    <row r="358" spans="1:5">
      <c r="A358" t="s">
        <v>5376</v>
      </c>
      <c r="B358">
        <v>4</v>
      </c>
      <c r="C358">
        <v>14</v>
      </c>
      <c r="D358" t="e">
        <f>VLOOKUP(A358,#REF!,2,FALSE)</f>
        <v>#REF!</v>
      </c>
      <c r="E358" t="e">
        <f t="shared" si="7"/>
        <v>#REF!</v>
      </c>
    </row>
    <row r="359" spans="1:5">
      <c r="A359" t="s">
        <v>5388</v>
      </c>
      <c r="B359">
        <v>4</v>
      </c>
      <c r="C359">
        <v>9</v>
      </c>
      <c r="D359" t="e">
        <f>VLOOKUP(A359,#REF!,2,FALSE)</f>
        <v>#REF!</v>
      </c>
      <c r="E359" t="e">
        <f t="shared" si="7"/>
        <v>#REF!</v>
      </c>
    </row>
    <row r="360" spans="1:5">
      <c r="A360" t="s">
        <v>5381</v>
      </c>
      <c r="B360">
        <v>4</v>
      </c>
      <c r="C360">
        <v>9</v>
      </c>
      <c r="D360" t="e">
        <f>VLOOKUP(A360,#REF!,2,FALSE)</f>
        <v>#REF!</v>
      </c>
      <c r="E360" t="e">
        <f t="shared" si="7"/>
        <v>#REF!</v>
      </c>
    </row>
    <row r="361" spans="1:5">
      <c r="A361" t="s">
        <v>5390</v>
      </c>
      <c r="B361">
        <v>4</v>
      </c>
      <c r="C361">
        <v>8</v>
      </c>
      <c r="D361" t="e">
        <f>VLOOKUP(A361,#REF!,2,FALSE)</f>
        <v>#REF!</v>
      </c>
      <c r="E361" t="e">
        <f t="shared" si="7"/>
        <v>#REF!</v>
      </c>
    </row>
    <row r="362" spans="1:5">
      <c r="A362" t="s">
        <v>5370</v>
      </c>
      <c r="B362">
        <v>4</v>
      </c>
      <c r="C362">
        <v>7</v>
      </c>
      <c r="D362" t="e">
        <f>VLOOKUP(A362,#REF!,2,FALSE)</f>
        <v>#REF!</v>
      </c>
      <c r="E362" t="e">
        <f t="shared" si="7"/>
        <v>#REF!</v>
      </c>
    </row>
    <row r="363" spans="1:5">
      <c r="A363" t="s">
        <v>5414</v>
      </c>
      <c r="B363">
        <v>4</v>
      </c>
      <c r="C363">
        <v>6</v>
      </c>
      <c r="D363" t="e">
        <f>VLOOKUP(A363,#REF!,2,FALSE)</f>
        <v>#REF!</v>
      </c>
      <c r="E363" t="e">
        <f t="shared" si="7"/>
        <v>#REF!</v>
      </c>
    </row>
    <row r="364" spans="1:5">
      <c r="A364" t="s">
        <v>5393</v>
      </c>
      <c r="B364">
        <v>4</v>
      </c>
      <c r="C364">
        <v>6</v>
      </c>
      <c r="D364" t="e">
        <f>VLOOKUP(A364,#REF!,2,FALSE)</f>
        <v>#REF!</v>
      </c>
      <c r="E364" t="e">
        <f t="shared" si="7"/>
        <v>#REF!</v>
      </c>
    </row>
    <row r="365" spans="1:5">
      <c r="A365" t="s">
        <v>5405</v>
      </c>
      <c r="B365">
        <v>4</v>
      </c>
      <c r="C365">
        <v>6</v>
      </c>
      <c r="D365" t="e">
        <f>VLOOKUP(A365,#REF!,2,FALSE)</f>
        <v>#REF!</v>
      </c>
      <c r="E365" t="e">
        <f t="shared" si="7"/>
        <v>#REF!</v>
      </c>
    </row>
    <row r="366" spans="1:5">
      <c r="A366" t="s">
        <v>5406</v>
      </c>
      <c r="B366">
        <v>4</v>
      </c>
      <c r="C366">
        <v>4</v>
      </c>
      <c r="D366" t="e">
        <f>VLOOKUP(A366,#REF!,2,FALSE)</f>
        <v>#REF!</v>
      </c>
      <c r="E366" t="e">
        <f t="shared" si="7"/>
        <v>#REF!</v>
      </c>
    </row>
    <row r="367" spans="1:5">
      <c r="A367" t="s">
        <v>5385</v>
      </c>
      <c r="B367">
        <v>4</v>
      </c>
      <c r="C367">
        <v>4</v>
      </c>
      <c r="D367" t="e">
        <f>VLOOKUP(A367,#REF!,2,FALSE)</f>
        <v>#REF!</v>
      </c>
      <c r="E367" t="e">
        <f t="shared" si="7"/>
        <v>#REF!</v>
      </c>
    </row>
    <row r="368" spans="1:5">
      <c r="A368" t="s">
        <v>5395</v>
      </c>
      <c r="B368">
        <v>4</v>
      </c>
      <c r="C368">
        <v>3</v>
      </c>
      <c r="D368" t="e">
        <f>VLOOKUP(A368,#REF!,2,FALSE)</f>
        <v>#REF!</v>
      </c>
      <c r="E368" t="e">
        <f t="shared" si="7"/>
        <v>#REF!</v>
      </c>
    </row>
    <row r="369" spans="1:5">
      <c r="A369" t="s">
        <v>5402</v>
      </c>
      <c r="B369">
        <v>4</v>
      </c>
      <c r="C369">
        <v>3</v>
      </c>
      <c r="D369" t="e">
        <f>VLOOKUP(A369,#REF!,2,FALSE)</f>
        <v>#REF!</v>
      </c>
      <c r="E369" t="e">
        <f t="shared" si="7"/>
        <v>#REF!</v>
      </c>
    </row>
    <row r="370" spans="1:5">
      <c r="A370" t="s">
        <v>5413</v>
      </c>
      <c r="B370">
        <v>4</v>
      </c>
      <c r="C370">
        <v>3</v>
      </c>
      <c r="D370" t="e">
        <f>VLOOKUP(A370,#REF!,2,FALSE)</f>
        <v>#REF!</v>
      </c>
      <c r="E370" t="e">
        <f t="shared" si="7"/>
        <v>#REF!</v>
      </c>
    </row>
    <row r="371" spans="1:5">
      <c r="A371" t="s">
        <v>5407</v>
      </c>
      <c r="B371">
        <v>4</v>
      </c>
      <c r="C371">
        <v>2</v>
      </c>
      <c r="D371" t="e">
        <f>VLOOKUP(A371,#REF!,2,FALSE)</f>
        <v>#REF!</v>
      </c>
      <c r="E371" t="e">
        <f t="shared" si="7"/>
        <v>#REF!</v>
      </c>
    </row>
    <row r="372" spans="1:5">
      <c r="A372" t="s">
        <v>5358</v>
      </c>
      <c r="B372">
        <v>4</v>
      </c>
      <c r="C372">
        <v>2</v>
      </c>
      <c r="D372" t="e">
        <f>VLOOKUP(A372,#REF!,2,FALSE)</f>
        <v>#REF!</v>
      </c>
      <c r="E372" t="e">
        <f t="shared" si="7"/>
        <v>#REF!</v>
      </c>
    </row>
    <row r="373" spans="1:5">
      <c r="A373" t="s">
        <v>5416</v>
      </c>
      <c r="B373">
        <v>4</v>
      </c>
      <c r="C373">
        <v>1</v>
      </c>
      <c r="D373" t="e">
        <f>VLOOKUP(A373,#REF!,2,FALSE)</f>
        <v>#REF!</v>
      </c>
      <c r="E373" t="e">
        <f t="shared" si="7"/>
        <v>#REF!</v>
      </c>
    </row>
    <row r="374" spans="1:5">
      <c r="A374" t="s">
        <v>5403</v>
      </c>
      <c r="B374">
        <v>4</v>
      </c>
      <c r="C374">
        <v>1</v>
      </c>
      <c r="D374" t="e">
        <f>VLOOKUP(A374,#REF!,2,FALSE)</f>
        <v>#REF!</v>
      </c>
      <c r="E374" t="e">
        <f t="shared" si="7"/>
        <v>#REF!</v>
      </c>
    </row>
    <row r="375" spans="1:5">
      <c r="A375" t="s">
        <v>5400</v>
      </c>
      <c r="B375">
        <v>4</v>
      </c>
      <c r="C375">
        <v>1</v>
      </c>
      <c r="D375" t="e">
        <f>VLOOKUP(A375,#REF!,2,FALSE)</f>
        <v>#REF!</v>
      </c>
      <c r="E375" t="e">
        <f t="shared" si="7"/>
        <v>#REF!</v>
      </c>
    </row>
    <row r="376" spans="1:5">
      <c r="A376" t="s">
        <v>1408</v>
      </c>
      <c r="B376">
        <v>5</v>
      </c>
      <c r="C376">
        <v>9365</v>
      </c>
      <c r="D376" t="e">
        <f>VLOOKUP(A376,#REF!,2,FALSE)</f>
        <v>#REF!</v>
      </c>
      <c r="E376" t="e">
        <f t="shared" si="7"/>
        <v>#REF!</v>
      </c>
    </row>
    <row r="377" spans="1:5">
      <c r="A377" t="s">
        <v>5321</v>
      </c>
      <c r="B377">
        <v>5</v>
      </c>
      <c r="C377">
        <v>8433</v>
      </c>
      <c r="D377" t="e">
        <f>VLOOKUP(A377,#REF!,2,FALSE)</f>
        <v>#REF!</v>
      </c>
      <c r="E377" t="e">
        <f t="shared" si="7"/>
        <v>#REF!</v>
      </c>
    </row>
    <row r="378" spans="1:5">
      <c r="A378" t="s">
        <v>5326</v>
      </c>
      <c r="B378">
        <v>5</v>
      </c>
      <c r="C378">
        <v>6123</v>
      </c>
      <c r="D378" t="e">
        <f>VLOOKUP(A378,#REF!,2,FALSE)</f>
        <v>#REF!</v>
      </c>
      <c r="E378" t="e">
        <f t="shared" si="7"/>
        <v>#REF!</v>
      </c>
    </row>
    <row r="379" spans="1:5">
      <c r="A379" t="s">
        <v>5324</v>
      </c>
      <c r="B379">
        <v>5</v>
      </c>
      <c r="C379">
        <v>5258</v>
      </c>
      <c r="D379" t="e">
        <f>VLOOKUP(A379,#REF!,2,FALSE)</f>
        <v>#REF!</v>
      </c>
      <c r="E379" t="e">
        <f t="shared" si="7"/>
        <v>#REF!</v>
      </c>
    </row>
    <row r="380" spans="1:5">
      <c r="A380" t="s">
        <v>5325</v>
      </c>
      <c r="B380">
        <v>5</v>
      </c>
      <c r="C380">
        <v>4991</v>
      </c>
      <c r="D380" t="e">
        <f>VLOOKUP(A380,#REF!,2,FALSE)</f>
        <v>#REF!</v>
      </c>
      <c r="E380" t="e">
        <f t="shared" si="7"/>
        <v>#REF!</v>
      </c>
    </row>
    <row r="381" spans="1:5">
      <c r="A381" t="s">
        <v>5327</v>
      </c>
      <c r="B381">
        <v>5</v>
      </c>
      <c r="C381">
        <v>4961</v>
      </c>
      <c r="D381" t="e">
        <f>VLOOKUP(A381,#REF!,2,FALSE)</f>
        <v>#REF!</v>
      </c>
      <c r="E381" t="e">
        <f t="shared" si="7"/>
        <v>#REF!</v>
      </c>
    </row>
    <row r="382" spans="1:5">
      <c r="A382" t="s">
        <v>5329</v>
      </c>
      <c r="B382">
        <v>5</v>
      </c>
      <c r="C382">
        <v>4774</v>
      </c>
      <c r="D382" t="e">
        <f>VLOOKUP(A382,#REF!,2,FALSE)</f>
        <v>#REF!</v>
      </c>
      <c r="E382" t="e">
        <f t="shared" si="7"/>
        <v>#REF!</v>
      </c>
    </row>
    <row r="383" spans="1:5">
      <c r="A383" t="s">
        <v>5328</v>
      </c>
      <c r="B383">
        <v>5</v>
      </c>
      <c r="C383">
        <v>3768</v>
      </c>
      <c r="D383" t="e">
        <f>VLOOKUP(A383,#REF!,2,FALSE)</f>
        <v>#REF!</v>
      </c>
      <c r="E383" t="e">
        <f t="shared" si="7"/>
        <v>#REF!</v>
      </c>
    </row>
    <row r="384" spans="1:5">
      <c r="A384" t="s">
        <v>5317</v>
      </c>
      <c r="B384">
        <v>5</v>
      </c>
      <c r="C384">
        <v>3604</v>
      </c>
      <c r="D384" t="e">
        <f>VLOOKUP(A384,#REF!,2,FALSE)</f>
        <v>#REF!</v>
      </c>
      <c r="E384" t="e">
        <f t="shared" si="7"/>
        <v>#REF!</v>
      </c>
    </row>
    <row r="385" spans="1:5">
      <c r="A385" t="s">
        <v>5323</v>
      </c>
      <c r="B385">
        <v>5</v>
      </c>
      <c r="C385">
        <v>2852</v>
      </c>
      <c r="D385" t="e">
        <f>VLOOKUP(A385,#REF!,2,FALSE)</f>
        <v>#REF!</v>
      </c>
      <c r="E385" t="e">
        <f t="shared" si="7"/>
        <v>#REF!</v>
      </c>
    </row>
    <row r="386" spans="1:5">
      <c r="A386" t="s">
        <v>5333</v>
      </c>
      <c r="B386">
        <v>5</v>
      </c>
      <c r="C386">
        <v>2625</v>
      </c>
      <c r="D386" t="e">
        <f>VLOOKUP(A386,#REF!,2,FALSE)</f>
        <v>#REF!</v>
      </c>
      <c r="E386" t="e">
        <f t="shared" si="7"/>
        <v>#REF!</v>
      </c>
    </row>
    <row r="387" spans="1:5">
      <c r="A387" t="s">
        <v>5319</v>
      </c>
      <c r="B387">
        <v>5</v>
      </c>
      <c r="C387">
        <v>2247</v>
      </c>
      <c r="D387" t="e">
        <f>VLOOKUP(A387,#REF!,2,FALSE)</f>
        <v>#REF!</v>
      </c>
      <c r="E387" t="e">
        <f t="shared" ref="E387:E450" si="8">C387/D387</f>
        <v>#REF!</v>
      </c>
    </row>
    <row r="388" spans="1:5">
      <c r="A388" t="s">
        <v>5320</v>
      </c>
      <c r="B388">
        <v>5</v>
      </c>
      <c r="C388">
        <v>1929</v>
      </c>
      <c r="D388" t="e">
        <f>VLOOKUP(A388,#REF!,2,FALSE)</f>
        <v>#REF!</v>
      </c>
      <c r="E388" t="e">
        <f t="shared" si="8"/>
        <v>#REF!</v>
      </c>
    </row>
    <row r="389" spans="1:5">
      <c r="A389" t="s">
        <v>5318</v>
      </c>
      <c r="B389">
        <v>5</v>
      </c>
      <c r="C389">
        <v>1683</v>
      </c>
      <c r="D389" t="e">
        <f>VLOOKUP(A389,#REF!,2,FALSE)</f>
        <v>#REF!</v>
      </c>
      <c r="E389" t="e">
        <f t="shared" si="8"/>
        <v>#REF!</v>
      </c>
    </row>
    <row r="390" spans="1:5">
      <c r="A390" t="s">
        <v>5338</v>
      </c>
      <c r="B390">
        <v>5</v>
      </c>
      <c r="C390">
        <v>1301</v>
      </c>
      <c r="D390" t="e">
        <f>VLOOKUP(A390,#REF!,2,FALSE)</f>
        <v>#REF!</v>
      </c>
      <c r="E390" t="e">
        <f t="shared" si="8"/>
        <v>#REF!</v>
      </c>
    </row>
    <row r="391" spans="1:5">
      <c r="A391" t="s">
        <v>5334</v>
      </c>
      <c r="B391">
        <v>5</v>
      </c>
      <c r="C391">
        <v>1134</v>
      </c>
      <c r="D391" t="e">
        <f>VLOOKUP(A391,#REF!,2,FALSE)</f>
        <v>#REF!</v>
      </c>
      <c r="E391" t="e">
        <f t="shared" si="8"/>
        <v>#REF!</v>
      </c>
    </row>
    <row r="392" spans="1:5">
      <c r="A392" t="s">
        <v>5336</v>
      </c>
      <c r="B392">
        <v>5</v>
      </c>
      <c r="C392">
        <v>904</v>
      </c>
      <c r="D392" t="e">
        <f>VLOOKUP(A392,#REF!,2,FALSE)</f>
        <v>#REF!</v>
      </c>
      <c r="E392" t="e">
        <f t="shared" si="8"/>
        <v>#REF!</v>
      </c>
    </row>
    <row r="393" spans="1:5">
      <c r="A393" t="s">
        <v>5322</v>
      </c>
      <c r="B393">
        <v>5</v>
      </c>
      <c r="C393">
        <v>891</v>
      </c>
      <c r="D393" t="e">
        <f>VLOOKUP(A393,#REF!,2,FALSE)</f>
        <v>#REF!</v>
      </c>
      <c r="E393" t="e">
        <f t="shared" si="8"/>
        <v>#REF!</v>
      </c>
    </row>
    <row r="394" spans="1:5">
      <c r="A394" t="s">
        <v>5353</v>
      </c>
      <c r="B394">
        <v>5</v>
      </c>
      <c r="C394">
        <v>888</v>
      </c>
      <c r="D394" t="e">
        <f>VLOOKUP(A394,#REF!,2,FALSE)</f>
        <v>#REF!</v>
      </c>
      <c r="E394" t="e">
        <f t="shared" si="8"/>
        <v>#REF!</v>
      </c>
    </row>
    <row r="395" spans="1:5">
      <c r="A395" t="s">
        <v>5316</v>
      </c>
      <c r="B395">
        <v>5</v>
      </c>
      <c r="C395">
        <v>758</v>
      </c>
      <c r="D395" t="e">
        <f>VLOOKUP(A395,#REF!,2,FALSE)</f>
        <v>#REF!</v>
      </c>
      <c r="E395" t="e">
        <f t="shared" si="8"/>
        <v>#REF!</v>
      </c>
    </row>
    <row r="396" spans="1:5">
      <c r="A396" t="s">
        <v>5335</v>
      </c>
      <c r="B396">
        <v>5</v>
      </c>
      <c r="C396">
        <v>640</v>
      </c>
      <c r="D396" t="e">
        <f>VLOOKUP(A396,#REF!,2,FALSE)</f>
        <v>#REF!</v>
      </c>
      <c r="E396" t="e">
        <f t="shared" si="8"/>
        <v>#REF!</v>
      </c>
    </row>
    <row r="397" spans="1:5">
      <c r="A397" t="s">
        <v>5342</v>
      </c>
      <c r="B397">
        <v>5</v>
      </c>
      <c r="C397">
        <v>616</v>
      </c>
      <c r="D397" t="e">
        <f>VLOOKUP(A397,#REF!,2,FALSE)</f>
        <v>#REF!</v>
      </c>
      <c r="E397" t="e">
        <f t="shared" si="8"/>
        <v>#REF!</v>
      </c>
    </row>
    <row r="398" spans="1:5">
      <c r="A398" t="s">
        <v>5361</v>
      </c>
      <c r="B398">
        <v>5</v>
      </c>
      <c r="C398">
        <v>579</v>
      </c>
      <c r="D398" t="e">
        <f>VLOOKUP(A398,#REF!,2,FALSE)</f>
        <v>#REF!</v>
      </c>
      <c r="E398" t="e">
        <f t="shared" si="8"/>
        <v>#REF!</v>
      </c>
    </row>
    <row r="399" spans="1:5">
      <c r="A399" t="s">
        <v>5337</v>
      </c>
      <c r="B399">
        <v>5</v>
      </c>
      <c r="C399">
        <v>565</v>
      </c>
      <c r="D399" t="e">
        <f>VLOOKUP(A399,#REF!,2,FALSE)</f>
        <v>#REF!</v>
      </c>
      <c r="E399" t="e">
        <f t="shared" si="8"/>
        <v>#REF!</v>
      </c>
    </row>
    <row r="400" spans="1:5">
      <c r="A400" t="s">
        <v>5357</v>
      </c>
      <c r="B400">
        <v>5</v>
      </c>
      <c r="C400">
        <v>470</v>
      </c>
      <c r="D400" t="e">
        <f>VLOOKUP(A400,#REF!,2,FALSE)</f>
        <v>#REF!</v>
      </c>
      <c r="E400" t="e">
        <f t="shared" si="8"/>
        <v>#REF!</v>
      </c>
    </row>
    <row r="401" spans="1:5">
      <c r="A401" t="s">
        <v>5345</v>
      </c>
      <c r="B401">
        <v>5</v>
      </c>
      <c r="C401">
        <v>401</v>
      </c>
      <c r="D401" t="e">
        <f>VLOOKUP(A401,#REF!,2,FALSE)</f>
        <v>#REF!</v>
      </c>
      <c r="E401" t="e">
        <f t="shared" si="8"/>
        <v>#REF!</v>
      </c>
    </row>
    <row r="402" spans="1:5">
      <c r="A402" t="s">
        <v>5355</v>
      </c>
      <c r="B402">
        <v>5</v>
      </c>
      <c r="C402">
        <v>359</v>
      </c>
      <c r="D402" t="e">
        <f>VLOOKUP(A402,#REF!,2,FALSE)</f>
        <v>#REF!</v>
      </c>
      <c r="E402" t="e">
        <f t="shared" si="8"/>
        <v>#REF!</v>
      </c>
    </row>
    <row r="403" spans="1:5">
      <c r="A403" t="s">
        <v>5347</v>
      </c>
      <c r="B403">
        <v>5</v>
      </c>
      <c r="C403">
        <v>324</v>
      </c>
      <c r="D403" t="e">
        <f>VLOOKUP(A403,#REF!,2,FALSE)</f>
        <v>#REF!</v>
      </c>
      <c r="E403" t="e">
        <f t="shared" si="8"/>
        <v>#REF!</v>
      </c>
    </row>
    <row r="404" spans="1:5">
      <c r="A404" t="s">
        <v>5346</v>
      </c>
      <c r="B404">
        <v>5</v>
      </c>
      <c r="C404">
        <v>319</v>
      </c>
      <c r="D404" t="e">
        <f>VLOOKUP(A404,#REF!,2,FALSE)</f>
        <v>#REF!</v>
      </c>
      <c r="E404" t="e">
        <f t="shared" si="8"/>
        <v>#REF!</v>
      </c>
    </row>
    <row r="405" spans="1:5">
      <c r="A405" t="s">
        <v>5380</v>
      </c>
      <c r="B405">
        <v>5</v>
      </c>
      <c r="C405">
        <v>300</v>
      </c>
      <c r="D405" t="e">
        <f>VLOOKUP(A405,#REF!,2,FALSE)</f>
        <v>#REF!</v>
      </c>
      <c r="E405" t="e">
        <f t="shared" si="8"/>
        <v>#REF!</v>
      </c>
    </row>
    <row r="406" spans="1:5">
      <c r="A406" t="s">
        <v>5367</v>
      </c>
      <c r="B406">
        <v>5</v>
      </c>
      <c r="C406">
        <v>287</v>
      </c>
      <c r="D406" t="e">
        <f>VLOOKUP(A406,#REF!,2,FALSE)</f>
        <v>#REF!</v>
      </c>
      <c r="E406" t="e">
        <f t="shared" si="8"/>
        <v>#REF!</v>
      </c>
    </row>
    <row r="407" spans="1:5">
      <c r="A407" t="s">
        <v>5341</v>
      </c>
      <c r="B407">
        <v>5</v>
      </c>
      <c r="C407">
        <v>268</v>
      </c>
      <c r="D407" t="e">
        <f>VLOOKUP(A407,#REF!,2,FALSE)</f>
        <v>#REF!</v>
      </c>
      <c r="E407" t="e">
        <f t="shared" si="8"/>
        <v>#REF!</v>
      </c>
    </row>
    <row r="408" spans="1:5">
      <c r="A408" t="s">
        <v>5340</v>
      </c>
      <c r="B408">
        <v>5</v>
      </c>
      <c r="C408">
        <v>252</v>
      </c>
      <c r="D408" t="e">
        <f>VLOOKUP(A408,#REF!,2,FALSE)</f>
        <v>#REF!</v>
      </c>
      <c r="E408" t="e">
        <f t="shared" si="8"/>
        <v>#REF!</v>
      </c>
    </row>
    <row r="409" spans="1:5">
      <c r="A409" t="s">
        <v>5360</v>
      </c>
      <c r="B409">
        <v>5</v>
      </c>
      <c r="C409">
        <v>225</v>
      </c>
      <c r="D409" t="e">
        <f>VLOOKUP(A409,#REF!,2,FALSE)</f>
        <v>#REF!</v>
      </c>
      <c r="E409" t="e">
        <f t="shared" si="8"/>
        <v>#REF!</v>
      </c>
    </row>
    <row r="410" spans="1:5">
      <c r="A410" t="s">
        <v>5356</v>
      </c>
      <c r="B410">
        <v>5</v>
      </c>
      <c r="C410">
        <v>224</v>
      </c>
      <c r="D410" t="e">
        <f>VLOOKUP(A410,#REF!,2,FALSE)</f>
        <v>#REF!</v>
      </c>
      <c r="E410" t="e">
        <f t="shared" si="8"/>
        <v>#REF!</v>
      </c>
    </row>
    <row r="411" spans="1:5">
      <c r="A411" t="s">
        <v>5351</v>
      </c>
      <c r="B411">
        <v>5</v>
      </c>
      <c r="C411">
        <v>213</v>
      </c>
      <c r="D411" t="e">
        <f>VLOOKUP(A411,#REF!,2,FALSE)</f>
        <v>#REF!</v>
      </c>
      <c r="E411" t="e">
        <f t="shared" si="8"/>
        <v>#REF!</v>
      </c>
    </row>
    <row r="412" spans="1:5">
      <c r="A412" t="s">
        <v>5348</v>
      </c>
      <c r="B412">
        <v>5</v>
      </c>
      <c r="C412">
        <v>188</v>
      </c>
      <c r="D412" t="e">
        <f>VLOOKUP(A412,#REF!,2,FALSE)</f>
        <v>#REF!</v>
      </c>
      <c r="E412" t="e">
        <f t="shared" si="8"/>
        <v>#REF!</v>
      </c>
    </row>
    <row r="413" spans="1:5">
      <c r="A413" t="s">
        <v>5384</v>
      </c>
      <c r="B413">
        <v>5</v>
      </c>
      <c r="C413">
        <v>185</v>
      </c>
      <c r="D413" t="e">
        <f>VLOOKUP(A413,#REF!,2,FALSE)</f>
        <v>#REF!</v>
      </c>
      <c r="E413" t="e">
        <f t="shared" si="8"/>
        <v>#REF!</v>
      </c>
    </row>
    <row r="414" spans="1:5">
      <c r="A414" t="s">
        <v>5391</v>
      </c>
      <c r="B414">
        <v>5</v>
      </c>
      <c r="C414">
        <v>184</v>
      </c>
      <c r="D414" t="e">
        <f>VLOOKUP(A414,#REF!,2,FALSE)</f>
        <v>#REF!</v>
      </c>
      <c r="E414" t="e">
        <f t="shared" si="8"/>
        <v>#REF!</v>
      </c>
    </row>
    <row r="415" spans="1:5">
      <c r="A415" t="s">
        <v>5350</v>
      </c>
      <c r="B415">
        <v>5</v>
      </c>
      <c r="C415">
        <v>162</v>
      </c>
      <c r="D415" t="e">
        <f>VLOOKUP(A415,#REF!,2,FALSE)</f>
        <v>#REF!</v>
      </c>
      <c r="E415" t="e">
        <f t="shared" si="8"/>
        <v>#REF!</v>
      </c>
    </row>
    <row r="416" spans="1:5">
      <c r="A416" t="s">
        <v>5372</v>
      </c>
      <c r="B416">
        <v>5</v>
      </c>
      <c r="C416">
        <v>132</v>
      </c>
      <c r="D416" t="e">
        <f>VLOOKUP(A416,#REF!,2,FALSE)</f>
        <v>#REF!</v>
      </c>
      <c r="E416" t="e">
        <f t="shared" si="8"/>
        <v>#REF!</v>
      </c>
    </row>
    <row r="417" spans="1:5">
      <c r="A417" t="s">
        <v>5339</v>
      </c>
      <c r="B417">
        <v>5</v>
      </c>
      <c r="C417">
        <v>130</v>
      </c>
      <c r="D417" t="e">
        <f>VLOOKUP(A417,#REF!,2,FALSE)</f>
        <v>#REF!</v>
      </c>
      <c r="E417" t="e">
        <f t="shared" si="8"/>
        <v>#REF!</v>
      </c>
    </row>
    <row r="418" spans="1:5">
      <c r="A418" t="s">
        <v>5378</v>
      </c>
      <c r="B418">
        <v>5</v>
      </c>
      <c r="C418">
        <v>121</v>
      </c>
      <c r="D418" t="e">
        <f>VLOOKUP(A418,#REF!,2,FALSE)</f>
        <v>#REF!</v>
      </c>
      <c r="E418" t="e">
        <f t="shared" si="8"/>
        <v>#REF!</v>
      </c>
    </row>
    <row r="419" spans="1:5">
      <c r="A419" t="s">
        <v>5373</v>
      </c>
      <c r="B419">
        <v>5</v>
      </c>
      <c r="C419">
        <v>120</v>
      </c>
      <c r="D419" t="e">
        <f>VLOOKUP(A419,#REF!,2,FALSE)</f>
        <v>#REF!</v>
      </c>
      <c r="E419" t="e">
        <f t="shared" si="8"/>
        <v>#REF!</v>
      </c>
    </row>
    <row r="420" spans="1:5">
      <c r="A420" t="s">
        <v>5343</v>
      </c>
      <c r="B420">
        <v>5</v>
      </c>
      <c r="C420">
        <v>119</v>
      </c>
      <c r="D420" t="e">
        <f>VLOOKUP(A420,#REF!,2,FALSE)</f>
        <v>#REF!</v>
      </c>
      <c r="E420" t="e">
        <f t="shared" si="8"/>
        <v>#REF!</v>
      </c>
    </row>
    <row r="421" spans="1:5">
      <c r="A421" t="s">
        <v>5349</v>
      </c>
      <c r="B421">
        <v>5</v>
      </c>
      <c r="C421">
        <v>107</v>
      </c>
      <c r="D421" t="e">
        <f>VLOOKUP(A421,#REF!,2,FALSE)</f>
        <v>#REF!</v>
      </c>
      <c r="E421" t="e">
        <f t="shared" si="8"/>
        <v>#REF!</v>
      </c>
    </row>
    <row r="422" spans="1:5">
      <c r="A422" t="s">
        <v>5352</v>
      </c>
      <c r="B422">
        <v>5</v>
      </c>
      <c r="C422">
        <v>102</v>
      </c>
      <c r="D422" t="e">
        <f>VLOOKUP(A422,#REF!,2,FALSE)</f>
        <v>#REF!</v>
      </c>
      <c r="E422" t="e">
        <f t="shared" si="8"/>
        <v>#REF!</v>
      </c>
    </row>
    <row r="423" spans="1:5">
      <c r="A423" t="s">
        <v>5369</v>
      </c>
      <c r="B423">
        <v>5</v>
      </c>
      <c r="C423">
        <v>98</v>
      </c>
      <c r="D423" t="e">
        <f>VLOOKUP(A423,#REF!,2,FALSE)</f>
        <v>#REF!</v>
      </c>
      <c r="E423" t="e">
        <f t="shared" si="8"/>
        <v>#REF!</v>
      </c>
    </row>
    <row r="424" spans="1:5">
      <c r="A424" t="s">
        <v>5298</v>
      </c>
      <c r="B424">
        <v>5</v>
      </c>
      <c r="C424">
        <v>96</v>
      </c>
      <c r="D424" t="e">
        <f>VLOOKUP(A424,#REF!,2,FALSE)</f>
        <v>#REF!</v>
      </c>
      <c r="E424" t="e">
        <f t="shared" si="8"/>
        <v>#REF!</v>
      </c>
    </row>
    <row r="425" spans="1:5">
      <c r="A425" t="s">
        <v>5379</v>
      </c>
      <c r="B425">
        <v>5</v>
      </c>
      <c r="C425">
        <v>89</v>
      </c>
      <c r="D425" t="e">
        <f>VLOOKUP(A425,#REF!,2,FALSE)</f>
        <v>#REF!</v>
      </c>
      <c r="E425" t="e">
        <f t="shared" si="8"/>
        <v>#REF!</v>
      </c>
    </row>
    <row r="426" spans="1:5">
      <c r="A426" t="s">
        <v>5383</v>
      </c>
      <c r="B426">
        <v>5</v>
      </c>
      <c r="C426">
        <v>86</v>
      </c>
      <c r="D426" t="e">
        <f>VLOOKUP(A426,#REF!,2,FALSE)</f>
        <v>#REF!</v>
      </c>
      <c r="E426" t="e">
        <f t="shared" si="8"/>
        <v>#REF!</v>
      </c>
    </row>
    <row r="427" spans="1:5">
      <c r="A427" t="s">
        <v>5377</v>
      </c>
      <c r="B427">
        <v>5</v>
      </c>
      <c r="C427">
        <v>83</v>
      </c>
      <c r="D427" t="e">
        <f>VLOOKUP(A427,#REF!,2,FALSE)</f>
        <v>#REF!</v>
      </c>
      <c r="E427" t="e">
        <f t="shared" si="8"/>
        <v>#REF!</v>
      </c>
    </row>
    <row r="428" spans="1:5">
      <c r="A428" t="s">
        <v>5366</v>
      </c>
      <c r="B428">
        <v>5</v>
      </c>
      <c r="C428">
        <v>74</v>
      </c>
      <c r="D428" t="e">
        <f>VLOOKUP(A428,#REF!,2,FALSE)</f>
        <v>#REF!</v>
      </c>
      <c r="E428" t="e">
        <f t="shared" si="8"/>
        <v>#REF!</v>
      </c>
    </row>
    <row r="429" spans="1:5">
      <c r="A429" t="s">
        <v>5359</v>
      </c>
      <c r="B429">
        <v>5</v>
      </c>
      <c r="C429">
        <v>68</v>
      </c>
      <c r="D429" t="e">
        <f>VLOOKUP(A429,#REF!,2,FALSE)</f>
        <v>#REF!</v>
      </c>
      <c r="E429" t="e">
        <f t="shared" si="8"/>
        <v>#REF!</v>
      </c>
    </row>
    <row r="430" spans="1:5">
      <c r="A430" t="s">
        <v>5365</v>
      </c>
      <c r="B430">
        <v>5</v>
      </c>
      <c r="C430">
        <v>67</v>
      </c>
      <c r="D430" t="e">
        <f>VLOOKUP(A430,#REF!,2,FALSE)</f>
        <v>#REF!</v>
      </c>
      <c r="E430" t="e">
        <f t="shared" si="8"/>
        <v>#REF!</v>
      </c>
    </row>
    <row r="431" spans="1:5">
      <c r="A431" t="s">
        <v>5368</v>
      </c>
      <c r="B431">
        <v>5</v>
      </c>
      <c r="C431">
        <v>62</v>
      </c>
      <c r="D431" t="e">
        <f>VLOOKUP(A431,#REF!,2,FALSE)</f>
        <v>#REF!</v>
      </c>
      <c r="E431" t="e">
        <f t="shared" si="8"/>
        <v>#REF!</v>
      </c>
    </row>
    <row r="432" spans="1:5">
      <c r="A432" t="s">
        <v>5354</v>
      </c>
      <c r="B432">
        <v>5</v>
      </c>
      <c r="C432">
        <v>54</v>
      </c>
      <c r="D432" t="e">
        <f>VLOOKUP(A432,#REF!,2,FALSE)</f>
        <v>#REF!</v>
      </c>
      <c r="E432" t="e">
        <f t="shared" si="8"/>
        <v>#REF!</v>
      </c>
    </row>
    <row r="433" spans="1:5">
      <c r="A433" t="s">
        <v>5362</v>
      </c>
      <c r="B433">
        <v>5</v>
      </c>
      <c r="C433">
        <v>54</v>
      </c>
      <c r="D433" t="e">
        <f>VLOOKUP(A433,#REF!,2,FALSE)</f>
        <v>#REF!</v>
      </c>
      <c r="E433" t="e">
        <f t="shared" si="8"/>
        <v>#REF!</v>
      </c>
    </row>
    <row r="434" spans="1:5">
      <c r="A434" t="s">
        <v>5363</v>
      </c>
      <c r="B434">
        <v>5</v>
      </c>
      <c r="C434">
        <v>53</v>
      </c>
      <c r="D434" t="e">
        <f>VLOOKUP(A434,#REF!,2,FALSE)</f>
        <v>#REF!</v>
      </c>
      <c r="E434" t="e">
        <f t="shared" si="8"/>
        <v>#REF!</v>
      </c>
    </row>
    <row r="435" spans="1:5">
      <c r="A435" t="s">
        <v>5389</v>
      </c>
      <c r="B435">
        <v>5</v>
      </c>
      <c r="C435">
        <v>46</v>
      </c>
      <c r="D435" t="e">
        <f>VLOOKUP(A435,#REF!,2,FALSE)</f>
        <v>#REF!</v>
      </c>
      <c r="E435" t="e">
        <f t="shared" si="8"/>
        <v>#REF!</v>
      </c>
    </row>
    <row r="436" spans="1:5">
      <c r="A436" t="s">
        <v>5364</v>
      </c>
      <c r="B436">
        <v>5</v>
      </c>
      <c r="C436">
        <v>46</v>
      </c>
      <c r="D436" t="e">
        <f>VLOOKUP(A436,#REF!,2,FALSE)</f>
        <v>#REF!</v>
      </c>
      <c r="E436" t="e">
        <f t="shared" si="8"/>
        <v>#REF!</v>
      </c>
    </row>
    <row r="437" spans="1:5">
      <c r="A437" t="s">
        <v>5387</v>
      </c>
      <c r="B437">
        <v>5</v>
      </c>
      <c r="C437">
        <v>39</v>
      </c>
      <c r="D437" t="e">
        <f>VLOOKUP(A437,#REF!,2,FALSE)</f>
        <v>#REF!</v>
      </c>
      <c r="E437" t="e">
        <f t="shared" si="8"/>
        <v>#REF!</v>
      </c>
    </row>
    <row r="438" spans="1:5">
      <c r="A438" t="s">
        <v>5392</v>
      </c>
      <c r="B438">
        <v>5</v>
      </c>
      <c r="C438">
        <v>38</v>
      </c>
      <c r="D438" t="e">
        <f>VLOOKUP(A438,#REF!,2,FALSE)</f>
        <v>#REF!</v>
      </c>
      <c r="E438" t="e">
        <f t="shared" si="8"/>
        <v>#REF!</v>
      </c>
    </row>
    <row r="439" spans="1:5">
      <c r="A439" t="s">
        <v>5399</v>
      </c>
      <c r="B439">
        <v>5</v>
      </c>
      <c r="C439">
        <v>32</v>
      </c>
      <c r="D439" t="e">
        <f>VLOOKUP(A439,#REF!,2,FALSE)</f>
        <v>#REF!</v>
      </c>
      <c r="E439" t="e">
        <f t="shared" si="8"/>
        <v>#REF!</v>
      </c>
    </row>
    <row r="440" spans="1:5">
      <c r="A440" t="s">
        <v>5344</v>
      </c>
      <c r="B440">
        <v>5</v>
      </c>
      <c r="C440">
        <v>32</v>
      </c>
      <c r="D440" t="e">
        <f>VLOOKUP(A440,#REF!,2,FALSE)</f>
        <v>#REF!</v>
      </c>
      <c r="E440" t="e">
        <f t="shared" si="8"/>
        <v>#REF!</v>
      </c>
    </row>
    <row r="441" spans="1:5">
      <c r="A441" t="s">
        <v>5396</v>
      </c>
      <c r="B441">
        <v>5</v>
      </c>
      <c r="C441">
        <v>28</v>
      </c>
      <c r="D441" t="e">
        <f>VLOOKUP(A441,#REF!,2,FALSE)</f>
        <v>#REF!</v>
      </c>
      <c r="E441" t="e">
        <f t="shared" si="8"/>
        <v>#REF!</v>
      </c>
    </row>
    <row r="442" spans="1:5">
      <c r="A442" t="s">
        <v>5386</v>
      </c>
      <c r="B442">
        <v>5</v>
      </c>
      <c r="C442">
        <v>27</v>
      </c>
      <c r="D442" t="e">
        <f>VLOOKUP(A442,#REF!,2,FALSE)</f>
        <v>#REF!</v>
      </c>
      <c r="E442" t="e">
        <f t="shared" si="8"/>
        <v>#REF!</v>
      </c>
    </row>
    <row r="443" spans="1:5">
      <c r="A443" t="s">
        <v>5374</v>
      </c>
      <c r="B443">
        <v>5</v>
      </c>
      <c r="C443">
        <v>23</v>
      </c>
      <c r="D443" t="e">
        <f>VLOOKUP(A443,#REF!,2,FALSE)</f>
        <v>#REF!</v>
      </c>
      <c r="E443" t="e">
        <f t="shared" si="8"/>
        <v>#REF!</v>
      </c>
    </row>
    <row r="444" spans="1:5">
      <c r="A444" t="s">
        <v>5375</v>
      </c>
      <c r="B444">
        <v>5</v>
      </c>
      <c r="C444">
        <v>19</v>
      </c>
      <c r="D444" t="e">
        <f>VLOOKUP(A444,#REF!,2,FALSE)</f>
        <v>#REF!</v>
      </c>
      <c r="E444" t="e">
        <f t="shared" si="8"/>
        <v>#REF!</v>
      </c>
    </row>
    <row r="445" spans="1:5">
      <c r="A445" t="s">
        <v>5404</v>
      </c>
      <c r="B445">
        <v>5</v>
      </c>
      <c r="C445">
        <v>16</v>
      </c>
      <c r="D445" t="e">
        <f>VLOOKUP(A445,#REF!,2,FALSE)</f>
        <v>#REF!</v>
      </c>
      <c r="E445" t="e">
        <f t="shared" si="8"/>
        <v>#REF!</v>
      </c>
    </row>
    <row r="446" spans="1:5">
      <c r="A446" t="s">
        <v>5371</v>
      </c>
      <c r="B446">
        <v>5</v>
      </c>
      <c r="C446">
        <v>15</v>
      </c>
      <c r="D446" t="e">
        <f>VLOOKUP(A446,#REF!,2,FALSE)</f>
        <v>#REF!</v>
      </c>
      <c r="E446" t="e">
        <f t="shared" si="8"/>
        <v>#REF!</v>
      </c>
    </row>
    <row r="447" spans="1:5">
      <c r="A447" t="s">
        <v>5398</v>
      </c>
      <c r="B447">
        <v>5</v>
      </c>
      <c r="C447">
        <v>15</v>
      </c>
      <c r="D447" t="e">
        <f>VLOOKUP(A447,#REF!,2,FALSE)</f>
        <v>#REF!</v>
      </c>
      <c r="E447" t="e">
        <f t="shared" si="8"/>
        <v>#REF!</v>
      </c>
    </row>
    <row r="448" spans="1:5">
      <c r="A448" t="s">
        <v>5390</v>
      </c>
      <c r="B448">
        <v>5</v>
      </c>
      <c r="C448">
        <v>14</v>
      </c>
      <c r="D448" t="e">
        <f>VLOOKUP(A448,#REF!,2,FALSE)</f>
        <v>#REF!</v>
      </c>
      <c r="E448" t="e">
        <f t="shared" si="8"/>
        <v>#REF!</v>
      </c>
    </row>
    <row r="449" spans="1:5">
      <c r="A449" t="s">
        <v>5393</v>
      </c>
      <c r="B449">
        <v>5</v>
      </c>
      <c r="C449">
        <v>12</v>
      </c>
      <c r="D449" t="e">
        <f>VLOOKUP(A449,#REF!,2,FALSE)</f>
        <v>#REF!</v>
      </c>
      <c r="E449" t="e">
        <f t="shared" si="8"/>
        <v>#REF!</v>
      </c>
    </row>
    <row r="450" spans="1:5">
      <c r="A450" t="s">
        <v>5405</v>
      </c>
      <c r="B450">
        <v>5</v>
      </c>
      <c r="C450">
        <v>11</v>
      </c>
      <c r="D450" t="e">
        <f>VLOOKUP(A450,#REF!,2,FALSE)</f>
        <v>#REF!</v>
      </c>
      <c r="E450" t="e">
        <f t="shared" si="8"/>
        <v>#REF!</v>
      </c>
    </row>
    <row r="451" spans="1:5">
      <c r="A451" t="s">
        <v>5414</v>
      </c>
      <c r="B451">
        <v>5</v>
      </c>
      <c r="C451">
        <v>11</v>
      </c>
      <c r="D451" t="e">
        <f>VLOOKUP(A451,#REF!,2,FALSE)</f>
        <v>#REF!</v>
      </c>
      <c r="E451" t="e">
        <f t="shared" ref="E451:E514" si="9">C451/D451</f>
        <v>#REF!</v>
      </c>
    </row>
    <row r="452" spans="1:5">
      <c r="A452" t="s">
        <v>5376</v>
      </c>
      <c r="B452">
        <v>5</v>
      </c>
      <c r="C452">
        <v>10</v>
      </c>
      <c r="D452" t="e">
        <f>VLOOKUP(A452,#REF!,2,FALSE)</f>
        <v>#REF!</v>
      </c>
      <c r="E452" t="e">
        <f t="shared" si="9"/>
        <v>#REF!</v>
      </c>
    </row>
    <row r="453" spans="1:5">
      <c r="A453" t="s">
        <v>5388</v>
      </c>
      <c r="B453">
        <v>5</v>
      </c>
      <c r="C453">
        <v>8</v>
      </c>
      <c r="D453" t="e">
        <f>VLOOKUP(A453,#REF!,2,FALSE)</f>
        <v>#REF!</v>
      </c>
      <c r="E453" t="e">
        <f t="shared" si="9"/>
        <v>#REF!</v>
      </c>
    </row>
    <row r="454" spans="1:5">
      <c r="A454" t="s">
        <v>5402</v>
      </c>
      <c r="B454">
        <v>5</v>
      </c>
      <c r="C454">
        <v>4</v>
      </c>
      <c r="D454" t="e">
        <f>VLOOKUP(A454,#REF!,2,FALSE)</f>
        <v>#REF!</v>
      </c>
      <c r="E454" t="e">
        <f t="shared" si="9"/>
        <v>#REF!</v>
      </c>
    </row>
    <row r="455" spans="1:5">
      <c r="A455" t="s">
        <v>5407</v>
      </c>
      <c r="B455">
        <v>5</v>
      </c>
      <c r="C455">
        <v>4</v>
      </c>
      <c r="D455" t="e">
        <f>VLOOKUP(A455,#REF!,2,FALSE)</f>
        <v>#REF!</v>
      </c>
      <c r="E455" t="e">
        <f t="shared" si="9"/>
        <v>#REF!</v>
      </c>
    </row>
    <row r="456" spans="1:5">
      <c r="A456" t="s">
        <v>5413</v>
      </c>
      <c r="B456">
        <v>5</v>
      </c>
      <c r="C456">
        <v>4</v>
      </c>
      <c r="D456" t="e">
        <f>VLOOKUP(A456,#REF!,2,FALSE)</f>
        <v>#REF!</v>
      </c>
      <c r="E456" t="e">
        <f t="shared" si="9"/>
        <v>#REF!</v>
      </c>
    </row>
    <row r="457" spans="1:5">
      <c r="A457" t="s">
        <v>5381</v>
      </c>
      <c r="B457">
        <v>5</v>
      </c>
      <c r="C457">
        <v>4</v>
      </c>
      <c r="D457" t="e">
        <f>VLOOKUP(A457,#REF!,2,FALSE)</f>
        <v>#REF!</v>
      </c>
      <c r="E457" t="e">
        <f t="shared" si="9"/>
        <v>#REF!</v>
      </c>
    </row>
    <row r="458" spans="1:5">
      <c r="A458" t="s">
        <v>5395</v>
      </c>
      <c r="B458">
        <v>5</v>
      </c>
      <c r="C458">
        <v>4</v>
      </c>
      <c r="D458" t="e">
        <f>VLOOKUP(A458,#REF!,2,FALSE)</f>
        <v>#REF!</v>
      </c>
      <c r="E458" t="e">
        <f t="shared" si="9"/>
        <v>#REF!</v>
      </c>
    </row>
    <row r="459" spans="1:5">
      <c r="A459" t="s">
        <v>5370</v>
      </c>
      <c r="B459">
        <v>5</v>
      </c>
      <c r="C459">
        <v>4</v>
      </c>
      <c r="D459" t="e">
        <f>VLOOKUP(A459,#REF!,2,FALSE)</f>
        <v>#REF!</v>
      </c>
      <c r="E459" t="e">
        <f t="shared" si="9"/>
        <v>#REF!</v>
      </c>
    </row>
    <row r="460" spans="1:5">
      <c r="A460" t="s">
        <v>5416</v>
      </c>
      <c r="B460">
        <v>5</v>
      </c>
      <c r="C460">
        <v>3</v>
      </c>
      <c r="D460" t="e">
        <f>VLOOKUP(A460,#REF!,2,FALSE)</f>
        <v>#REF!</v>
      </c>
      <c r="E460" t="e">
        <f t="shared" si="9"/>
        <v>#REF!</v>
      </c>
    </row>
    <row r="461" spans="1:5">
      <c r="A461" t="s">
        <v>5406</v>
      </c>
      <c r="B461">
        <v>5</v>
      </c>
      <c r="C461">
        <v>2</v>
      </c>
      <c r="D461" t="e">
        <f>VLOOKUP(A461,#REF!,2,FALSE)</f>
        <v>#REF!</v>
      </c>
      <c r="E461" t="e">
        <f t="shared" si="9"/>
        <v>#REF!</v>
      </c>
    </row>
    <row r="462" spans="1:5">
      <c r="A462" t="s">
        <v>5410</v>
      </c>
      <c r="B462">
        <v>5</v>
      </c>
      <c r="C462">
        <v>2</v>
      </c>
      <c r="D462" t="e">
        <f>VLOOKUP(A462,#REF!,2,FALSE)</f>
        <v>#REF!</v>
      </c>
      <c r="E462" t="e">
        <f t="shared" si="9"/>
        <v>#REF!</v>
      </c>
    </row>
    <row r="463" spans="1:5">
      <c r="A463" t="s">
        <v>5415</v>
      </c>
      <c r="B463">
        <v>5</v>
      </c>
      <c r="C463">
        <v>2</v>
      </c>
      <c r="D463" t="e">
        <f>VLOOKUP(A463,#REF!,2,FALSE)</f>
        <v>#REF!</v>
      </c>
      <c r="E463" t="e">
        <f t="shared" si="9"/>
        <v>#REF!</v>
      </c>
    </row>
    <row r="464" spans="1:5">
      <c r="A464" t="s">
        <v>5385</v>
      </c>
      <c r="B464">
        <v>5</v>
      </c>
      <c r="C464">
        <v>2</v>
      </c>
      <c r="D464" t="e">
        <f>VLOOKUP(A464,#REF!,2,FALSE)</f>
        <v>#REF!</v>
      </c>
      <c r="E464" t="e">
        <f t="shared" si="9"/>
        <v>#REF!</v>
      </c>
    </row>
    <row r="465" spans="1:5">
      <c r="A465" t="s">
        <v>5412</v>
      </c>
      <c r="B465">
        <v>5</v>
      </c>
      <c r="C465">
        <v>2</v>
      </c>
      <c r="D465" t="e">
        <f>VLOOKUP(A465,#REF!,2,FALSE)</f>
        <v>#REF!</v>
      </c>
      <c r="E465" t="e">
        <f t="shared" si="9"/>
        <v>#REF!</v>
      </c>
    </row>
    <row r="466" spans="1:5">
      <c r="A466" t="s">
        <v>5417</v>
      </c>
      <c r="B466">
        <v>5</v>
      </c>
      <c r="C466">
        <v>1</v>
      </c>
      <c r="D466" t="e">
        <f>VLOOKUP(A466,#REF!,2,FALSE)</f>
        <v>#REF!</v>
      </c>
      <c r="E466" t="e">
        <f t="shared" si="9"/>
        <v>#REF!</v>
      </c>
    </row>
    <row r="467" spans="1:5">
      <c r="A467" t="s">
        <v>5400</v>
      </c>
      <c r="B467">
        <v>5</v>
      </c>
      <c r="C467">
        <v>1</v>
      </c>
      <c r="D467" t="e">
        <f>VLOOKUP(A467,#REF!,2,FALSE)</f>
        <v>#REF!</v>
      </c>
      <c r="E467" t="e">
        <f t="shared" si="9"/>
        <v>#REF!</v>
      </c>
    </row>
    <row r="468" spans="1:5">
      <c r="A468" t="s">
        <v>5403</v>
      </c>
      <c r="B468">
        <v>5</v>
      </c>
      <c r="C468">
        <v>1</v>
      </c>
      <c r="D468" t="e">
        <f>VLOOKUP(A468,#REF!,2,FALSE)</f>
        <v>#REF!</v>
      </c>
      <c r="E468" t="e">
        <f t="shared" si="9"/>
        <v>#REF!</v>
      </c>
    </row>
    <row r="469" spans="1:5">
      <c r="A469" t="s">
        <v>5411</v>
      </c>
      <c r="B469">
        <v>5</v>
      </c>
      <c r="C469">
        <v>1</v>
      </c>
      <c r="D469" t="e">
        <f>VLOOKUP(A469,#REF!,2,FALSE)</f>
        <v>#REF!</v>
      </c>
      <c r="E469" t="e">
        <f t="shared" si="9"/>
        <v>#REF!</v>
      </c>
    </row>
    <row r="470" spans="1:5">
      <c r="A470" t="s">
        <v>5358</v>
      </c>
      <c r="B470">
        <v>5</v>
      </c>
      <c r="C470">
        <v>1</v>
      </c>
      <c r="D470" t="e">
        <f>VLOOKUP(A470,#REF!,2,FALSE)</f>
        <v>#REF!</v>
      </c>
      <c r="E470" t="e">
        <f t="shared" si="9"/>
        <v>#REF!</v>
      </c>
    </row>
    <row r="471" spans="1:5">
      <c r="A471" t="s">
        <v>1408</v>
      </c>
      <c r="B471">
        <v>6</v>
      </c>
      <c r="C471">
        <v>12744</v>
      </c>
      <c r="D471" t="e">
        <f>VLOOKUP(A471,#REF!,2,FALSE)</f>
        <v>#REF!</v>
      </c>
      <c r="E471" t="e">
        <f t="shared" si="9"/>
        <v>#REF!</v>
      </c>
    </row>
    <row r="472" spans="1:5">
      <c r="A472" t="s">
        <v>5324</v>
      </c>
      <c r="B472">
        <v>6</v>
      </c>
      <c r="C472">
        <v>8579</v>
      </c>
      <c r="D472" t="e">
        <f>VLOOKUP(A472,#REF!,2,FALSE)</f>
        <v>#REF!</v>
      </c>
      <c r="E472" t="e">
        <f t="shared" si="9"/>
        <v>#REF!</v>
      </c>
    </row>
    <row r="473" spans="1:5">
      <c r="A473" t="s">
        <v>5321</v>
      </c>
      <c r="B473">
        <v>6</v>
      </c>
      <c r="C473">
        <v>8511</v>
      </c>
      <c r="D473" t="e">
        <f>VLOOKUP(A473,#REF!,2,FALSE)</f>
        <v>#REF!</v>
      </c>
      <c r="E473" t="e">
        <f t="shared" si="9"/>
        <v>#REF!</v>
      </c>
    </row>
    <row r="474" spans="1:5">
      <c r="A474" t="s">
        <v>5326</v>
      </c>
      <c r="B474">
        <v>6</v>
      </c>
      <c r="C474">
        <v>7533</v>
      </c>
      <c r="D474" t="e">
        <f>VLOOKUP(A474,#REF!,2,FALSE)</f>
        <v>#REF!</v>
      </c>
      <c r="E474" t="e">
        <f t="shared" si="9"/>
        <v>#REF!</v>
      </c>
    </row>
    <row r="475" spans="1:5">
      <c r="A475" t="s">
        <v>5325</v>
      </c>
      <c r="B475">
        <v>6</v>
      </c>
      <c r="C475">
        <v>7278</v>
      </c>
      <c r="D475" t="e">
        <f>VLOOKUP(A475,#REF!,2,FALSE)</f>
        <v>#REF!</v>
      </c>
      <c r="E475" t="e">
        <f t="shared" si="9"/>
        <v>#REF!</v>
      </c>
    </row>
    <row r="476" spans="1:5">
      <c r="A476" t="s">
        <v>5329</v>
      </c>
      <c r="B476">
        <v>6</v>
      </c>
      <c r="C476">
        <v>6419</v>
      </c>
      <c r="D476" t="e">
        <f>VLOOKUP(A476,#REF!,2,FALSE)</f>
        <v>#REF!</v>
      </c>
      <c r="E476" t="e">
        <f t="shared" si="9"/>
        <v>#REF!</v>
      </c>
    </row>
    <row r="477" spans="1:5">
      <c r="A477" t="s">
        <v>5327</v>
      </c>
      <c r="B477">
        <v>6</v>
      </c>
      <c r="C477">
        <v>6096</v>
      </c>
      <c r="D477" t="e">
        <f>VLOOKUP(A477,#REF!,2,FALSE)</f>
        <v>#REF!</v>
      </c>
      <c r="E477" t="e">
        <f t="shared" si="9"/>
        <v>#REF!</v>
      </c>
    </row>
    <row r="478" spans="1:5">
      <c r="A478" t="s">
        <v>5328</v>
      </c>
      <c r="B478">
        <v>6</v>
      </c>
      <c r="C478">
        <v>4954</v>
      </c>
      <c r="D478" t="e">
        <f>VLOOKUP(A478,#REF!,2,FALSE)</f>
        <v>#REF!</v>
      </c>
      <c r="E478" t="e">
        <f t="shared" si="9"/>
        <v>#REF!</v>
      </c>
    </row>
    <row r="479" spans="1:5">
      <c r="A479" t="s">
        <v>5317</v>
      </c>
      <c r="B479">
        <v>6</v>
      </c>
      <c r="C479">
        <v>4248</v>
      </c>
      <c r="D479" t="e">
        <f>VLOOKUP(A479,#REF!,2,FALSE)</f>
        <v>#REF!</v>
      </c>
      <c r="E479" t="e">
        <f t="shared" si="9"/>
        <v>#REF!</v>
      </c>
    </row>
    <row r="480" spans="1:5">
      <c r="A480" t="s">
        <v>5323</v>
      </c>
      <c r="B480">
        <v>6</v>
      </c>
      <c r="C480">
        <v>3346</v>
      </c>
      <c r="D480" t="e">
        <f>VLOOKUP(A480,#REF!,2,FALSE)</f>
        <v>#REF!</v>
      </c>
      <c r="E480" t="e">
        <f t="shared" si="9"/>
        <v>#REF!</v>
      </c>
    </row>
    <row r="481" spans="1:5">
      <c r="A481" t="s">
        <v>5319</v>
      </c>
      <c r="B481">
        <v>6</v>
      </c>
      <c r="C481">
        <v>3048</v>
      </c>
      <c r="D481" t="e">
        <f>VLOOKUP(A481,#REF!,2,FALSE)</f>
        <v>#REF!</v>
      </c>
      <c r="E481" t="e">
        <f t="shared" si="9"/>
        <v>#REF!</v>
      </c>
    </row>
    <row r="482" spans="1:5">
      <c r="A482" t="s">
        <v>5333</v>
      </c>
      <c r="B482">
        <v>6</v>
      </c>
      <c r="C482">
        <v>2696</v>
      </c>
      <c r="D482" t="e">
        <f>VLOOKUP(A482,#REF!,2,FALSE)</f>
        <v>#REF!</v>
      </c>
      <c r="E482" t="e">
        <f t="shared" si="9"/>
        <v>#REF!</v>
      </c>
    </row>
    <row r="483" spans="1:5">
      <c r="A483" t="s">
        <v>5318</v>
      </c>
      <c r="B483">
        <v>6</v>
      </c>
      <c r="C483">
        <v>1707</v>
      </c>
      <c r="D483" t="e">
        <f>VLOOKUP(A483,#REF!,2,FALSE)</f>
        <v>#REF!</v>
      </c>
      <c r="E483" t="e">
        <f t="shared" si="9"/>
        <v>#REF!</v>
      </c>
    </row>
    <row r="484" spans="1:5">
      <c r="A484" t="s">
        <v>5320</v>
      </c>
      <c r="B484">
        <v>6</v>
      </c>
      <c r="C484">
        <v>1576</v>
      </c>
      <c r="D484" t="e">
        <f>VLOOKUP(A484,#REF!,2,FALSE)</f>
        <v>#REF!</v>
      </c>
      <c r="E484" t="e">
        <f t="shared" si="9"/>
        <v>#REF!</v>
      </c>
    </row>
    <row r="485" spans="1:5">
      <c r="A485" t="s">
        <v>5338</v>
      </c>
      <c r="B485">
        <v>6</v>
      </c>
      <c r="C485">
        <v>1532</v>
      </c>
      <c r="D485" t="e">
        <f>VLOOKUP(A485,#REF!,2,FALSE)</f>
        <v>#REF!</v>
      </c>
      <c r="E485" t="e">
        <f t="shared" si="9"/>
        <v>#REF!</v>
      </c>
    </row>
    <row r="486" spans="1:5">
      <c r="A486" t="s">
        <v>5353</v>
      </c>
      <c r="B486">
        <v>6</v>
      </c>
      <c r="C486">
        <v>1522</v>
      </c>
      <c r="D486" t="e">
        <f>VLOOKUP(A486,#REF!,2,FALSE)</f>
        <v>#REF!</v>
      </c>
      <c r="E486" t="e">
        <f t="shared" si="9"/>
        <v>#REF!</v>
      </c>
    </row>
    <row r="487" spans="1:5">
      <c r="A487" t="s">
        <v>5334</v>
      </c>
      <c r="B487">
        <v>6</v>
      </c>
      <c r="C487">
        <v>1106</v>
      </c>
      <c r="D487" t="e">
        <f>VLOOKUP(A487,#REF!,2,FALSE)</f>
        <v>#REF!</v>
      </c>
      <c r="E487" t="e">
        <f t="shared" si="9"/>
        <v>#REF!</v>
      </c>
    </row>
    <row r="488" spans="1:5">
      <c r="A488" t="s">
        <v>5336</v>
      </c>
      <c r="B488">
        <v>6</v>
      </c>
      <c r="C488">
        <v>850</v>
      </c>
      <c r="D488" t="e">
        <f>VLOOKUP(A488,#REF!,2,FALSE)</f>
        <v>#REF!</v>
      </c>
      <c r="E488" t="e">
        <f t="shared" si="9"/>
        <v>#REF!</v>
      </c>
    </row>
    <row r="489" spans="1:5">
      <c r="A489" t="s">
        <v>5361</v>
      </c>
      <c r="B489">
        <v>6</v>
      </c>
      <c r="C489">
        <v>801</v>
      </c>
      <c r="D489" t="e">
        <f>VLOOKUP(A489,#REF!,2,FALSE)</f>
        <v>#REF!</v>
      </c>
      <c r="E489" t="e">
        <f t="shared" si="9"/>
        <v>#REF!</v>
      </c>
    </row>
    <row r="490" spans="1:5">
      <c r="A490" t="s">
        <v>5322</v>
      </c>
      <c r="B490">
        <v>6</v>
      </c>
      <c r="C490">
        <v>707</v>
      </c>
      <c r="D490" t="e">
        <f>VLOOKUP(A490,#REF!,2,FALSE)</f>
        <v>#REF!</v>
      </c>
      <c r="E490" t="e">
        <f t="shared" si="9"/>
        <v>#REF!</v>
      </c>
    </row>
    <row r="491" spans="1:5">
      <c r="A491" t="s">
        <v>5357</v>
      </c>
      <c r="B491">
        <v>6</v>
      </c>
      <c r="C491">
        <v>565</v>
      </c>
      <c r="D491" t="e">
        <f>VLOOKUP(A491,#REF!,2,FALSE)</f>
        <v>#REF!</v>
      </c>
      <c r="E491" t="e">
        <f t="shared" si="9"/>
        <v>#REF!</v>
      </c>
    </row>
    <row r="492" spans="1:5">
      <c r="A492" t="s">
        <v>5342</v>
      </c>
      <c r="B492">
        <v>6</v>
      </c>
      <c r="C492">
        <v>550</v>
      </c>
      <c r="D492" t="e">
        <f>VLOOKUP(A492,#REF!,2,FALSE)</f>
        <v>#REF!</v>
      </c>
      <c r="E492" t="e">
        <f t="shared" si="9"/>
        <v>#REF!</v>
      </c>
    </row>
    <row r="493" spans="1:5">
      <c r="A493" t="s">
        <v>5384</v>
      </c>
      <c r="B493">
        <v>6</v>
      </c>
      <c r="C493">
        <v>548</v>
      </c>
      <c r="D493" t="e">
        <f>VLOOKUP(A493,#REF!,2,FALSE)</f>
        <v>#REF!</v>
      </c>
      <c r="E493" t="e">
        <f t="shared" si="9"/>
        <v>#REF!</v>
      </c>
    </row>
    <row r="494" spans="1:5">
      <c r="A494" t="s">
        <v>5316</v>
      </c>
      <c r="B494">
        <v>6</v>
      </c>
      <c r="C494">
        <v>548</v>
      </c>
      <c r="D494" t="e">
        <f>VLOOKUP(A494,#REF!,2,FALSE)</f>
        <v>#REF!</v>
      </c>
      <c r="E494" t="e">
        <f t="shared" si="9"/>
        <v>#REF!</v>
      </c>
    </row>
    <row r="495" spans="1:5">
      <c r="A495" t="s">
        <v>5367</v>
      </c>
      <c r="B495">
        <v>6</v>
      </c>
      <c r="C495">
        <v>483</v>
      </c>
      <c r="D495" t="e">
        <f>VLOOKUP(A495,#REF!,2,FALSE)</f>
        <v>#REF!</v>
      </c>
      <c r="E495" t="e">
        <f t="shared" si="9"/>
        <v>#REF!</v>
      </c>
    </row>
    <row r="496" spans="1:5">
      <c r="A496" t="s">
        <v>5335</v>
      </c>
      <c r="B496">
        <v>6</v>
      </c>
      <c r="C496">
        <v>459</v>
      </c>
      <c r="D496" t="e">
        <f>VLOOKUP(A496,#REF!,2,FALSE)</f>
        <v>#REF!</v>
      </c>
      <c r="E496" t="e">
        <f t="shared" si="9"/>
        <v>#REF!</v>
      </c>
    </row>
    <row r="497" spans="1:5">
      <c r="A497" t="s">
        <v>5355</v>
      </c>
      <c r="B497">
        <v>6</v>
      </c>
      <c r="C497">
        <v>410</v>
      </c>
      <c r="D497" t="e">
        <f>VLOOKUP(A497,#REF!,2,FALSE)</f>
        <v>#REF!</v>
      </c>
      <c r="E497" t="e">
        <f t="shared" si="9"/>
        <v>#REF!</v>
      </c>
    </row>
    <row r="498" spans="1:5">
      <c r="A498" t="s">
        <v>5337</v>
      </c>
      <c r="B498">
        <v>6</v>
      </c>
      <c r="C498">
        <v>409</v>
      </c>
      <c r="D498" t="e">
        <f>VLOOKUP(A498,#REF!,2,FALSE)</f>
        <v>#REF!</v>
      </c>
      <c r="E498" t="e">
        <f t="shared" si="9"/>
        <v>#REF!</v>
      </c>
    </row>
    <row r="499" spans="1:5">
      <c r="A499" t="s">
        <v>5346</v>
      </c>
      <c r="B499">
        <v>6</v>
      </c>
      <c r="C499">
        <v>409</v>
      </c>
      <c r="D499" t="e">
        <f>VLOOKUP(A499,#REF!,2,FALSE)</f>
        <v>#REF!</v>
      </c>
      <c r="E499" t="e">
        <f t="shared" si="9"/>
        <v>#REF!</v>
      </c>
    </row>
    <row r="500" spans="1:5">
      <c r="A500" t="s">
        <v>5345</v>
      </c>
      <c r="B500">
        <v>6</v>
      </c>
      <c r="C500">
        <v>401</v>
      </c>
      <c r="D500" t="e">
        <f>VLOOKUP(A500,#REF!,2,FALSE)</f>
        <v>#REF!</v>
      </c>
      <c r="E500" t="e">
        <f t="shared" si="9"/>
        <v>#REF!</v>
      </c>
    </row>
    <row r="501" spans="1:5">
      <c r="A501" t="s">
        <v>5347</v>
      </c>
      <c r="B501">
        <v>6</v>
      </c>
      <c r="C501">
        <v>350</v>
      </c>
      <c r="D501" t="e">
        <f>VLOOKUP(A501,#REF!,2,FALSE)</f>
        <v>#REF!</v>
      </c>
      <c r="E501" t="e">
        <f t="shared" si="9"/>
        <v>#REF!</v>
      </c>
    </row>
    <row r="502" spans="1:5">
      <c r="A502" t="s">
        <v>5380</v>
      </c>
      <c r="B502">
        <v>6</v>
      </c>
      <c r="C502">
        <v>331</v>
      </c>
      <c r="D502" t="e">
        <f>VLOOKUP(A502,#REF!,2,FALSE)</f>
        <v>#REF!</v>
      </c>
      <c r="E502" t="e">
        <f t="shared" si="9"/>
        <v>#REF!</v>
      </c>
    </row>
    <row r="503" spans="1:5">
      <c r="A503" t="s">
        <v>5340</v>
      </c>
      <c r="B503">
        <v>6</v>
      </c>
      <c r="C503">
        <v>319</v>
      </c>
      <c r="D503" t="e">
        <f>VLOOKUP(A503,#REF!,2,FALSE)</f>
        <v>#REF!</v>
      </c>
      <c r="E503" t="e">
        <f t="shared" si="9"/>
        <v>#REF!</v>
      </c>
    </row>
    <row r="504" spans="1:5">
      <c r="A504" t="s">
        <v>5378</v>
      </c>
      <c r="B504">
        <v>6</v>
      </c>
      <c r="C504">
        <v>251</v>
      </c>
      <c r="D504" t="e">
        <f>VLOOKUP(A504,#REF!,2,FALSE)</f>
        <v>#REF!</v>
      </c>
      <c r="E504" t="e">
        <f t="shared" si="9"/>
        <v>#REF!</v>
      </c>
    </row>
    <row r="505" spans="1:5">
      <c r="A505" t="s">
        <v>5360</v>
      </c>
      <c r="B505">
        <v>6</v>
      </c>
      <c r="C505">
        <v>247</v>
      </c>
      <c r="D505" t="e">
        <f>VLOOKUP(A505,#REF!,2,FALSE)</f>
        <v>#REF!</v>
      </c>
      <c r="E505" t="e">
        <f t="shared" si="9"/>
        <v>#REF!</v>
      </c>
    </row>
    <row r="506" spans="1:5">
      <c r="A506" t="s">
        <v>5350</v>
      </c>
      <c r="B506">
        <v>6</v>
      </c>
      <c r="C506">
        <v>214</v>
      </c>
      <c r="D506" t="e">
        <f>VLOOKUP(A506,#REF!,2,FALSE)</f>
        <v>#REF!</v>
      </c>
      <c r="E506" t="e">
        <f t="shared" si="9"/>
        <v>#REF!</v>
      </c>
    </row>
    <row r="507" spans="1:5">
      <c r="A507" t="s">
        <v>5356</v>
      </c>
      <c r="B507">
        <v>6</v>
      </c>
      <c r="C507">
        <v>210</v>
      </c>
      <c r="D507" t="e">
        <f>VLOOKUP(A507,#REF!,2,FALSE)</f>
        <v>#REF!</v>
      </c>
      <c r="E507" t="e">
        <f t="shared" si="9"/>
        <v>#REF!</v>
      </c>
    </row>
    <row r="508" spans="1:5">
      <c r="A508" t="s">
        <v>5391</v>
      </c>
      <c r="B508">
        <v>6</v>
      </c>
      <c r="C508">
        <v>189</v>
      </c>
      <c r="D508" t="e">
        <f>VLOOKUP(A508,#REF!,2,FALSE)</f>
        <v>#REF!</v>
      </c>
      <c r="E508" t="e">
        <f t="shared" si="9"/>
        <v>#REF!</v>
      </c>
    </row>
    <row r="509" spans="1:5">
      <c r="A509" t="s">
        <v>5351</v>
      </c>
      <c r="B509">
        <v>6</v>
      </c>
      <c r="C509">
        <v>183</v>
      </c>
      <c r="D509" t="e">
        <f>VLOOKUP(A509,#REF!,2,FALSE)</f>
        <v>#REF!</v>
      </c>
      <c r="E509" t="e">
        <f t="shared" si="9"/>
        <v>#REF!</v>
      </c>
    </row>
    <row r="510" spans="1:5">
      <c r="A510" t="s">
        <v>5383</v>
      </c>
      <c r="B510">
        <v>6</v>
      </c>
      <c r="C510">
        <v>180</v>
      </c>
      <c r="D510" t="e">
        <f>VLOOKUP(A510,#REF!,2,FALSE)</f>
        <v>#REF!</v>
      </c>
      <c r="E510" t="e">
        <f t="shared" si="9"/>
        <v>#REF!</v>
      </c>
    </row>
    <row r="511" spans="1:5">
      <c r="A511" t="s">
        <v>5348</v>
      </c>
      <c r="B511">
        <v>6</v>
      </c>
      <c r="C511">
        <v>169</v>
      </c>
      <c r="D511" t="e">
        <f>VLOOKUP(A511,#REF!,2,FALSE)</f>
        <v>#REF!</v>
      </c>
      <c r="E511" t="e">
        <f t="shared" si="9"/>
        <v>#REF!</v>
      </c>
    </row>
    <row r="512" spans="1:5">
      <c r="A512" t="s">
        <v>5368</v>
      </c>
      <c r="B512">
        <v>6</v>
      </c>
      <c r="C512">
        <v>168</v>
      </c>
      <c r="D512" t="e">
        <f>VLOOKUP(A512,#REF!,2,FALSE)</f>
        <v>#REF!</v>
      </c>
      <c r="E512" t="e">
        <f t="shared" si="9"/>
        <v>#REF!</v>
      </c>
    </row>
    <row r="513" spans="1:5">
      <c r="A513" t="s">
        <v>5341</v>
      </c>
      <c r="B513">
        <v>6</v>
      </c>
      <c r="C513">
        <v>137</v>
      </c>
      <c r="D513" t="e">
        <f>VLOOKUP(A513,#REF!,2,FALSE)</f>
        <v>#REF!</v>
      </c>
      <c r="E513" t="e">
        <f t="shared" si="9"/>
        <v>#REF!</v>
      </c>
    </row>
    <row r="514" spans="1:5">
      <c r="A514" t="s">
        <v>5379</v>
      </c>
      <c r="B514">
        <v>6</v>
      </c>
      <c r="C514">
        <v>127</v>
      </c>
      <c r="D514" t="e">
        <f>VLOOKUP(A514,#REF!,2,FALSE)</f>
        <v>#REF!</v>
      </c>
      <c r="E514" t="e">
        <f t="shared" si="9"/>
        <v>#REF!</v>
      </c>
    </row>
    <row r="515" spans="1:5">
      <c r="A515" t="s">
        <v>5298</v>
      </c>
      <c r="B515">
        <v>6</v>
      </c>
      <c r="C515">
        <v>120</v>
      </c>
      <c r="D515" t="e">
        <f>VLOOKUP(A515,#REF!,2,FALSE)</f>
        <v>#REF!</v>
      </c>
      <c r="E515" t="e">
        <f t="shared" ref="E515:E578" si="10">C515/D515</f>
        <v>#REF!</v>
      </c>
    </row>
    <row r="516" spans="1:5">
      <c r="A516" t="s">
        <v>5339</v>
      </c>
      <c r="B516">
        <v>6</v>
      </c>
      <c r="C516">
        <v>102</v>
      </c>
      <c r="D516" t="e">
        <f>VLOOKUP(A516,#REF!,2,FALSE)</f>
        <v>#REF!</v>
      </c>
      <c r="E516" t="e">
        <f t="shared" si="10"/>
        <v>#REF!</v>
      </c>
    </row>
    <row r="517" spans="1:5">
      <c r="A517" t="s">
        <v>5377</v>
      </c>
      <c r="B517">
        <v>6</v>
      </c>
      <c r="C517">
        <v>100</v>
      </c>
      <c r="D517" t="e">
        <f>VLOOKUP(A517,#REF!,2,FALSE)</f>
        <v>#REF!</v>
      </c>
      <c r="E517" t="e">
        <f t="shared" si="10"/>
        <v>#REF!</v>
      </c>
    </row>
    <row r="518" spans="1:5">
      <c r="A518" t="s">
        <v>5359</v>
      </c>
      <c r="B518">
        <v>6</v>
      </c>
      <c r="C518">
        <v>99</v>
      </c>
      <c r="D518" t="e">
        <f>VLOOKUP(A518,#REF!,2,FALSE)</f>
        <v>#REF!</v>
      </c>
      <c r="E518" t="e">
        <f t="shared" si="10"/>
        <v>#REF!</v>
      </c>
    </row>
    <row r="519" spans="1:5">
      <c r="A519" t="s">
        <v>5373</v>
      </c>
      <c r="B519">
        <v>6</v>
      </c>
      <c r="C519">
        <v>95</v>
      </c>
      <c r="D519" t="e">
        <f>VLOOKUP(A519,#REF!,2,FALSE)</f>
        <v>#REF!</v>
      </c>
      <c r="E519" t="e">
        <f t="shared" si="10"/>
        <v>#REF!</v>
      </c>
    </row>
    <row r="520" spans="1:5">
      <c r="A520" t="s">
        <v>5352</v>
      </c>
      <c r="B520">
        <v>6</v>
      </c>
      <c r="C520">
        <v>89</v>
      </c>
      <c r="D520" t="e">
        <f>VLOOKUP(A520,#REF!,2,FALSE)</f>
        <v>#REF!</v>
      </c>
      <c r="E520" t="e">
        <f t="shared" si="10"/>
        <v>#REF!</v>
      </c>
    </row>
    <row r="521" spans="1:5">
      <c r="A521" t="s">
        <v>5387</v>
      </c>
      <c r="B521">
        <v>6</v>
      </c>
      <c r="C521">
        <v>88</v>
      </c>
      <c r="D521" t="e">
        <f>VLOOKUP(A521,#REF!,2,FALSE)</f>
        <v>#REF!</v>
      </c>
      <c r="E521" t="e">
        <f t="shared" si="10"/>
        <v>#REF!</v>
      </c>
    </row>
    <row r="522" spans="1:5">
      <c r="A522" t="s">
        <v>5369</v>
      </c>
      <c r="B522">
        <v>6</v>
      </c>
      <c r="C522">
        <v>82</v>
      </c>
      <c r="D522" t="e">
        <f>VLOOKUP(A522,#REF!,2,FALSE)</f>
        <v>#REF!</v>
      </c>
      <c r="E522" t="e">
        <f t="shared" si="10"/>
        <v>#REF!</v>
      </c>
    </row>
    <row r="523" spans="1:5">
      <c r="A523" t="s">
        <v>5366</v>
      </c>
      <c r="B523">
        <v>6</v>
      </c>
      <c r="C523">
        <v>80</v>
      </c>
      <c r="D523" t="e">
        <f>VLOOKUP(A523,#REF!,2,FALSE)</f>
        <v>#REF!</v>
      </c>
      <c r="E523" t="e">
        <f t="shared" si="10"/>
        <v>#REF!</v>
      </c>
    </row>
    <row r="524" spans="1:5">
      <c r="A524" t="s">
        <v>5372</v>
      </c>
      <c r="B524">
        <v>6</v>
      </c>
      <c r="C524">
        <v>79</v>
      </c>
      <c r="D524" t="e">
        <f>VLOOKUP(A524,#REF!,2,FALSE)</f>
        <v>#REF!</v>
      </c>
      <c r="E524" t="e">
        <f t="shared" si="10"/>
        <v>#REF!</v>
      </c>
    </row>
    <row r="525" spans="1:5">
      <c r="A525" t="s">
        <v>5365</v>
      </c>
      <c r="B525">
        <v>6</v>
      </c>
      <c r="C525">
        <v>72</v>
      </c>
      <c r="D525" t="e">
        <f>VLOOKUP(A525,#REF!,2,FALSE)</f>
        <v>#REF!</v>
      </c>
      <c r="E525" t="e">
        <f t="shared" si="10"/>
        <v>#REF!</v>
      </c>
    </row>
    <row r="526" spans="1:5">
      <c r="A526" t="s">
        <v>5362</v>
      </c>
      <c r="B526">
        <v>6</v>
      </c>
      <c r="C526">
        <v>64</v>
      </c>
      <c r="D526" t="e">
        <f>VLOOKUP(A526,#REF!,2,FALSE)</f>
        <v>#REF!</v>
      </c>
      <c r="E526" t="e">
        <f t="shared" si="10"/>
        <v>#REF!</v>
      </c>
    </row>
    <row r="527" spans="1:5">
      <c r="A527" t="s">
        <v>5349</v>
      </c>
      <c r="B527">
        <v>6</v>
      </c>
      <c r="C527">
        <v>62</v>
      </c>
      <c r="D527" t="e">
        <f>VLOOKUP(A527,#REF!,2,FALSE)</f>
        <v>#REF!</v>
      </c>
      <c r="E527" t="e">
        <f t="shared" si="10"/>
        <v>#REF!</v>
      </c>
    </row>
    <row r="528" spans="1:5">
      <c r="A528" t="s">
        <v>5343</v>
      </c>
      <c r="B528">
        <v>6</v>
      </c>
      <c r="C528">
        <v>61</v>
      </c>
      <c r="D528" t="e">
        <f>VLOOKUP(A528,#REF!,2,FALSE)</f>
        <v>#REF!</v>
      </c>
      <c r="E528" t="e">
        <f t="shared" si="10"/>
        <v>#REF!</v>
      </c>
    </row>
    <row r="529" spans="1:5">
      <c r="A529" t="s">
        <v>5392</v>
      </c>
      <c r="B529">
        <v>6</v>
      </c>
      <c r="C529">
        <v>54</v>
      </c>
      <c r="D529" t="e">
        <f>VLOOKUP(A529,#REF!,2,FALSE)</f>
        <v>#REF!</v>
      </c>
      <c r="E529" t="e">
        <f t="shared" si="10"/>
        <v>#REF!</v>
      </c>
    </row>
    <row r="530" spans="1:5">
      <c r="A530" t="s">
        <v>5363</v>
      </c>
      <c r="B530">
        <v>6</v>
      </c>
      <c r="C530">
        <v>54</v>
      </c>
      <c r="D530" t="e">
        <f>VLOOKUP(A530,#REF!,2,FALSE)</f>
        <v>#REF!</v>
      </c>
      <c r="E530" t="e">
        <f t="shared" si="10"/>
        <v>#REF!</v>
      </c>
    </row>
    <row r="531" spans="1:5">
      <c r="A531" t="s">
        <v>5354</v>
      </c>
      <c r="B531">
        <v>6</v>
      </c>
      <c r="C531">
        <v>53</v>
      </c>
      <c r="D531" t="e">
        <f>VLOOKUP(A531,#REF!,2,FALSE)</f>
        <v>#REF!</v>
      </c>
      <c r="E531" t="e">
        <f t="shared" si="10"/>
        <v>#REF!</v>
      </c>
    </row>
    <row r="532" spans="1:5">
      <c r="A532" t="s">
        <v>5389</v>
      </c>
      <c r="B532">
        <v>6</v>
      </c>
      <c r="C532">
        <v>51</v>
      </c>
      <c r="D532" t="e">
        <f>VLOOKUP(A532,#REF!,2,FALSE)</f>
        <v>#REF!</v>
      </c>
      <c r="E532" t="e">
        <f t="shared" si="10"/>
        <v>#REF!</v>
      </c>
    </row>
    <row r="533" spans="1:5">
      <c r="A533" t="s">
        <v>5399</v>
      </c>
      <c r="B533">
        <v>6</v>
      </c>
      <c r="C533">
        <v>44</v>
      </c>
      <c r="D533" t="e">
        <f>VLOOKUP(A533,#REF!,2,FALSE)</f>
        <v>#REF!</v>
      </c>
      <c r="E533" t="e">
        <f t="shared" si="10"/>
        <v>#REF!</v>
      </c>
    </row>
    <row r="534" spans="1:5">
      <c r="A534" t="s">
        <v>5386</v>
      </c>
      <c r="B534">
        <v>6</v>
      </c>
      <c r="C534">
        <v>29</v>
      </c>
      <c r="D534" t="e">
        <f>VLOOKUP(A534,#REF!,2,FALSE)</f>
        <v>#REF!</v>
      </c>
      <c r="E534" t="e">
        <f t="shared" si="10"/>
        <v>#REF!</v>
      </c>
    </row>
    <row r="535" spans="1:5">
      <c r="A535" t="s">
        <v>5375</v>
      </c>
      <c r="B535">
        <v>6</v>
      </c>
      <c r="C535">
        <v>29</v>
      </c>
      <c r="D535" t="e">
        <f>VLOOKUP(A535,#REF!,2,FALSE)</f>
        <v>#REF!</v>
      </c>
      <c r="E535" t="e">
        <f t="shared" si="10"/>
        <v>#REF!</v>
      </c>
    </row>
    <row r="536" spans="1:5">
      <c r="A536" t="s">
        <v>5344</v>
      </c>
      <c r="B536">
        <v>6</v>
      </c>
      <c r="C536">
        <v>28</v>
      </c>
      <c r="D536" t="e">
        <f>VLOOKUP(A536,#REF!,2,FALSE)</f>
        <v>#REF!</v>
      </c>
      <c r="E536" t="e">
        <f t="shared" si="10"/>
        <v>#REF!</v>
      </c>
    </row>
    <row r="537" spans="1:5">
      <c r="A537" t="s">
        <v>5364</v>
      </c>
      <c r="B537">
        <v>6</v>
      </c>
      <c r="C537">
        <v>21</v>
      </c>
      <c r="D537" t="e">
        <f>VLOOKUP(A537,#REF!,2,FALSE)</f>
        <v>#REF!</v>
      </c>
      <c r="E537" t="e">
        <f t="shared" si="10"/>
        <v>#REF!</v>
      </c>
    </row>
    <row r="538" spans="1:5">
      <c r="A538" t="s">
        <v>5396</v>
      </c>
      <c r="B538">
        <v>6</v>
      </c>
      <c r="C538">
        <v>21</v>
      </c>
      <c r="D538" t="e">
        <f>VLOOKUP(A538,#REF!,2,FALSE)</f>
        <v>#REF!</v>
      </c>
      <c r="E538" t="e">
        <f t="shared" si="10"/>
        <v>#REF!</v>
      </c>
    </row>
    <row r="539" spans="1:5">
      <c r="A539" t="s">
        <v>5376</v>
      </c>
      <c r="B539">
        <v>6</v>
      </c>
      <c r="C539">
        <v>19</v>
      </c>
      <c r="D539" t="e">
        <f>VLOOKUP(A539,#REF!,2,FALSE)</f>
        <v>#REF!</v>
      </c>
      <c r="E539" t="e">
        <f t="shared" si="10"/>
        <v>#REF!</v>
      </c>
    </row>
    <row r="540" spans="1:5">
      <c r="A540" t="s">
        <v>5404</v>
      </c>
      <c r="B540">
        <v>6</v>
      </c>
      <c r="C540">
        <v>19</v>
      </c>
      <c r="D540" t="e">
        <f>VLOOKUP(A540,#REF!,2,FALSE)</f>
        <v>#REF!</v>
      </c>
      <c r="E540" t="e">
        <f t="shared" si="10"/>
        <v>#REF!</v>
      </c>
    </row>
    <row r="541" spans="1:5">
      <c r="A541" t="s">
        <v>5374</v>
      </c>
      <c r="B541">
        <v>6</v>
      </c>
      <c r="C541">
        <v>17</v>
      </c>
      <c r="D541" t="e">
        <f>VLOOKUP(A541,#REF!,2,FALSE)</f>
        <v>#REF!</v>
      </c>
      <c r="E541" t="e">
        <f t="shared" si="10"/>
        <v>#REF!</v>
      </c>
    </row>
    <row r="542" spans="1:5">
      <c r="A542" t="s">
        <v>5395</v>
      </c>
      <c r="B542">
        <v>6</v>
      </c>
      <c r="C542">
        <v>11</v>
      </c>
      <c r="D542" t="e">
        <f>VLOOKUP(A542,#REF!,2,FALSE)</f>
        <v>#REF!</v>
      </c>
      <c r="E542" t="e">
        <f t="shared" si="10"/>
        <v>#REF!</v>
      </c>
    </row>
    <row r="543" spans="1:5">
      <c r="A543" t="s">
        <v>5393</v>
      </c>
      <c r="B543">
        <v>6</v>
      </c>
      <c r="C543">
        <v>11</v>
      </c>
      <c r="D543" t="e">
        <f>VLOOKUP(A543,#REF!,2,FALSE)</f>
        <v>#REF!</v>
      </c>
      <c r="E543" t="e">
        <f t="shared" si="10"/>
        <v>#REF!</v>
      </c>
    </row>
    <row r="544" spans="1:5">
      <c r="A544" t="s">
        <v>5405</v>
      </c>
      <c r="B544">
        <v>6</v>
      </c>
      <c r="C544">
        <v>11</v>
      </c>
      <c r="D544" t="e">
        <f>VLOOKUP(A544,#REF!,2,FALSE)</f>
        <v>#REF!</v>
      </c>
      <c r="E544" t="e">
        <f t="shared" si="10"/>
        <v>#REF!</v>
      </c>
    </row>
    <row r="545" spans="1:5">
      <c r="A545" t="s">
        <v>5398</v>
      </c>
      <c r="B545">
        <v>6</v>
      </c>
      <c r="C545">
        <v>9</v>
      </c>
      <c r="D545" t="e">
        <f>VLOOKUP(A545,#REF!,2,FALSE)</f>
        <v>#REF!</v>
      </c>
      <c r="E545" t="e">
        <f t="shared" si="10"/>
        <v>#REF!</v>
      </c>
    </row>
    <row r="546" spans="1:5">
      <c r="A546" t="s">
        <v>5390</v>
      </c>
      <c r="B546">
        <v>6</v>
      </c>
      <c r="C546">
        <v>8</v>
      </c>
      <c r="D546" t="e">
        <f>VLOOKUP(A546,#REF!,2,FALSE)</f>
        <v>#REF!</v>
      </c>
      <c r="E546" t="e">
        <f t="shared" si="10"/>
        <v>#REF!</v>
      </c>
    </row>
    <row r="547" spans="1:5">
      <c r="A547" t="s">
        <v>5371</v>
      </c>
      <c r="B547">
        <v>6</v>
      </c>
      <c r="C547">
        <v>8</v>
      </c>
      <c r="D547" t="e">
        <f>VLOOKUP(A547,#REF!,2,FALSE)</f>
        <v>#REF!</v>
      </c>
      <c r="E547" t="e">
        <f t="shared" si="10"/>
        <v>#REF!</v>
      </c>
    </row>
    <row r="548" spans="1:5">
      <c r="A548" t="s">
        <v>5414</v>
      </c>
      <c r="B548">
        <v>6</v>
      </c>
      <c r="C548">
        <v>7</v>
      </c>
      <c r="D548" t="e">
        <f>VLOOKUP(A548,#REF!,2,FALSE)</f>
        <v>#REF!</v>
      </c>
      <c r="E548" t="e">
        <f t="shared" si="10"/>
        <v>#REF!</v>
      </c>
    </row>
    <row r="549" spans="1:5">
      <c r="A549" t="s">
        <v>5415</v>
      </c>
      <c r="B549">
        <v>6</v>
      </c>
      <c r="C549">
        <v>6</v>
      </c>
      <c r="D549" t="e">
        <f>VLOOKUP(A549,#REF!,2,FALSE)</f>
        <v>#REF!</v>
      </c>
      <c r="E549" t="e">
        <f t="shared" si="10"/>
        <v>#REF!</v>
      </c>
    </row>
    <row r="550" spans="1:5">
      <c r="A550" t="s">
        <v>5402</v>
      </c>
      <c r="B550">
        <v>6</v>
      </c>
      <c r="C550">
        <v>5</v>
      </c>
      <c r="D550" t="e">
        <f>VLOOKUP(A550,#REF!,2,FALSE)</f>
        <v>#REF!</v>
      </c>
      <c r="E550" t="e">
        <f t="shared" si="10"/>
        <v>#REF!</v>
      </c>
    </row>
    <row r="551" spans="1:5">
      <c r="A551" t="s">
        <v>5388</v>
      </c>
      <c r="B551">
        <v>6</v>
      </c>
      <c r="C551">
        <v>4</v>
      </c>
      <c r="D551" t="e">
        <f>VLOOKUP(A551,#REF!,2,FALSE)</f>
        <v>#REF!</v>
      </c>
      <c r="E551" t="e">
        <f t="shared" si="10"/>
        <v>#REF!</v>
      </c>
    </row>
    <row r="552" spans="1:5">
      <c r="A552" t="s">
        <v>5406</v>
      </c>
      <c r="B552">
        <v>6</v>
      </c>
      <c r="C552">
        <v>4</v>
      </c>
      <c r="D552" t="e">
        <f>VLOOKUP(A552,#REF!,2,FALSE)</f>
        <v>#REF!</v>
      </c>
      <c r="E552" t="e">
        <f t="shared" si="10"/>
        <v>#REF!</v>
      </c>
    </row>
    <row r="553" spans="1:5">
      <c r="A553" t="s">
        <v>5370</v>
      </c>
      <c r="B553">
        <v>6</v>
      </c>
      <c r="C553">
        <v>3</v>
      </c>
      <c r="D553" t="e">
        <f>VLOOKUP(A553,#REF!,2,FALSE)</f>
        <v>#REF!</v>
      </c>
      <c r="E553" t="e">
        <f t="shared" si="10"/>
        <v>#REF!</v>
      </c>
    </row>
    <row r="554" spans="1:5">
      <c r="A554" t="s">
        <v>5416</v>
      </c>
      <c r="B554">
        <v>6</v>
      </c>
      <c r="C554">
        <v>3</v>
      </c>
      <c r="D554" t="e">
        <f>VLOOKUP(A554,#REF!,2,FALSE)</f>
        <v>#REF!</v>
      </c>
      <c r="E554" t="e">
        <f t="shared" si="10"/>
        <v>#REF!</v>
      </c>
    </row>
    <row r="555" spans="1:5">
      <c r="A555" t="s">
        <v>5407</v>
      </c>
      <c r="B555">
        <v>6</v>
      </c>
      <c r="C555">
        <v>3</v>
      </c>
      <c r="D555" t="e">
        <f>VLOOKUP(A555,#REF!,2,FALSE)</f>
        <v>#REF!</v>
      </c>
      <c r="E555" t="e">
        <f t="shared" si="10"/>
        <v>#REF!</v>
      </c>
    </row>
    <row r="556" spans="1:5">
      <c r="A556" t="s">
        <v>5385</v>
      </c>
      <c r="B556">
        <v>6</v>
      </c>
      <c r="C556">
        <v>3</v>
      </c>
      <c r="D556" t="e">
        <f>VLOOKUP(A556,#REF!,2,FALSE)</f>
        <v>#REF!</v>
      </c>
      <c r="E556" t="e">
        <f t="shared" si="10"/>
        <v>#REF!</v>
      </c>
    </row>
    <row r="557" spans="1:5">
      <c r="A557" t="s">
        <v>5400</v>
      </c>
      <c r="B557">
        <v>6</v>
      </c>
      <c r="C557">
        <v>2</v>
      </c>
      <c r="D557" t="e">
        <f>VLOOKUP(A557,#REF!,2,FALSE)</f>
        <v>#REF!</v>
      </c>
      <c r="E557" t="e">
        <f t="shared" si="10"/>
        <v>#REF!</v>
      </c>
    </row>
    <row r="558" spans="1:5">
      <c r="A558" t="s">
        <v>5417</v>
      </c>
      <c r="B558">
        <v>6</v>
      </c>
      <c r="C558">
        <v>2</v>
      </c>
      <c r="D558" t="e">
        <f>VLOOKUP(A558,#REF!,2,FALSE)</f>
        <v>#REF!</v>
      </c>
      <c r="E558" t="e">
        <f t="shared" si="10"/>
        <v>#REF!</v>
      </c>
    </row>
    <row r="559" spans="1:5">
      <c r="A559" t="s">
        <v>5410</v>
      </c>
      <c r="B559">
        <v>6</v>
      </c>
      <c r="C559">
        <v>2</v>
      </c>
      <c r="D559" t="e">
        <f>VLOOKUP(A559,#REF!,2,FALSE)</f>
        <v>#REF!</v>
      </c>
      <c r="E559" t="e">
        <f t="shared" si="10"/>
        <v>#REF!</v>
      </c>
    </row>
    <row r="560" spans="1:5">
      <c r="A560" t="s">
        <v>5412</v>
      </c>
      <c r="B560">
        <v>6</v>
      </c>
      <c r="C560">
        <v>2</v>
      </c>
      <c r="D560" t="e">
        <f>VLOOKUP(A560,#REF!,2,FALSE)</f>
        <v>#REF!</v>
      </c>
      <c r="E560" t="e">
        <f t="shared" si="10"/>
        <v>#REF!</v>
      </c>
    </row>
    <row r="561" spans="1:5">
      <c r="A561" t="s">
        <v>5358</v>
      </c>
      <c r="B561">
        <v>6</v>
      </c>
      <c r="C561">
        <v>2</v>
      </c>
      <c r="D561" t="e">
        <f>VLOOKUP(A561,#REF!,2,FALSE)</f>
        <v>#REF!</v>
      </c>
      <c r="E561" t="e">
        <f t="shared" si="10"/>
        <v>#REF!</v>
      </c>
    </row>
    <row r="562" spans="1:5">
      <c r="A562" t="s">
        <v>5403</v>
      </c>
      <c r="B562">
        <v>6</v>
      </c>
      <c r="C562">
        <v>2</v>
      </c>
      <c r="D562" t="e">
        <f>VLOOKUP(A562,#REF!,2,FALSE)</f>
        <v>#REF!</v>
      </c>
      <c r="E562" t="e">
        <f t="shared" si="10"/>
        <v>#REF!</v>
      </c>
    </row>
    <row r="563" spans="1:5">
      <c r="A563" t="s">
        <v>5381</v>
      </c>
      <c r="B563">
        <v>6</v>
      </c>
      <c r="C563">
        <v>2</v>
      </c>
      <c r="D563" t="e">
        <f>VLOOKUP(A563,#REF!,2,FALSE)</f>
        <v>#REF!</v>
      </c>
      <c r="E563" t="e">
        <f t="shared" si="10"/>
        <v>#REF!</v>
      </c>
    </row>
    <row r="564" spans="1:5">
      <c r="A564" t="s">
        <v>5408</v>
      </c>
      <c r="B564">
        <v>6</v>
      </c>
      <c r="C564">
        <v>1</v>
      </c>
      <c r="D564" t="e">
        <f>VLOOKUP(A564,#REF!,2,FALSE)</f>
        <v>#REF!</v>
      </c>
      <c r="E564" t="e">
        <f t="shared" si="10"/>
        <v>#REF!</v>
      </c>
    </row>
    <row r="565" spans="1:5">
      <c r="A565" t="s">
        <v>5401</v>
      </c>
      <c r="B565">
        <v>6</v>
      </c>
      <c r="C565">
        <v>1</v>
      </c>
      <c r="D565" t="e">
        <f>VLOOKUP(A565,#REF!,2,FALSE)</f>
        <v>#REF!</v>
      </c>
      <c r="E565" t="e">
        <f t="shared" si="10"/>
        <v>#REF!</v>
      </c>
    </row>
    <row r="566" spans="1:5">
      <c r="A566" t="s">
        <v>1408</v>
      </c>
      <c r="B566">
        <v>7</v>
      </c>
      <c r="C566">
        <v>10784</v>
      </c>
      <c r="D566" t="e">
        <f>VLOOKUP(A566,#REF!,2,FALSE)</f>
        <v>#REF!</v>
      </c>
      <c r="E566" t="e">
        <f t="shared" si="10"/>
        <v>#REF!</v>
      </c>
    </row>
    <row r="567" spans="1:5">
      <c r="A567" t="s">
        <v>5321</v>
      </c>
      <c r="B567">
        <v>7</v>
      </c>
      <c r="C567">
        <v>8239</v>
      </c>
      <c r="D567" t="e">
        <f>VLOOKUP(A567,#REF!,2,FALSE)</f>
        <v>#REF!</v>
      </c>
      <c r="E567" t="e">
        <f t="shared" si="10"/>
        <v>#REF!</v>
      </c>
    </row>
    <row r="568" spans="1:5">
      <c r="A568" t="s">
        <v>5324</v>
      </c>
      <c r="B568">
        <v>7</v>
      </c>
      <c r="C568">
        <v>7641</v>
      </c>
      <c r="D568" t="e">
        <f>VLOOKUP(A568,#REF!,2,FALSE)</f>
        <v>#REF!</v>
      </c>
      <c r="E568" t="e">
        <f t="shared" si="10"/>
        <v>#REF!</v>
      </c>
    </row>
    <row r="569" spans="1:5">
      <c r="A569" t="s">
        <v>5326</v>
      </c>
      <c r="B569">
        <v>7</v>
      </c>
      <c r="C569">
        <v>7338</v>
      </c>
      <c r="D569" t="e">
        <f>VLOOKUP(A569,#REF!,2,FALSE)</f>
        <v>#REF!</v>
      </c>
      <c r="E569" t="e">
        <f t="shared" si="10"/>
        <v>#REF!</v>
      </c>
    </row>
    <row r="570" spans="1:5">
      <c r="A570" t="s">
        <v>5325</v>
      </c>
      <c r="B570">
        <v>7</v>
      </c>
      <c r="C570">
        <v>6499</v>
      </c>
      <c r="D570" t="e">
        <f>VLOOKUP(A570,#REF!,2,FALSE)</f>
        <v>#REF!</v>
      </c>
      <c r="E570" t="e">
        <f t="shared" si="10"/>
        <v>#REF!</v>
      </c>
    </row>
    <row r="571" spans="1:5">
      <c r="A571" t="s">
        <v>5329</v>
      </c>
      <c r="B571">
        <v>7</v>
      </c>
      <c r="C571">
        <v>6033</v>
      </c>
      <c r="D571" t="e">
        <f>VLOOKUP(A571,#REF!,2,FALSE)</f>
        <v>#REF!</v>
      </c>
      <c r="E571" t="e">
        <f t="shared" si="10"/>
        <v>#REF!</v>
      </c>
    </row>
    <row r="572" spans="1:5">
      <c r="A572" t="s">
        <v>5327</v>
      </c>
      <c r="B572">
        <v>7</v>
      </c>
      <c r="C572">
        <v>5747</v>
      </c>
      <c r="D572" t="e">
        <f>VLOOKUP(A572,#REF!,2,FALSE)</f>
        <v>#REF!</v>
      </c>
      <c r="E572" t="e">
        <f t="shared" si="10"/>
        <v>#REF!</v>
      </c>
    </row>
    <row r="573" spans="1:5">
      <c r="A573" t="s">
        <v>5328</v>
      </c>
      <c r="B573">
        <v>7</v>
      </c>
      <c r="C573">
        <v>4902</v>
      </c>
      <c r="D573" t="e">
        <f>VLOOKUP(A573,#REF!,2,FALSE)</f>
        <v>#REF!</v>
      </c>
      <c r="E573" t="e">
        <f t="shared" si="10"/>
        <v>#REF!</v>
      </c>
    </row>
    <row r="574" spans="1:5">
      <c r="A574" t="s">
        <v>5317</v>
      </c>
      <c r="B574">
        <v>7</v>
      </c>
      <c r="C574">
        <v>4291</v>
      </c>
      <c r="D574" t="e">
        <f>VLOOKUP(A574,#REF!,2,FALSE)</f>
        <v>#REF!</v>
      </c>
      <c r="E574" t="e">
        <f t="shared" si="10"/>
        <v>#REF!</v>
      </c>
    </row>
    <row r="575" spans="1:5">
      <c r="A575" t="s">
        <v>5323</v>
      </c>
      <c r="B575">
        <v>7</v>
      </c>
      <c r="C575">
        <v>3425</v>
      </c>
      <c r="D575" t="e">
        <f>VLOOKUP(A575,#REF!,2,FALSE)</f>
        <v>#REF!</v>
      </c>
      <c r="E575" t="e">
        <f t="shared" si="10"/>
        <v>#REF!</v>
      </c>
    </row>
    <row r="576" spans="1:5">
      <c r="A576" t="s">
        <v>5319</v>
      </c>
      <c r="B576">
        <v>7</v>
      </c>
      <c r="C576">
        <v>2808</v>
      </c>
      <c r="D576" t="e">
        <f>VLOOKUP(A576,#REF!,2,FALSE)</f>
        <v>#REF!</v>
      </c>
      <c r="E576" t="e">
        <f t="shared" si="10"/>
        <v>#REF!</v>
      </c>
    </row>
    <row r="577" spans="1:5">
      <c r="A577" t="s">
        <v>5333</v>
      </c>
      <c r="B577">
        <v>7</v>
      </c>
      <c r="C577">
        <v>2745</v>
      </c>
      <c r="D577" t="e">
        <f>VLOOKUP(A577,#REF!,2,FALSE)</f>
        <v>#REF!</v>
      </c>
      <c r="E577" t="e">
        <f t="shared" si="10"/>
        <v>#REF!</v>
      </c>
    </row>
    <row r="578" spans="1:5">
      <c r="A578" t="s">
        <v>5320</v>
      </c>
      <c r="B578">
        <v>7</v>
      </c>
      <c r="C578">
        <v>2261</v>
      </c>
      <c r="D578" t="e">
        <f>VLOOKUP(A578,#REF!,2,FALSE)</f>
        <v>#REF!</v>
      </c>
      <c r="E578" t="e">
        <f t="shared" si="10"/>
        <v>#REF!</v>
      </c>
    </row>
    <row r="579" spans="1:5">
      <c r="A579" t="s">
        <v>5318</v>
      </c>
      <c r="B579">
        <v>7</v>
      </c>
      <c r="C579">
        <v>1935</v>
      </c>
      <c r="D579" t="e">
        <f>VLOOKUP(A579,#REF!,2,FALSE)</f>
        <v>#REF!</v>
      </c>
      <c r="E579" t="e">
        <f t="shared" ref="E579:E642" si="11">C579/D579</f>
        <v>#REF!</v>
      </c>
    </row>
    <row r="580" spans="1:5">
      <c r="A580" t="s">
        <v>5353</v>
      </c>
      <c r="B580">
        <v>7</v>
      </c>
      <c r="C580">
        <v>1196</v>
      </c>
      <c r="D580" t="e">
        <f>VLOOKUP(A580,#REF!,2,FALSE)</f>
        <v>#REF!</v>
      </c>
      <c r="E580" t="e">
        <f t="shared" si="11"/>
        <v>#REF!</v>
      </c>
    </row>
    <row r="581" spans="1:5">
      <c r="A581" t="s">
        <v>5334</v>
      </c>
      <c r="B581">
        <v>7</v>
      </c>
      <c r="C581">
        <v>1109</v>
      </c>
      <c r="D581" t="e">
        <f>VLOOKUP(A581,#REF!,2,FALSE)</f>
        <v>#REF!</v>
      </c>
      <c r="E581" t="e">
        <f t="shared" si="11"/>
        <v>#REF!</v>
      </c>
    </row>
    <row r="582" spans="1:5">
      <c r="A582" t="s">
        <v>5338</v>
      </c>
      <c r="B582">
        <v>7</v>
      </c>
      <c r="C582">
        <v>1079</v>
      </c>
      <c r="D582" t="e">
        <f>VLOOKUP(A582,#REF!,2,FALSE)</f>
        <v>#REF!</v>
      </c>
      <c r="E582" t="e">
        <f t="shared" si="11"/>
        <v>#REF!</v>
      </c>
    </row>
    <row r="583" spans="1:5">
      <c r="A583" t="s">
        <v>5336</v>
      </c>
      <c r="B583">
        <v>7</v>
      </c>
      <c r="C583">
        <v>877</v>
      </c>
      <c r="D583" t="e">
        <f>VLOOKUP(A583,#REF!,2,FALSE)</f>
        <v>#REF!</v>
      </c>
      <c r="E583" t="e">
        <f t="shared" si="11"/>
        <v>#REF!</v>
      </c>
    </row>
    <row r="584" spans="1:5">
      <c r="A584" t="s">
        <v>5322</v>
      </c>
      <c r="B584">
        <v>7</v>
      </c>
      <c r="C584">
        <v>746</v>
      </c>
      <c r="D584" t="e">
        <f>VLOOKUP(A584,#REF!,2,FALSE)</f>
        <v>#REF!</v>
      </c>
      <c r="E584" t="e">
        <f t="shared" si="11"/>
        <v>#REF!</v>
      </c>
    </row>
    <row r="585" spans="1:5">
      <c r="A585" t="s">
        <v>5335</v>
      </c>
      <c r="B585">
        <v>7</v>
      </c>
      <c r="C585">
        <v>684</v>
      </c>
      <c r="D585" t="e">
        <f>VLOOKUP(A585,#REF!,2,FALSE)</f>
        <v>#REF!</v>
      </c>
      <c r="E585" t="e">
        <f t="shared" si="11"/>
        <v>#REF!</v>
      </c>
    </row>
    <row r="586" spans="1:5">
      <c r="A586" t="s">
        <v>5361</v>
      </c>
      <c r="B586">
        <v>7</v>
      </c>
      <c r="C586">
        <v>618</v>
      </c>
      <c r="D586" t="e">
        <f>VLOOKUP(A586,#REF!,2,FALSE)</f>
        <v>#REF!</v>
      </c>
      <c r="E586" t="e">
        <f t="shared" si="11"/>
        <v>#REF!</v>
      </c>
    </row>
    <row r="587" spans="1:5">
      <c r="A587" t="s">
        <v>5357</v>
      </c>
      <c r="B587">
        <v>7</v>
      </c>
      <c r="C587">
        <v>604</v>
      </c>
      <c r="D587" t="e">
        <f>VLOOKUP(A587,#REF!,2,FALSE)</f>
        <v>#REF!</v>
      </c>
      <c r="E587" t="e">
        <f t="shared" si="11"/>
        <v>#REF!</v>
      </c>
    </row>
    <row r="588" spans="1:5">
      <c r="A588" t="s">
        <v>5342</v>
      </c>
      <c r="B588">
        <v>7</v>
      </c>
      <c r="C588">
        <v>604</v>
      </c>
      <c r="D588" t="e">
        <f>VLOOKUP(A588,#REF!,2,FALSE)</f>
        <v>#REF!</v>
      </c>
      <c r="E588" t="e">
        <f t="shared" si="11"/>
        <v>#REF!</v>
      </c>
    </row>
    <row r="589" spans="1:5">
      <c r="A589" t="s">
        <v>5346</v>
      </c>
      <c r="B589">
        <v>7</v>
      </c>
      <c r="C589">
        <v>530</v>
      </c>
      <c r="D589" t="e">
        <f>VLOOKUP(A589,#REF!,2,FALSE)</f>
        <v>#REF!</v>
      </c>
      <c r="E589" t="e">
        <f t="shared" si="11"/>
        <v>#REF!</v>
      </c>
    </row>
    <row r="590" spans="1:5">
      <c r="A590" t="s">
        <v>5316</v>
      </c>
      <c r="B590">
        <v>7</v>
      </c>
      <c r="C590">
        <v>519</v>
      </c>
      <c r="D590" t="e">
        <f>VLOOKUP(A590,#REF!,2,FALSE)</f>
        <v>#REF!</v>
      </c>
      <c r="E590" t="e">
        <f t="shared" si="11"/>
        <v>#REF!</v>
      </c>
    </row>
    <row r="591" spans="1:5">
      <c r="A591" t="s">
        <v>5337</v>
      </c>
      <c r="B591">
        <v>7</v>
      </c>
      <c r="C591">
        <v>418</v>
      </c>
      <c r="D591" t="e">
        <f>VLOOKUP(A591,#REF!,2,FALSE)</f>
        <v>#REF!</v>
      </c>
      <c r="E591" t="e">
        <f t="shared" si="11"/>
        <v>#REF!</v>
      </c>
    </row>
    <row r="592" spans="1:5">
      <c r="A592" t="s">
        <v>5345</v>
      </c>
      <c r="B592">
        <v>7</v>
      </c>
      <c r="C592">
        <v>401</v>
      </c>
      <c r="D592" t="e">
        <f>VLOOKUP(A592,#REF!,2,FALSE)</f>
        <v>#REF!</v>
      </c>
      <c r="E592" t="e">
        <f t="shared" si="11"/>
        <v>#REF!</v>
      </c>
    </row>
    <row r="593" spans="1:5">
      <c r="A593" t="s">
        <v>5347</v>
      </c>
      <c r="B593">
        <v>7</v>
      </c>
      <c r="C593">
        <v>355</v>
      </c>
      <c r="D593" t="e">
        <f>VLOOKUP(A593,#REF!,2,FALSE)</f>
        <v>#REF!</v>
      </c>
      <c r="E593" t="e">
        <f t="shared" si="11"/>
        <v>#REF!</v>
      </c>
    </row>
    <row r="594" spans="1:5">
      <c r="A594" t="s">
        <v>5351</v>
      </c>
      <c r="B594">
        <v>7</v>
      </c>
      <c r="C594">
        <v>331</v>
      </c>
      <c r="D594" t="e">
        <f>VLOOKUP(A594,#REF!,2,FALSE)</f>
        <v>#REF!</v>
      </c>
      <c r="E594" t="e">
        <f t="shared" si="11"/>
        <v>#REF!</v>
      </c>
    </row>
    <row r="595" spans="1:5">
      <c r="A595" t="s">
        <v>5367</v>
      </c>
      <c r="B595">
        <v>7</v>
      </c>
      <c r="C595">
        <v>316</v>
      </c>
      <c r="D595" t="e">
        <f>VLOOKUP(A595,#REF!,2,FALSE)</f>
        <v>#REF!</v>
      </c>
      <c r="E595" t="e">
        <f t="shared" si="11"/>
        <v>#REF!</v>
      </c>
    </row>
    <row r="596" spans="1:5">
      <c r="A596" t="s">
        <v>5355</v>
      </c>
      <c r="B596">
        <v>7</v>
      </c>
      <c r="C596">
        <v>309</v>
      </c>
      <c r="D596" t="e">
        <f>VLOOKUP(A596,#REF!,2,FALSE)</f>
        <v>#REF!</v>
      </c>
      <c r="E596" t="e">
        <f t="shared" si="11"/>
        <v>#REF!</v>
      </c>
    </row>
    <row r="597" spans="1:5">
      <c r="A597" t="s">
        <v>5360</v>
      </c>
      <c r="B597">
        <v>7</v>
      </c>
      <c r="C597">
        <v>288</v>
      </c>
      <c r="D597" t="e">
        <f>VLOOKUP(A597,#REF!,2,FALSE)</f>
        <v>#REF!</v>
      </c>
      <c r="E597" t="e">
        <f t="shared" si="11"/>
        <v>#REF!</v>
      </c>
    </row>
    <row r="598" spans="1:5">
      <c r="A598" t="s">
        <v>5340</v>
      </c>
      <c r="B598">
        <v>7</v>
      </c>
      <c r="C598">
        <v>287</v>
      </c>
      <c r="D598" t="e">
        <f>VLOOKUP(A598,#REF!,2,FALSE)</f>
        <v>#REF!</v>
      </c>
      <c r="E598" t="e">
        <f t="shared" si="11"/>
        <v>#REF!</v>
      </c>
    </row>
    <row r="599" spans="1:5">
      <c r="A599" t="s">
        <v>5356</v>
      </c>
      <c r="B599">
        <v>7</v>
      </c>
      <c r="C599">
        <v>233</v>
      </c>
      <c r="D599" t="e">
        <f>VLOOKUP(A599,#REF!,2,FALSE)</f>
        <v>#REF!</v>
      </c>
      <c r="E599" t="e">
        <f t="shared" si="11"/>
        <v>#REF!</v>
      </c>
    </row>
    <row r="600" spans="1:5">
      <c r="A600" t="s">
        <v>5380</v>
      </c>
      <c r="B600">
        <v>7</v>
      </c>
      <c r="C600">
        <v>227</v>
      </c>
      <c r="D600" t="e">
        <f>VLOOKUP(A600,#REF!,2,FALSE)</f>
        <v>#REF!</v>
      </c>
      <c r="E600" t="e">
        <f t="shared" si="11"/>
        <v>#REF!</v>
      </c>
    </row>
    <row r="601" spans="1:5">
      <c r="A601" t="s">
        <v>5348</v>
      </c>
      <c r="B601">
        <v>7</v>
      </c>
      <c r="C601">
        <v>194</v>
      </c>
      <c r="D601" t="e">
        <f>VLOOKUP(A601,#REF!,2,FALSE)</f>
        <v>#REF!</v>
      </c>
      <c r="E601" t="e">
        <f t="shared" si="11"/>
        <v>#REF!</v>
      </c>
    </row>
    <row r="602" spans="1:5">
      <c r="A602" t="s">
        <v>5378</v>
      </c>
      <c r="B602">
        <v>7</v>
      </c>
      <c r="C602">
        <v>194</v>
      </c>
      <c r="D602" t="e">
        <f>VLOOKUP(A602,#REF!,2,FALSE)</f>
        <v>#REF!</v>
      </c>
      <c r="E602" t="e">
        <f t="shared" si="11"/>
        <v>#REF!</v>
      </c>
    </row>
    <row r="603" spans="1:5">
      <c r="A603" t="s">
        <v>5391</v>
      </c>
      <c r="B603">
        <v>7</v>
      </c>
      <c r="C603">
        <v>189</v>
      </c>
      <c r="D603" t="e">
        <f>VLOOKUP(A603,#REF!,2,FALSE)</f>
        <v>#REF!</v>
      </c>
      <c r="E603" t="e">
        <f t="shared" si="11"/>
        <v>#REF!</v>
      </c>
    </row>
    <row r="604" spans="1:5">
      <c r="A604" t="s">
        <v>5384</v>
      </c>
      <c r="B604">
        <v>7</v>
      </c>
      <c r="C604">
        <v>185</v>
      </c>
      <c r="D604" t="e">
        <f>VLOOKUP(A604,#REF!,2,FALSE)</f>
        <v>#REF!</v>
      </c>
      <c r="E604" t="e">
        <f t="shared" si="11"/>
        <v>#REF!</v>
      </c>
    </row>
    <row r="605" spans="1:5">
      <c r="A605" t="s">
        <v>5350</v>
      </c>
      <c r="B605">
        <v>7</v>
      </c>
      <c r="C605">
        <v>174</v>
      </c>
      <c r="D605" t="e">
        <f>VLOOKUP(A605,#REF!,2,FALSE)</f>
        <v>#REF!</v>
      </c>
      <c r="E605" t="e">
        <f t="shared" si="11"/>
        <v>#REF!</v>
      </c>
    </row>
    <row r="606" spans="1:5">
      <c r="A606" t="s">
        <v>5368</v>
      </c>
      <c r="B606">
        <v>7</v>
      </c>
      <c r="C606">
        <v>166</v>
      </c>
      <c r="D606" t="e">
        <f>VLOOKUP(A606,#REF!,2,FALSE)</f>
        <v>#REF!</v>
      </c>
      <c r="E606" t="e">
        <f t="shared" si="11"/>
        <v>#REF!</v>
      </c>
    </row>
    <row r="607" spans="1:5">
      <c r="A607" t="s">
        <v>5339</v>
      </c>
      <c r="B607">
        <v>7</v>
      </c>
      <c r="C607">
        <v>144</v>
      </c>
      <c r="D607" t="e">
        <f>VLOOKUP(A607,#REF!,2,FALSE)</f>
        <v>#REF!</v>
      </c>
      <c r="E607" t="e">
        <f t="shared" si="11"/>
        <v>#REF!</v>
      </c>
    </row>
    <row r="608" spans="1:5">
      <c r="A608" t="s">
        <v>5373</v>
      </c>
      <c r="B608">
        <v>7</v>
      </c>
      <c r="C608">
        <v>132</v>
      </c>
      <c r="D608" t="e">
        <f>VLOOKUP(A608,#REF!,2,FALSE)</f>
        <v>#REF!</v>
      </c>
      <c r="E608" t="e">
        <f t="shared" si="11"/>
        <v>#REF!</v>
      </c>
    </row>
    <row r="609" spans="1:5">
      <c r="A609" t="s">
        <v>5352</v>
      </c>
      <c r="B609">
        <v>7</v>
      </c>
      <c r="C609">
        <v>126</v>
      </c>
      <c r="D609" t="e">
        <f>VLOOKUP(A609,#REF!,2,FALSE)</f>
        <v>#REF!</v>
      </c>
      <c r="E609" t="e">
        <f t="shared" si="11"/>
        <v>#REF!</v>
      </c>
    </row>
    <row r="610" spans="1:5">
      <c r="A610" t="s">
        <v>5298</v>
      </c>
      <c r="B610">
        <v>7</v>
      </c>
      <c r="C610">
        <v>119</v>
      </c>
      <c r="D610" t="e">
        <f>VLOOKUP(A610,#REF!,2,FALSE)</f>
        <v>#REF!</v>
      </c>
      <c r="E610" t="e">
        <f t="shared" si="11"/>
        <v>#REF!</v>
      </c>
    </row>
    <row r="611" spans="1:5">
      <c r="A611" t="s">
        <v>5379</v>
      </c>
      <c r="B611">
        <v>7</v>
      </c>
      <c r="C611">
        <v>119</v>
      </c>
      <c r="D611" t="e">
        <f>VLOOKUP(A611,#REF!,2,FALSE)</f>
        <v>#REF!</v>
      </c>
      <c r="E611" t="e">
        <f t="shared" si="11"/>
        <v>#REF!</v>
      </c>
    </row>
    <row r="612" spans="1:5">
      <c r="A612" t="s">
        <v>5341</v>
      </c>
      <c r="B612">
        <v>7</v>
      </c>
      <c r="C612">
        <v>109</v>
      </c>
      <c r="D612" t="e">
        <f>VLOOKUP(A612,#REF!,2,FALSE)</f>
        <v>#REF!</v>
      </c>
      <c r="E612" t="e">
        <f t="shared" si="11"/>
        <v>#REF!</v>
      </c>
    </row>
    <row r="613" spans="1:5">
      <c r="A613" t="s">
        <v>5366</v>
      </c>
      <c r="B613">
        <v>7</v>
      </c>
      <c r="C613">
        <v>109</v>
      </c>
      <c r="D613" t="e">
        <f>VLOOKUP(A613,#REF!,2,FALSE)</f>
        <v>#REF!</v>
      </c>
      <c r="E613" t="e">
        <f t="shared" si="11"/>
        <v>#REF!</v>
      </c>
    </row>
    <row r="614" spans="1:5">
      <c r="A614" t="s">
        <v>5383</v>
      </c>
      <c r="B614">
        <v>7</v>
      </c>
      <c r="C614">
        <v>99</v>
      </c>
      <c r="D614" t="e">
        <f>VLOOKUP(A614,#REF!,2,FALSE)</f>
        <v>#REF!</v>
      </c>
      <c r="E614" t="e">
        <f t="shared" si="11"/>
        <v>#REF!</v>
      </c>
    </row>
    <row r="615" spans="1:5">
      <c r="A615" t="s">
        <v>5377</v>
      </c>
      <c r="B615">
        <v>7</v>
      </c>
      <c r="C615">
        <v>92</v>
      </c>
      <c r="D615" t="e">
        <f>VLOOKUP(A615,#REF!,2,FALSE)</f>
        <v>#REF!</v>
      </c>
      <c r="E615" t="e">
        <f t="shared" si="11"/>
        <v>#REF!</v>
      </c>
    </row>
    <row r="616" spans="1:5">
      <c r="A616" t="s">
        <v>5365</v>
      </c>
      <c r="B616">
        <v>7</v>
      </c>
      <c r="C616">
        <v>83</v>
      </c>
      <c r="D616" t="e">
        <f>VLOOKUP(A616,#REF!,2,FALSE)</f>
        <v>#REF!</v>
      </c>
      <c r="E616" t="e">
        <f t="shared" si="11"/>
        <v>#REF!</v>
      </c>
    </row>
    <row r="617" spans="1:5">
      <c r="A617" t="s">
        <v>5372</v>
      </c>
      <c r="B617">
        <v>7</v>
      </c>
      <c r="C617">
        <v>72</v>
      </c>
      <c r="D617" t="e">
        <f>VLOOKUP(A617,#REF!,2,FALSE)</f>
        <v>#REF!</v>
      </c>
      <c r="E617" t="e">
        <f t="shared" si="11"/>
        <v>#REF!</v>
      </c>
    </row>
    <row r="618" spans="1:5">
      <c r="A618" t="s">
        <v>5349</v>
      </c>
      <c r="B618">
        <v>7</v>
      </c>
      <c r="C618">
        <v>70</v>
      </c>
      <c r="D618" t="e">
        <f>VLOOKUP(A618,#REF!,2,FALSE)</f>
        <v>#REF!</v>
      </c>
      <c r="E618" t="e">
        <f t="shared" si="11"/>
        <v>#REF!</v>
      </c>
    </row>
    <row r="619" spans="1:5">
      <c r="A619" t="s">
        <v>5343</v>
      </c>
      <c r="B619">
        <v>7</v>
      </c>
      <c r="C619">
        <v>70</v>
      </c>
      <c r="D619" t="e">
        <f>VLOOKUP(A619,#REF!,2,FALSE)</f>
        <v>#REF!</v>
      </c>
      <c r="E619" t="e">
        <f t="shared" si="11"/>
        <v>#REF!</v>
      </c>
    </row>
    <row r="620" spans="1:5">
      <c r="A620" t="s">
        <v>5359</v>
      </c>
      <c r="B620">
        <v>7</v>
      </c>
      <c r="C620">
        <v>70</v>
      </c>
      <c r="D620" t="e">
        <f>VLOOKUP(A620,#REF!,2,FALSE)</f>
        <v>#REF!</v>
      </c>
      <c r="E620" t="e">
        <f t="shared" si="11"/>
        <v>#REF!</v>
      </c>
    </row>
    <row r="621" spans="1:5">
      <c r="A621" t="s">
        <v>5362</v>
      </c>
      <c r="B621">
        <v>7</v>
      </c>
      <c r="C621">
        <v>67</v>
      </c>
      <c r="D621" t="e">
        <f>VLOOKUP(A621,#REF!,2,FALSE)</f>
        <v>#REF!</v>
      </c>
      <c r="E621" t="e">
        <f t="shared" si="11"/>
        <v>#REF!</v>
      </c>
    </row>
    <row r="622" spans="1:5">
      <c r="A622" t="s">
        <v>5354</v>
      </c>
      <c r="B622">
        <v>7</v>
      </c>
      <c r="C622">
        <v>64</v>
      </c>
      <c r="D622" t="e">
        <f>VLOOKUP(A622,#REF!,2,FALSE)</f>
        <v>#REF!</v>
      </c>
      <c r="E622" t="e">
        <f t="shared" si="11"/>
        <v>#REF!</v>
      </c>
    </row>
    <row r="623" spans="1:5">
      <c r="A623" t="s">
        <v>5363</v>
      </c>
      <c r="B623">
        <v>7</v>
      </c>
      <c r="C623">
        <v>59</v>
      </c>
      <c r="D623" t="e">
        <f>VLOOKUP(A623,#REF!,2,FALSE)</f>
        <v>#REF!</v>
      </c>
      <c r="E623" t="e">
        <f t="shared" si="11"/>
        <v>#REF!</v>
      </c>
    </row>
    <row r="624" spans="1:5">
      <c r="A624" t="s">
        <v>5369</v>
      </c>
      <c r="B624">
        <v>7</v>
      </c>
      <c r="C624">
        <v>55</v>
      </c>
      <c r="D624" t="e">
        <f>VLOOKUP(A624,#REF!,2,FALSE)</f>
        <v>#REF!</v>
      </c>
      <c r="E624" t="e">
        <f t="shared" si="11"/>
        <v>#REF!</v>
      </c>
    </row>
    <row r="625" spans="1:5">
      <c r="A625" t="s">
        <v>5389</v>
      </c>
      <c r="B625">
        <v>7</v>
      </c>
      <c r="C625">
        <v>45</v>
      </c>
      <c r="D625" t="e">
        <f>VLOOKUP(A625,#REF!,2,FALSE)</f>
        <v>#REF!</v>
      </c>
      <c r="E625" t="e">
        <f t="shared" si="11"/>
        <v>#REF!</v>
      </c>
    </row>
    <row r="626" spans="1:5">
      <c r="A626" t="s">
        <v>5387</v>
      </c>
      <c r="B626">
        <v>7</v>
      </c>
      <c r="C626">
        <v>38</v>
      </c>
      <c r="D626" t="e">
        <f>VLOOKUP(A626,#REF!,2,FALSE)</f>
        <v>#REF!</v>
      </c>
      <c r="E626" t="e">
        <f t="shared" si="11"/>
        <v>#REF!</v>
      </c>
    </row>
    <row r="627" spans="1:5">
      <c r="A627" t="s">
        <v>5398</v>
      </c>
      <c r="B627">
        <v>7</v>
      </c>
      <c r="C627">
        <v>30</v>
      </c>
      <c r="D627" t="e">
        <f>VLOOKUP(A627,#REF!,2,FALSE)</f>
        <v>#REF!</v>
      </c>
      <c r="E627" t="e">
        <f t="shared" si="11"/>
        <v>#REF!</v>
      </c>
    </row>
    <row r="628" spans="1:5">
      <c r="A628" t="s">
        <v>5396</v>
      </c>
      <c r="B628">
        <v>7</v>
      </c>
      <c r="C628">
        <v>29</v>
      </c>
      <c r="D628" t="e">
        <f>VLOOKUP(A628,#REF!,2,FALSE)</f>
        <v>#REF!</v>
      </c>
      <c r="E628" t="e">
        <f t="shared" si="11"/>
        <v>#REF!</v>
      </c>
    </row>
    <row r="629" spans="1:5">
      <c r="A629" t="s">
        <v>5399</v>
      </c>
      <c r="B629">
        <v>7</v>
      </c>
      <c r="C629">
        <v>26</v>
      </c>
      <c r="D629" t="e">
        <f>VLOOKUP(A629,#REF!,2,FALSE)</f>
        <v>#REF!</v>
      </c>
      <c r="E629" t="e">
        <f t="shared" si="11"/>
        <v>#REF!</v>
      </c>
    </row>
    <row r="630" spans="1:5">
      <c r="A630" t="s">
        <v>5344</v>
      </c>
      <c r="B630">
        <v>7</v>
      </c>
      <c r="C630">
        <v>24</v>
      </c>
      <c r="D630" t="e">
        <f>VLOOKUP(A630,#REF!,2,FALSE)</f>
        <v>#REF!</v>
      </c>
      <c r="E630" t="e">
        <f t="shared" si="11"/>
        <v>#REF!</v>
      </c>
    </row>
    <row r="631" spans="1:5">
      <c r="A631" t="s">
        <v>5392</v>
      </c>
      <c r="B631">
        <v>7</v>
      </c>
      <c r="C631">
        <v>21</v>
      </c>
      <c r="D631" t="e">
        <f>VLOOKUP(A631,#REF!,2,FALSE)</f>
        <v>#REF!</v>
      </c>
      <c r="E631" t="e">
        <f t="shared" si="11"/>
        <v>#REF!</v>
      </c>
    </row>
    <row r="632" spans="1:5">
      <c r="A632" t="s">
        <v>5386</v>
      </c>
      <c r="B632">
        <v>7</v>
      </c>
      <c r="C632">
        <v>20</v>
      </c>
      <c r="D632" t="e">
        <f>VLOOKUP(A632,#REF!,2,FALSE)</f>
        <v>#REF!</v>
      </c>
      <c r="E632" t="e">
        <f t="shared" si="11"/>
        <v>#REF!</v>
      </c>
    </row>
    <row r="633" spans="1:5">
      <c r="A633" t="s">
        <v>5364</v>
      </c>
      <c r="B633">
        <v>7</v>
      </c>
      <c r="C633">
        <v>20</v>
      </c>
      <c r="D633" t="e">
        <f>VLOOKUP(A633,#REF!,2,FALSE)</f>
        <v>#REF!</v>
      </c>
      <c r="E633" t="e">
        <f t="shared" si="11"/>
        <v>#REF!</v>
      </c>
    </row>
    <row r="634" spans="1:5">
      <c r="A634" t="s">
        <v>5404</v>
      </c>
      <c r="B634">
        <v>7</v>
      </c>
      <c r="C634">
        <v>19</v>
      </c>
      <c r="D634" t="e">
        <f>VLOOKUP(A634,#REF!,2,FALSE)</f>
        <v>#REF!</v>
      </c>
      <c r="E634" t="e">
        <f t="shared" si="11"/>
        <v>#REF!</v>
      </c>
    </row>
    <row r="635" spans="1:5">
      <c r="A635" t="s">
        <v>5376</v>
      </c>
      <c r="B635">
        <v>7</v>
      </c>
      <c r="C635">
        <v>18</v>
      </c>
      <c r="D635" t="e">
        <f>VLOOKUP(A635,#REF!,2,FALSE)</f>
        <v>#REF!</v>
      </c>
      <c r="E635" t="e">
        <f t="shared" si="11"/>
        <v>#REF!</v>
      </c>
    </row>
    <row r="636" spans="1:5">
      <c r="A636" t="s">
        <v>5375</v>
      </c>
      <c r="B636">
        <v>7</v>
      </c>
      <c r="C636">
        <v>14</v>
      </c>
      <c r="D636" t="e">
        <f>VLOOKUP(A636,#REF!,2,FALSE)</f>
        <v>#REF!</v>
      </c>
      <c r="E636" t="e">
        <f t="shared" si="11"/>
        <v>#REF!</v>
      </c>
    </row>
    <row r="637" spans="1:5">
      <c r="A637" t="s">
        <v>5371</v>
      </c>
      <c r="B637">
        <v>7</v>
      </c>
      <c r="C637">
        <v>14</v>
      </c>
      <c r="D637" t="e">
        <f>VLOOKUP(A637,#REF!,2,FALSE)</f>
        <v>#REF!</v>
      </c>
      <c r="E637" t="e">
        <f t="shared" si="11"/>
        <v>#REF!</v>
      </c>
    </row>
    <row r="638" spans="1:5">
      <c r="A638" t="s">
        <v>5388</v>
      </c>
      <c r="B638">
        <v>7</v>
      </c>
      <c r="C638">
        <v>13</v>
      </c>
      <c r="D638" t="e">
        <f>VLOOKUP(A638,#REF!,2,FALSE)</f>
        <v>#REF!</v>
      </c>
      <c r="E638" t="e">
        <f t="shared" si="11"/>
        <v>#REF!</v>
      </c>
    </row>
    <row r="639" spans="1:5">
      <c r="A639" t="s">
        <v>5405</v>
      </c>
      <c r="B639">
        <v>7</v>
      </c>
      <c r="C639">
        <v>13</v>
      </c>
      <c r="D639" t="e">
        <f>VLOOKUP(A639,#REF!,2,FALSE)</f>
        <v>#REF!</v>
      </c>
      <c r="E639" t="e">
        <f t="shared" si="11"/>
        <v>#REF!</v>
      </c>
    </row>
    <row r="640" spans="1:5">
      <c r="A640" t="s">
        <v>5374</v>
      </c>
      <c r="B640">
        <v>7</v>
      </c>
      <c r="C640">
        <v>12</v>
      </c>
      <c r="D640" t="e">
        <f>VLOOKUP(A640,#REF!,2,FALSE)</f>
        <v>#REF!</v>
      </c>
      <c r="E640" t="e">
        <f t="shared" si="11"/>
        <v>#REF!</v>
      </c>
    </row>
    <row r="641" spans="1:5">
      <c r="A641" t="s">
        <v>5408</v>
      </c>
      <c r="B641">
        <v>7</v>
      </c>
      <c r="C641">
        <v>12</v>
      </c>
      <c r="D641" t="e">
        <f>VLOOKUP(A641,#REF!,2,FALSE)</f>
        <v>#REF!</v>
      </c>
      <c r="E641" t="e">
        <f t="shared" si="11"/>
        <v>#REF!</v>
      </c>
    </row>
    <row r="642" spans="1:5">
      <c r="A642" t="s">
        <v>5395</v>
      </c>
      <c r="B642">
        <v>7</v>
      </c>
      <c r="C642">
        <v>8</v>
      </c>
      <c r="D642" t="e">
        <f>VLOOKUP(A642,#REF!,2,FALSE)</f>
        <v>#REF!</v>
      </c>
      <c r="E642" t="e">
        <f t="shared" si="11"/>
        <v>#REF!</v>
      </c>
    </row>
    <row r="643" spans="1:5">
      <c r="A643" t="s">
        <v>5415</v>
      </c>
      <c r="B643">
        <v>7</v>
      </c>
      <c r="C643">
        <v>8</v>
      </c>
      <c r="D643" t="e">
        <f>VLOOKUP(A643,#REF!,2,FALSE)</f>
        <v>#REF!</v>
      </c>
      <c r="E643" t="e">
        <f t="shared" ref="E643:E706" si="12">C643/D643</f>
        <v>#REF!</v>
      </c>
    </row>
    <row r="644" spans="1:5">
      <c r="A644" t="s">
        <v>5402</v>
      </c>
      <c r="B644">
        <v>7</v>
      </c>
      <c r="C644">
        <v>7</v>
      </c>
      <c r="D644" t="e">
        <f>VLOOKUP(A644,#REF!,2,FALSE)</f>
        <v>#REF!</v>
      </c>
      <c r="E644" t="e">
        <f t="shared" si="12"/>
        <v>#REF!</v>
      </c>
    </row>
    <row r="645" spans="1:5">
      <c r="A645" t="s">
        <v>5417</v>
      </c>
      <c r="B645">
        <v>7</v>
      </c>
      <c r="C645">
        <v>7</v>
      </c>
      <c r="D645" t="e">
        <f>VLOOKUP(A645,#REF!,2,FALSE)</f>
        <v>#REF!</v>
      </c>
      <c r="E645" t="e">
        <f t="shared" si="12"/>
        <v>#REF!</v>
      </c>
    </row>
    <row r="646" spans="1:5">
      <c r="A646" t="s">
        <v>5400</v>
      </c>
      <c r="B646">
        <v>7</v>
      </c>
      <c r="C646">
        <v>7</v>
      </c>
      <c r="D646" t="e">
        <f>VLOOKUP(A646,#REF!,2,FALSE)</f>
        <v>#REF!</v>
      </c>
      <c r="E646" t="e">
        <f t="shared" si="12"/>
        <v>#REF!</v>
      </c>
    </row>
    <row r="647" spans="1:5">
      <c r="A647" t="s">
        <v>5390</v>
      </c>
      <c r="B647">
        <v>7</v>
      </c>
      <c r="C647">
        <v>7</v>
      </c>
      <c r="D647" t="e">
        <f>VLOOKUP(A647,#REF!,2,FALSE)</f>
        <v>#REF!</v>
      </c>
      <c r="E647" t="e">
        <f t="shared" si="12"/>
        <v>#REF!</v>
      </c>
    </row>
    <row r="648" spans="1:5">
      <c r="A648" t="s">
        <v>5413</v>
      </c>
      <c r="B648">
        <v>7</v>
      </c>
      <c r="C648">
        <v>7</v>
      </c>
      <c r="D648" t="e">
        <f>VLOOKUP(A648,#REF!,2,FALSE)</f>
        <v>#REF!</v>
      </c>
      <c r="E648" t="e">
        <f t="shared" si="12"/>
        <v>#REF!</v>
      </c>
    </row>
    <row r="649" spans="1:5">
      <c r="A649" t="s">
        <v>5407</v>
      </c>
      <c r="B649">
        <v>7</v>
      </c>
      <c r="C649">
        <v>5</v>
      </c>
      <c r="D649" t="e">
        <f>VLOOKUP(A649,#REF!,2,FALSE)</f>
        <v>#REF!</v>
      </c>
      <c r="E649" t="e">
        <f t="shared" si="12"/>
        <v>#REF!</v>
      </c>
    </row>
    <row r="650" spans="1:5">
      <c r="A650" t="s">
        <v>5414</v>
      </c>
      <c r="B650">
        <v>7</v>
      </c>
      <c r="C650">
        <v>5</v>
      </c>
      <c r="D650" t="e">
        <f>VLOOKUP(A650,#REF!,2,FALSE)</f>
        <v>#REF!</v>
      </c>
      <c r="E650" t="e">
        <f t="shared" si="12"/>
        <v>#REF!</v>
      </c>
    </row>
    <row r="651" spans="1:5">
      <c r="A651" t="s">
        <v>5401</v>
      </c>
      <c r="B651">
        <v>7</v>
      </c>
      <c r="C651">
        <v>4</v>
      </c>
      <c r="D651" t="e">
        <f>VLOOKUP(A651,#REF!,2,FALSE)</f>
        <v>#REF!</v>
      </c>
      <c r="E651" t="e">
        <f t="shared" si="12"/>
        <v>#REF!</v>
      </c>
    </row>
    <row r="652" spans="1:5">
      <c r="A652" t="s">
        <v>5406</v>
      </c>
      <c r="B652">
        <v>7</v>
      </c>
      <c r="C652">
        <v>4</v>
      </c>
      <c r="D652" t="e">
        <f>VLOOKUP(A652,#REF!,2,FALSE)</f>
        <v>#REF!</v>
      </c>
      <c r="E652" t="e">
        <f t="shared" si="12"/>
        <v>#REF!</v>
      </c>
    </row>
    <row r="653" spans="1:5">
      <c r="A653" t="s">
        <v>5411</v>
      </c>
      <c r="B653">
        <v>7</v>
      </c>
      <c r="C653">
        <v>4</v>
      </c>
      <c r="D653" t="e">
        <f>VLOOKUP(A653,#REF!,2,FALSE)</f>
        <v>#REF!</v>
      </c>
      <c r="E653" t="e">
        <f t="shared" si="12"/>
        <v>#REF!</v>
      </c>
    </row>
    <row r="654" spans="1:5">
      <c r="A654" t="s">
        <v>5403</v>
      </c>
      <c r="B654">
        <v>7</v>
      </c>
      <c r="C654">
        <v>3</v>
      </c>
      <c r="D654" t="e">
        <f>VLOOKUP(A654,#REF!,2,FALSE)</f>
        <v>#REF!</v>
      </c>
      <c r="E654" t="e">
        <f t="shared" si="12"/>
        <v>#REF!</v>
      </c>
    </row>
    <row r="655" spans="1:5">
      <c r="A655" t="s">
        <v>5370</v>
      </c>
      <c r="B655">
        <v>7</v>
      </c>
      <c r="C655">
        <v>2</v>
      </c>
      <c r="D655" t="e">
        <f>VLOOKUP(A655,#REF!,2,FALSE)</f>
        <v>#REF!</v>
      </c>
      <c r="E655" t="e">
        <f t="shared" si="12"/>
        <v>#REF!</v>
      </c>
    </row>
    <row r="656" spans="1:5">
      <c r="A656" t="s">
        <v>5358</v>
      </c>
      <c r="B656">
        <v>7</v>
      </c>
      <c r="C656">
        <v>2</v>
      </c>
      <c r="D656" t="e">
        <f>VLOOKUP(A656,#REF!,2,FALSE)</f>
        <v>#REF!</v>
      </c>
      <c r="E656" t="e">
        <f t="shared" si="12"/>
        <v>#REF!</v>
      </c>
    </row>
    <row r="657" spans="1:5">
      <c r="A657" t="s">
        <v>5393</v>
      </c>
      <c r="B657">
        <v>7</v>
      </c>
      <c r="C657">
        <v>2</v>
      </c>
      <c r="D657" t="e">
        <f>VLOOKUP(A657,#REF!,2,FALSE)</f>
        <v>#REF!</v>
      </c>
      <c r="E657" t="e">
        <f t="shared" si="12"/>
        <v>#REF!</v>
      </c>
    </row>
    <row r="658" spans="1:5">
      <c r="A658" t="s">
        <v>5416</v>
      </c>
      <c r="B658">
        <v>7</v>
      </c>
      <c r="C658">
        <v>2</v>
      </c>
      <c r="D658" t="e">
        <f>VLOOKUP(A658,#REF!,2,FALSE)</f>
        <v>#REF!</v>
      </c>
      <c r="E658" t="e">
        <f t="shared" si="12"/>
        <v>#REF!</v>
      </c>
    </row>
    <row r="659" spans="1:5">
      <c r="A659" t="s">
        <v>5410</v>
      </c>
      <c r="B659">
        <v>7</v>
      </c>
      <c r="C659">
        <v>2</v>
      </c>
      <c r="D659" t="e">
        <f>VLOOKUP(A659,#REF!,2,FALSE)</f>
        <v>#REF!</v>
      </c>
      <c r="E659" t="e">
        <f t="shared" si="12"/>
        <v>#REF!</v>
      </c>
    </row>
    <row r="660" spans="1:5">
      <c r="A660" t="s">
        <v>5385</v>
      </c>
      <c r="B660">
        <v>7</v>
      </c>
      <c r="C660">
        <v>1</v>
      </c>
      <c r="D660" t="e">
        <f>VLOOKUP(A660,#REF!,2,FALSE)</f>
        <v>#REF!</v>
      </c>
      <c r="E660" t="e">
        <f t="shared" si="12"/>
        <v>#REF!</v>
      </c>
    </row>
    <row r="661" spans="1:5">
      <c r="A661" t="s">
        <v>5381</v>
      </c>
      <c r="B661">
        <v>7</v>
      </c>
      <c r="C661">
        <v>1</v>
      </c>
      <c r="D661" t="e">
        <f>VLOOKUP(A661,#REF!,2,FALSE)</f>
        <v>#REF!</v>
      </c>
      <c r="E661" t="e">
        <f t="shared" si="12"/>
        <v>#REF!</v>
      </c>
    </row>
    <row r="662" spans="1:5">
      <c r="A662" t="s">
        <v>5418</v>
      </c>
      <c r="B662">
        <v>7</v>
      </c>
      <c r="C662">
        <v>1</v>
      </c>
      <c r="D662" t="e">
        <f>VLOOKUP(A662,#REF!,2,FALSE)</f>
        <v>#REF!</v>
      </c>
      <c r="E662" t="e">
        <f t="shared" si="12"/>
        <v>#REF!</v>
      </c>
    </row>
    <row r="663" spans="1:5">
      <c r="A663" t="s">
        <v>5321</v>
      </c>
      <c r="B663">
        <v>8</v>
      </c>
      <c r="C663">
        <v>8356</v>
      </c>
      <c r="D663" t="e">
        <f>VLOOKUP(A663,#REF!,2,FALSE)</f>
        <v>#REF!</v>
      </c>
      <c r="E663" t="e">
        <f t="shared" si="12"/>
        <v>#REF!</v>
      </c>
    </row>
    <row r="664" spans="1:5">
      <c r="A664" t="s">
        <v>1408</v>
      </c>
      <c r="B664">
        <v>8</v>
      </c>
      <c r="C664">
        <v>6583</v>
      </c>
      <c r="D664" t="e">
        <f>VLOOKUP(A664,#REF!,2,FALSE)</f>
        <v>#REF!</v>
      </c>
      <c r="E664" t="e">
        <f t="shared" si="12"/>
        <v>#REF!</v>
      </c>
    </row>
    <row r="665" spans="1:5">
      <c r="A665" t="s">
        <v>5326</v>
      </c>
      <c r="B665">
        <v>8</v>
      </c>
      <c r="C665">
        <v>4704</v>
      </c>
      <c r="D665" t="e">
        <f>VLOOKUP(A665,#REF!,2,FALSE)</f>
        <v>#REF!</v>
      </c>
      <c r="E665" t="e">
        <f t="shared" si="12"/>
        <v>#REF!</v>
      </c>
    </row>
    <row r="666" spans="1:5">
      <c r="A666" t="s">
        <v>5320</v>
      </c>
      <c r="B666">
        <v>8</v>
      </c>
      <c r="C666">
        <v>4412</v>
      </c>
      <c r="D666" t="e">
        <f>VLOOKUP(A666,#REF!,2,FALSE)</f>
        <v>#REF!</v>
      </c>
      <c r="E666" t="e">
        <f t="shared" si="12"/>
        <v>#REF!</v>
      </c>
    </row>
    <row r="667" spans="1:5">
      <c r="A667" t="s">
        <v>5317</v>
      </c>
      <c r="B667">
        <v>8</v>
      </c>
      <c r="C667">
        <v>3435</v>
      </c>
      <c r="D667" t="e">
        <f>VLOOKUP(A667,#REF!,2,FALSE)</f>
        <v>#REF!</v>
      </c>
      <c r="E667" t="e">
        <f t="shared" si="12"/>
        <v>#REF!</v>
      </c>
    </row>
    <row r="668" spans="1:5">
      <c r="A668" t="s">
        <v>5325</v>
      </c>
      <c r="B668">
        <v>8</v>
      </c>
      <c r="C668">
        <v>3240</v>
      </c>
      <c r="D668" t="e">
        <f>VLOOKUP(A668,#REF!,2,FALSE)</f>
        <v>#REF!</v>
      </c>
      <c r="E668" t="e">
        <f t="shared" si="12"/>
        <v>#REF!</v>
      </c>
    </row>
    <row r="669" spans="1:5">
      <c r="A669" t="s">
        <v>5324</v>
      </c>
      <c r="B669">
        <v>8</v>
      </c>
      <c r="C669">
        <v>3113</v>
      </c>
      <c r="D669" t="e">
        <f>VLOOKUP(A669,#REF!,2,FALSE)</f>
        <v>#REF!</v>
      </c>
      <c r="E669" t="e">
        <f t="shared" si="12"/>
        <v>#REF!</v>
      </c>
    </row>
    <row r="670" spans="1:5">
      <c r="A670" t="s">
        <v>5328</v>
      </c>
      <c r="B670">
        <v>8</v>
      </c>
      <c r="C670">
        <v>3054</v>
      </c>
      <c r="D670" t="e">
        <f>VLOOKUP(A670,#REF!,2,FALSE)</f>
        <v>#REF!</v>
      </c>
      <c r="E670" t="e">
        <f t="shared" si="12"/>
        <v>#REF!</v>
      </c>
    </row>
    <row r="671" spans="1:5">
      <c r="A671" t="s">
        <v>5323</v>
      </c>
      <c r="B671">
        <v>8</v>
      </c>
      <c r="C671">
        <v>2701</v>
      </c>
      <c r="D671" t="e">
        <f>VLOOKUP(A671,#REF!,2,FALSE)</f>
        <v>#REF!</v>
      </c>
      <c r="E671" t="e">
        <f t="shared" si="12"/>
        <v>#REF!</v>
      </c>
    </row>
    <row r="672" spans="1:5">
      <c r="A672" t="s">
        <v>5333</v>
      </c>
      <c r="B672">
        <v>8</v>
      </c>
      <c r="C672">
        <v>2160</v>
      </c>
      <c r="D672" t="e">
        <f>VLOOKUP(A672,#REF!,2,FALSE)</f>
        <v>#REF!</v>
      </c>
      <c r="E672" t="e">
        <f t="shared" si="12"/>
        <v>#REF!</v>
      </c>
    </row>
    <row r="673" spans="1:5">
      <c r="A673" t="s">
        <v>5329</v>
      </c>
      <c r="B673">
        <v>8</v>
      </c>
      <c r="C673">
        <v>2159</v>
      </c>
      <c r="D673" t="e">
        <f>VLOOKUP(A673,#REF!,2,FALSE)</f>
        <v>#REF!</v>
      </c>
      <c r="E673" t="e">
        <f t="shared" si="12"/>
        <v>#REF!</v>
      </c>
    </row>
    <row r="674" spans="1:5">
      <c r="A674" t="s">
        <v>5327</v>
      </c>
      <c r="B674">
        <v>8</v>
      </c>
      <c r="C674">
        <v>2127</v>
      </c>
      <c r="D674" t="e">
        <f>VLOOKUP(A674,#REF!,2,FALSE)</f>
        <v>#REF!</v>
      </c>
      <c r="E674" t="e">
        <f t="shared" si="12"/>
        <v>#REF!</v>
      </c>
    </row>
    <row r="675" spans="1:5">
      <c r="A675" t="s">
        <v>5319</v>
      </c>
      <c r="B675">
        <v>8</v>
      </c>
      <c r="C675">
        <v>2091</v>
      </c>
      <c r="D675" t="e">
        <f>VLOOKUP(A675,#REF!,2,FALSE)</f>
        <v>#REF!</v>
      </c>
      <c r="E675" t="e">
        <f t="shared" si="12"/>
        <v>#REF!</v>
      </c>
    </row>
    <row r="676" spans="1:5">
      <c r="A676" t="s">
        <v>5318</v>
      </c>
      <c r="B676">
        <v>8</v>
      </c>
      <c r="C676">
        <v>1595</v>
      </c>
      <c r="D676" t="e">
        <f>VLOOKUP(A676,#REF!,2,FALSE)</f>
        <v>#REF!</v>
      </c>
      <c r="E676" t="e">
        <f t="shared" si="12"/>
        <v>#REF!</v>
      </c>
    </row>
    <row r="677" spans="1:5">
      <c r="A677" t="s">
        <v>5334</v>
      </c>
      <c r="B677">
        <v>8</v>
      </c>
      <c r="C677">
        <v>1169</v>
      </c>
      <c r="D677" t="e">
        <f>VLOOKUP(A677,#REF!,2,FALSE)</f>
        <v>#REF!</v>
      </c>
      <c r="E677" t="e">
        <f t="shared" si="12"/>
        <v>#REF!</v>
      </c>
    </row>
    <row r="678" spans="1:5">
      <c r="A678" t="s">
        <v>5322</v>
      </c>
      <c r="B678">
        <v>8</v>
      </c>
      <c r="C678">
        <v>910</v>
      </c>
      <c r="D678" t="e">
        <f>VLOOKUP(A678,#REF!,2,FALSE)</f>
        <v>#REF!</v>
      </c>
      <c r="E678" t="e">
        <f t="shared" si="12"/>
        <v>#REF!</v>
      </c>
    </row>
    <row r="679" spans="1:5">
      <c r="A679" t="s">
        <v>5316</v>
      </c>
      <c r="B679">
        <v>8</v>
      </c>
      <c r="C679">
        <v>902</v>
      </c>
      <c r="D679" t="e">
        <f>VLOOKUP(A679,#REF!,2,FALSE)</f>
        <v>#REF!</v>
      </c>
      <c r="E679" t="e">
        <f t="shared" si="12"/>
        <v>#REF!</v>
      </c>
    </row>
    <row r="680" spans="1:5">
      <c r="A680" t="s">
        <v>5336</v>
      </c>
      <c r="B680">
        <v>8</v>
      </c>
      <c r="C680">
        <v>755</v>
      </c>
      <c r="D680" t="e">
        <f>VLOOKUP(A680,#REF!,2,FALSE)</f>
        <v>#REF!</v>
      </c>
      <c r="E680" t="e">
        <f t="shared" si="12"/>
        <v>#REF!</v>
      </c>
    </row>
    <row r="681" spans="1:5">
      <c r="A681" t="s">
        <v>5335</v>
      </c>
      <c r="B681">
        <v>8</v>
      </c>
      <c r="C681">
        <v>688</v>
      </c>
      <c r="D681" t="e">
        <f>VLOOKUP(A681,#REF!,2,FALSE)</f>
        <v>#REF!</v>
      </c>
      <c r="E681" t="e">
        <f t="shared" si="12"/>
        <v>#REF!</v>
      </c>
    </row>
    <row r="682" spans="1:5">
      <c r="A682" t="s">
        <v>5337</v>
      </c>
      <c r="B682">
        <v>8</v>
      </c>
      <c r="C682">
        <v>661</v>
      </c>
      <c r="D682" t="e">
        <f>VLOOKUP(A682,#REF!,2,FALSE)</f>
        <v>#REF!</v>
      </c>
      <c r="E682" t="e">
        <f t="shared" si="12"/>
        <v>#REF!</v>
      </c>
    </row>
    <row r="683" spans="1:5">
      <c r="A683" t="s">
        <v>5338</v>
      </c>
      <c r="B683">
        <v>8</v>
      </c>
      <c r="C683">
        <v>522</v>
      </c>
      <c r="D683" t="e">
        <f>VLOOKUP(A683,#REF!,2,FALSE)</f>
        <v>#REF!</v>
      </c>
      <c r="E683" t="e">
        <f t="shared" si="12"/>
        <v>#REF!</v>
      </c>
    </row>
    <row r="684" spans="1:5">
      <c r="A684" t="s">
        <v>5342</v>
      </c>
      <c r="B684">
        <v>8</v>
      </c>
      <c r="C684">
        <v>508</v>
      </c>
      <c r="D684" t="e">
        <f>VLOOKUP(A684,#REF!,2,FALSE)</f>
        <v>#REF!</v>
      </c>
      <c r="E684" t="e">
        <f t="shared" si="12"/>
        <v>#REF!</v>
      </c>
    </row>
    <row r="685" spans="1:5">
      <c r="A685" t="s">
        <v>5353</v>
      </c>
      <c r="B685">
        <v>8</v>
      </c>
      <c r="C685">
        <v>506</v>
      </c>
      <c r="D685" t="e">
        <f>VLOOKUP(A685,#REF!,2,FALSE)</f>
        <v>#REF!</v>
      </c>
      <c r="E685" t="e">
        <f t="shared" si="12"/>
        <v>#REF!</v>
      </c>
    </row>
    <row r="686" spans="1:5">
      <c r="A686" t="s">
        <v>5346</v>
      </c>
      <c r="B686">
        <v>8</v>
      </c>
      <c r="C686">
        <v>469</v>
      </c>
      <c r="D686" t="e">
        <f>VLOOKUP(A686,#REF!,2,FALSE)</f>
        <v>#REF!</v>
      </c>
      <c r="E686" t="e">
        <f t="shared" si="12"/>
        <v>#REF!</v>
      </c>
    </row>
    <row r="687" spans="1:5">
      <c r="A687" t="s">
        <v>5339</v>
      </c>
      <c r="B687">
        <v>8</v>
      </c>
      <c r="C687">
        <v>361</v>
      </c>
      <c r="D687" t="e">
        <f>VLOOKUP(A687,#REF!,2,FALSE)</f>
        <v>#REF!</v>
      </c>
      <c r="E687" t="e">
        <f t="shared" si="12"/>
        <v>#REF!</v>
      </c>
    </row>
    <row r="688" spans="1:5">
      <c r="A688" t="s">
        <v>5347</v>
      </c>
      <c r="B688">
        <v>8</v>
      </c>
      <c r="C688">
        <v>333</v>
      </c>
      <c r="D688" t="e">
        <f>VLOOKUP(A688,#REF!,2,FALSE)</f>
        <v>#REF!</v>
      </c>
      <c r="E688" t="e">
        <f t="shared" si="12"/>
        <v>#REF!</v>
      </c>
    </row>
    <row r="689" spans="1:5">
      <c r="A689" t="s">
        <v>5345</v>
      </c>
      <c r="B689">
        <v>8</v>
      </c>
      <c r="C689">
        <v>320</v>
      </c>
      <c r="D689" t="e">
        <f>VLOOKUP(A689,#REF!,2,FALSE)</f>
        <v>#REF!</v>
      </c>
      <c r="E689" t="e">
        <f t="shared" si="12"/>
        <v>#REF!</v>
      </c>
    </row>
    <row r="690" spans="1:5">
      <c r="A690" t="s">
        <v>5340</v>
      </c>
      <c r="B690">
        <v>8</v>
      </c>
      <c r="C690">
        <v>281</v>
      </c>
      <c r="D690" t="e">
        <f>VLOOKUP(A690,#REF!,2,FALSE)</f>
        <v>#REF!</v>
      </c>
      <c r="E690" t="e">
        <f t="shared" si="12"/>
        <v>#REF!</v>
      </c>
    </row>
    <row r="691" spans="1:5">
      <c r="A691" t="s">
        <v>5357</v>
      </c>
      <c r="B691">
        <v>8</v>
      </c>
      <c r="C691">
        <v>273</v>
      </c>
      <c r="D691" t="e">
        <f>VLOOKUP(A691,#REF!,2,FALSE)</f>
        <v>#REF!</v>
      </c>
      <c r="E691" t="e">
        <f t="shared" si="12"/>
        <v>#REF!</v>
      </c>
    </row>
    <row r="692" spans="1:5">
      <c r="A692" t="s">
        <v>5355</v>
      </c>
      <c r="B692">
        <v>8</v>
      </c>
      <c r="C692">
        <v>271</v>
      </c>
      <c r="D692" t="e">
        <f>VLOOKUP(A692,#REF!,2,FALSE)</f>
        <v>#REF!</v>
      </c>
      <c r="E692" t="e">
        <f t="shared" si="12"/>
        <v>#REF!</v>
      </c>
    </row>
    <row r="693" spans="1:5">
      <c r="A693" t="s">
        <v>5351</v>
      </c>
      <c r="B693">
        <v>8</v>
      </c>
      <c r="C693">
        <v>269</v>
      </c>
      <c r="D693" t="e">
        <f>VLOOKUP(A693,#REF!,2,FALSE)</f>
        <v>#REF!</v>
      </c>
      <c r="E693" t="e">
        <f t="shared" si="12"/>
        <v>#REF!</v>
      </c>
    </row>
    <row r="694" spans="1:5">
      <c r="A694" t="s">
        <v>5361</v>
      </c>
      <c r="B694">
        <v>8</v>
      </c>
      <c r="C694">
        <v>241</v>
      </c>
      <c r="D694" t="e">
        <f>VLOOKUP(A694,#REF!,2,FALSE)</f>
        <v>#REF!</v>
      </c>
      <c r="E694" t="e">
        <f t="shared" si="12"/>
        <v>#REF!</v>
      </c>
    </row>
    <row r="695" spans="1:5">
      <c r="A695" t="s">
        <v>5360</v>
      </c>
      <c r="B695">
        <v>8</v>
      </c>
      <c r="C695">
        <v>216</v>
      </c>
      <c r="D695" t="e">
        <f>VLOOKUP(A695,#REF!,2,FALSE)</f>
        <v>#REF!</v>
      </c>
      <c r="E695" t="e">
        <f t="shared" si="12"/>
        <v>#REF!</v>
      </c>
    </row>
    <row r="696" spans="1:5">
      <c r="A696" t="s">
        <v>5341</v>
      </c>
      <c r="B696">
        <v>8</v>
      </c>
      <c r="C696">
        <v>184</v>
      </c>
      <c r="D696" t="e">
        <f>VLOOKUP(A696,#REF!,2,FALSE)</f>
        <v>#REF!</v>
      </c>
      <c r="E696" t="e">
        <f t="shared" si="12"/>
        <v>#REF!</v>
      </c>
    </row>
    <row r="697" spans="1:5">
      <c r="A697" t="s">
        <v>5359</v>
      </c>
      <c r="B697">
        <v>8</v>
      </c>
      <c r="C697">
        <v>151</v>
      </c>
      <c r="D697" t="e">
        <f>VLOOKUP(A697,#REF!,2,FALSE)</f>
        <v>#REF!</v>
      </c>
      <c r="E697" t="e">
        <f t="shared" si="12"/>
        <v>#REF!</v>
      </c>
    </row>
    <row r="698" spans="1:5">
      <c r="A698" t="s">
        <v>5348</v>
      </c>
      <c r="B698">
        <v>8</v>
      </c>
      <c r="C698">
        <v>148</v>
      </c>
      <c r="D698" t="e">
        <f>VLOOKUP(A698,#REF!,2,FALSE)</f>
        <v>#REF!</v>
      </c>
      <c r="E698" t="e">
        <f t="shared" si="12"/>
        <v>#REF!</v>
      </c>
    </row>
    <row r="699" spans="1:5">
      <c r="A699" t="s">
        <v>5350</v>
      </c>
      <c r="B699">
        <v>8</v>
      </c>
      <c r="C699">
        <v>147</v>
      </c>
      <c r="D699" t="e">
        <f>VLOOKUP(A699,#REF!,2,FALSE)</f>
        <v>#REF!</v>
      </c>
      <c r="E699" t="e">
        <f t="shared" si="12"/>
        <v>#REF!</v>
      </c>
    </row>
    <row r="700" spans="1:5">
      <c r="A700" t="s">
        <v>5356</v>
      </c>
      <c r="B700">
        <v>8</v>
      </c>
      <c r="C700">
        <v>143</v>
      </c>
      <c r="D700" t="e">
        <f>VLOOKUP(A700,#REF!,2,FALSE)</f>
        <v>#REF!</v>
      </c>
      <c r="E700" t="e">
        <f t="shared" si="12"/>
        <v>#REF!</v>
      </c>
    </row>
    <row r="701" spans="1:5">
      <c r="A701" t="s">
        <v>5352</v>
      </c>
      <c r="B701">
        <v>8</v>
      </c>
      <c r="C701">
        <v>143</v>
      </c>
      <c r="D701" t="e">
        <f>VLOOKUP(A701,#REF!,2,FALSE)</f>
        <v>#REF!</v>
      </c>
      <c r="E701" t="e">
        <f t="shared" si="12"/>
        <v>#REF!</v>
      </c>
    </row>
    <row r="702" spans="1:5">
      <c r="A702" t="s">
        <v>5349</v>
      </c>
      <c r="B702">
        <v>8</v>
      </c>
      <c r="C702">
        <v>135</v>
      </c>
      <c r="D702" t="e">
        <f>VLOOKUP(A702,#REF!,2,FALSE)</f>
        <v>#REF!</v>
      </c>
      <c r="E702" t="e">
        <f t="shared" si="12"/>
        <v>#REF!</v>
      </c>
    </row>
    <row r="703" spans="1:5">
      <c r="A703" t="s">
        <v>5378</v>
      </c>
      <c r="B703">
        <v>8</v>
      </c>
      <c r="C703">
        <v>127</v>
      </c>
      <c r="D703" t="e">
        <f>VLOOKUP(A703,#REF!,2,FALSE)</f>
        <v>#REF!</v>
      </c>
      <c r="E703" t="e">
        <f t="shared" si="12"/>
        <v>#REF!</v>
      </c>
    </row>
    <row r="704" spans="1:5">
      <c r="A704" t="s">
        <v>5367</v>
      </c>
      <c r="B704">
        <v>8</v>
      </c>
      <c r="C704">
        <v>121</v>
      </c>
      <c r="D704" t="e">
        <f>VLOOKUP(A704,#REF!,2,FALSE)</f>
        <v>#REF!</v>
      </c>
      <c r="E704" t="e">
        <f t="shared" si="12"/>
        <v>#REF!</v>
      </c>
    </row>
    <row r="705" spans="1:5">
      <c r="A705" t="s">
        <v>5373</v>
      </c>
      <c r="B705">
        <v>8</v>
      </c>
      <c r="C705">
        <v>114</v>
      </c>
      <c r="D705" t="e">
        <f>VLOOKUP(A705,#REF!,2,FALSE)</f>
        <v>#REF!</v>
      </c>
      <c r="E705" t="e">
        <f t="shared" si="12"/>
        <v>#REF!</v>
      </c>
    </row>
    <row r="706" spans="1:5">
      <c r="A706" t="s">
        <v>5343</v>
      </c>
      <c r="B706">
        <v>8</v>
      </c>
      <c r="C706">
        <v>100</v>
      </c>
      <c r="D706" t="e">
        <f>VLOOKUP(A706,#REF!,2,FALSE)</f>
        <v>#REF!</v>
      </c>
      <c r="E706" t="e">
        <f t="shared" si="12"/>
        <v>#REF!</v>
      </c>
    </row>
    <row r="707" spans="1:5">
      <c r="A707" t="s">
        <v>5380</v>
      </c>
      <c r="B707">
        <v>8</v>
      </c>
      <c r="C707">
        <v>96</v>
      </c>
      <c r="D707" t="e">
        <f>VLOOKUP(A707,#REF!,2,FALSE)</f>
        <v>#REF!</v>
      </c>
      <c r="E707" t="e">
        <f t="shared" ref="E707:E770" si="13">C707/D707</f>
        <v>#REF!</v>
      </c>
    </row>
    <row r="708" spans="1:5">
      <c r="A708" t="s">
        <v>5377</v>
      </c>
      <c r="B708">
        <v>8</v>
      </c>
      <c r="C708">
        <v>91</v>
      </c>
      <c r="D708" t="e">
        <f>VLOOKUP(A708,#REF!,2,FALSE)</f>
        <v>#REF!</v>
      </c>
      <c r="E708" t="e">
        <f t="shared" si="13"/>
        <v>#REF!</v>
      </c>
    </row>
    <row r="709" spans="1:5">
      <c r="A709" t="s">
        <v>5298</v>
      </c>
      <c r="B709">
        <v>8</v>
      </c>
      <c r="C709">
        <v>83</v>
      </c>
      <c r="D709" t="e">
        <f>VLOOKUP(A709,#REF!,2,FALSE)</f>
        <v>#REF!</v>
      </c>
      <c r="E709" t="e">
        <f t="shared" si="13"/>
        <v>#REF!</v>
      </c>
    </row>
    <row r="710" spans="1:5">
      <c r="A710" t="s">
        <v>5368</v>
      </c>
      <c r="B710">
        <v>8</v>
      </c>
      <c r="C710">
        <v>83</v>
      </c>
      <c r="D710" t="e">
        <f>VLOOKUP(A710,#REF!,2,FALSE)</f>
        <v>#REF!</v>
      </c>
      <c r="E710" t="e">
        <f t="shared" si="13"/>
        <v>#REF!</v>
      </c>
    </row>
    <row r="711" spans="1:5">
      <c r="A711" t="s">
        <v>5354</v>
      </c>
      <c r="B711">
        <v>8</v>
      </c>
      <c r="C711">
        <v>74</v>
      </c>
      <c r="D711" t="e">
        <f>VLOOKUP(A711,#REF!,2,FALSE)</f>
        <v>#REF!</v>
      </c>
      <c r="E711" t="e">
        <f t="shared" si="13"/>
        <v>#REF!</v>
      </c>
    </row>
    <row r="712" spans="1:5">
      <c r="A712" t="s">
        <v>5366</v>
      </c>
      <c r="B712">
        <v>8</v>
      </c>
      <c r="C712">
        <v>69</v>
      </c>
      <c r="D712" t="e">
        <f>VLOOKUP(A712,#REF!,2,FALSE)</f>
        <v>#REF!</v>
      </c>
      <c r="E712" t="e">
        <f t="shared" si="13"/>
        <v>#REF!</v>
      </c>
    </row>
    <row r="713" spans="1:5">
      <c r="A713" t="s">
        <v>5391</v>
      </c>
      <c r="B713">
        <v>8</v>
      </c>
      <c r="C713">
        <v>67</v>
      </c>
      <c r="D713" t="e">
        <f>VLOOKUP(A713,#REF!,2,FALSE)</f>
        <v>#REF!</v>
      </c>
      <c r="E713" t="e">
        <f t="shared" si="13"/>
        <v>#REF!</v>
      </c>
    </row>
    <row r="714" spans="1:5">
      <c r="A714" t="s">
        <v>5365</v>
      </c>
      <c r="B714">
        <v>8</v>
      </c>
      <c r="C714">
        <v>67</v>
      </c>
      <c r="D714" t="e">
        <f>VLOOKUP(A714,#REF!,2,FALSE)</f>
        <v>#REF!</v>
      </c>
      <c r="E714" t="e">
        <f t="shared" si="13"/>
        <v>#REF!</v>
      </c>
    </row>
    <row r="715" spans="1:5">
      <c r="A715" t="s">
        <v>5369</v>
      </c>
      <c r="B715">
        <v>8</v>
      </c>
      <c r="C715">
        <v>66</v>
      </c>
      <c r="D715" t="e">
        <f>VLOOKUP(A715,#REF!,2,FALSE)</f>
        <v>#REF!</v>
      </c>
      <c r="E715" t="e">
        <f t="shared" si="13"/>
        <v>#REF!</v>
      </c>
    </row>
    <row r="716" spans="1:5">
      <c r="A716" t="s">
        <v>5362</v>
      </c>
      <c r="B716">
        <v>8</v>
      </c>
      <c r="C716">
        <v>65</v>
      </c>
      <c r="D716" t="e">
        <f>VLOOKUP(A716,#REF!,2,FALSE)</f>
        <v>#REF!</v>
      </c>
      <c r="E716" t="e">
        <f t="shared" si="13"/>
        <v>#REF!</v>
      </c>
    </row>
    <row r="717" spans="1:5">
      <c r="A717" t="s">
        <v>5379</v>
      </c>
      <c r="B717">
        <v>8</v>
      </c>
      <c r="C717">
        <v>58</v>
      </c>
      <c r="D717" t="e">
        <f>VLOOKUP(A717,#REF!,2,FALSE)</f>
        <v>#REF!</v>
      </c>
      <c r="E717" t="e">
        <f t="shared" si="13"/>
        <v>#REF!</v>
      </c>
    </row>
    <row r="718" spans="1:5">
      <c r="A718" t="s">
        <v>5363</v>
      </c>
      <c r="B718">
        <v>8</v>
      </c>
      <c r="C718">
        <v>55</v>
      </c>
      <c r="D718" t="e">
        <f>VLOOKUP(A718,#REF!,2,FALSE)</f>
        <v>#REF!</v>
      </c>
      <c r="E718" t="e">
        <f t="shared" si="13"/>
        <v>#REF!</v>
      </c>
    </row>
    <row r="719" spans="1:5">
      <c r="A719" t="s">
        <v>5344</v>
      </c>
      <c r="B719">
        <v>8</v>
      </c>
      <c r="C719">
        <v>55</v>
      </c>
      <c r="D719" t="e">
        <f>VLOOKUP(A719,#REF!,2,FALSE)</f>
        <v>#REF!</v>
      </c>
      <c r="E719" t="e">
        <f t="shared" si="13"/>
        <v>#REF!</v>
      </c>
    </row>
    <row r="720" spans="1:5">
      <c r="A720" t="s">
        <v>5383</v>
      </c>
      <c r="B720">
        <v>8</v>
      </c>
      <c r="C720">
        <v>49</v>
      </c>
      <c r="D720" t="e">
        <f>VLOOKUP(A720,#REF!,2,FALSE)</f>
        <v>#REF!</v>
      </c>
      <c r="E720" t="e">
        <f t="shared" si="13"/>
        <v>#REF!</v>
      </c>
    </row>
    <row r="721" spans="1:5">
      <c r="A721" t="s">
        <v>5384</v>
      </c>
      <c r="B721">
        <v>8</v>
      </c>
      <c r="C721">
        <v>43</v>
      </c>
      <c r="D721" t="e">
        <f>VLOOKUP(A721,#REF!,2,FALSE)</f>
        <v>#REF!</v>
      </c>
      <c r="E721" t="e">
        <f t="shared" si="13"/>
        <v>#REF!</v>
      </c>
    </row>
    <row r="722" spans="1:5">
      <c r="A722" t="s">
        <v>5387</v>
      </c>
      <c r="B722">
        <v>8</v>
      </c>
      <c r="C722">
        <v>42</v>
      </c>
      <c r="D722" t="e">
        <f>VLOOKUP(A722,#REF!,2,FALSE)</f>
        <v>#REF!</v>
      </c>
      <c r="E722" t="e">
        <f t="shared" si="13"/>
        <v>#REF!</v>
      </c>
    </row>
    <row r="723" spans="1:5">
      <c r="A723" t="s">
        <v>5372</v>
      </c>
      <c r="B723">
        <v>8</v>
      </c>
      <c r="C723">
        <v>40</v>
      </c>
      <c r="D723" t="e">
        <f>VLOOKUP(A723,#REF!,2,FALSE)</f>
        <v>#REF!</v>
      </c>
      <c r="E723" t="e">
        <f t="shared" si="13"/>
        <v>#REF!</v>
      </c>
    </row>
    <row r="724" spans="1:5">
      <c r="A724" t="s">
        <v>5398</v>
      </c>
      <c r="B724">
        <v>8</v>
      </c>
      <c r="C724">
        <v>33</v>
      </c>
      <c r="D724" t="e">
        <f>VLOOKUP(A724,#REF!,2,FALSE)</f>
        <v>#REF!</v>
      </c>
      <c r="E724" t="e">
        <f t="shared" si="13"/>
        <v>#REF!</v>
      </c>
    </row>
    <row r="725" spans="1:5">
      <c r="A725" t="s">
        <v>5404</v>
      </c>
      <c r="B725">
        <v>8</v>
      </c>
      <c r="C725">
        <v>26</v>
      </c>
      <c r="D725" t="e">
        <f>VLOOKUP(A725,#REF!,2,FALSE)</f>
        <v>#REF!</v>
      </c>
      <c r="E725" t="e">
        <f t="shared" si="13"/>
        <v>#REF!</v>
      </c>
    </row>
    <row r="726" spans="1:5">
      <c r="A726" t="s">
        <v>5392</v>
      </c>
      <c r="B726">
        <v>8</v>
      </c>
      <c r="C726">
        <v>21</v>
      </c>
      <c r="D726" t="e">
        <f>VLOOKUP(A726,#REF!,2,FALSE)</f>
        <v>#REF!</v>
      </c>
      <c r="E726" t="e">
        <f t="shared" si="13"/>
        <v>#REF!</v>
      </c>
    </row>
    <row r="727" spans="1:5">
      <c r="A727" t="s">
        <v>5399</v>
      </c>
      <c r="B727">
        <v>8</v>
      </c>
      <c r="C727">
        <v>21</v>
      </c>
      <c r="D727" t="e">
        <f>VLOOKUP(A727,#REF!,2,FALSE)</f>
        <v>#REF!</v>
      </c>
      <c r="E727" t="e">
        <f t="shared" si="13"/>
        <v>#REF!</v>
      </c>
    </row>
    <row r="728" spans="1:5">
      <c r="A728" t="s">
        <v>5396</v>
      </c>
      <c r="B728">
        <v>8</v>
      </c>
      <c r="C728">
        <v>18</v>
      </c>
      <c r="D728" t="e">
        <f>VLOOKUP(A728,#REF!,2,FALSE)</f>
        <v>#REF!</v>
      </c>
      <c r="E728" t="e">
        <f t="shared" si="13"/>
        <v>#REF!</v>
      </c>
    </row>
    <row r="729" spans="1:5">
      <c r="A729" t="s">
        <v>5364</v>
      </c>
      <c r="B729">
        <v>8</v>
      </c>
      <c r="C729">
        <v>17</v>
      </c>
      <c r="D729" t="e">
        <f>VLOOKUP(A729,#REF!,2,FALSE)</f>
        <v>#REF!</v>
      </c>
      <c r="E729" t="e">
        <f t="shared" si="13"/>
        <v>#REF!</v>
      </c>
    </row>
    <row r="730" spans="1:5">
      <c r="A730" t="s">
        <v>5388</v>
      </c>
      <c r="B730">
        <v>8</v>
      </c>
      <c r="C730">
        <v>17</v>
      </c>
      <c r="D730" t="e">
        <f>VLOOKUP(A730,#REF!,2,FALSE)</f>
        <v>#REF!</v>
      </c>
      <c r="E730" t="e">
        <f t="shared" si="13"/>
        <v>#REF!</v>
      </c>
    </row>
    <row r="731" spans="1:5">
      <c r="A731" t="s">
        <v>5417</v>
      </c>
      <c r="B731">
        <v>8</v>
      </c>
      <c r="C731">
        <v>15</v>
      </c>
      <c r="D731" t="e">
        <f>VLOOKUP(A731,#REF!,2,FALSE)</f>
        <v>#REF!</v>
      </c>
      <c r="E731" t="e">
        <f t="shared" si="13"/>
        <v>#REF!</v>
      </c>
    </row>
    <row r="732" spans="1:5">
      <c r="A732" t="s">
        <v>5400</v>
      </c>
      <c r="B732">
        <v>8</v>
      </c>
      <c r="C732">
        <v>12</v>
      </c>
      <c r="D732" t="e">
        <f>VLOOKUP(A732,#REF!,2,FALSE)</f>
        <v>#REF!</v>
      </c>
      <c r="E732" t="e">
        <f t="shared" si="13"/>
        <v>#REF!</v>
      </c>
    </row>
    <row r="733" spans="1:5">
      <c r="A733" t="s">
        <v>5374</v>
      </c>
      <c r="B733">
        <v>8</v>
      </c>
      <c r="C733">
        <v>11</v>
      </c>
      <c r="D733" t="e">
        <f>VLOOKUP(A733,#REF!,2,FALSE)</f>
        <v>#REF!</v>
      </c>
      <c r="E733" t="e">
        <f t="shared" si="13"/>
        <v>#REF!</v>
      </c>
    </row>
    <row r="734" spans="1:5">
      <c r="A734" t="s">
        <v>5386</v>
      </c>
      <c r="B734">
        <v>8</v>
      </c>
      <c r="C734">
        <v>11</v>
      </c>
      <c r="D734" t="e">
        <f>VLOOKUP(A734,#REF!,2,FALSE)</f>
        <v>#REF!</v>
      </c>
      <c r="E734" t="e">
        <f t="shared" si="13"/>
        <v>#REF!</v>
      </c>
    </row>
    <row r="735" spans="1:5">
      <c r="A735" t="s">
        <v>5358</v>
      </c>
      <c r="B735">
        <v>8</v>
      </c>
      <c r="C735">
        <v>9</v>
      </c>
      <c r="D735" t="e">
        <f>VLOOKUP(A735,#REF!,2,FALSE)</f>
        <v>#REF!</v>
      </c>
      <c r="E735" t="e">
        <f t="shared" si="13"/>
        <v>#REF!</v>
      </c>
    </row>
    <row r="736" spans="1:5">
      <c r="A736" t="s">
        <v>5375</v>
      </c>
      <c r="B736">
        <v>8</v>
      </c>
      <c r="C736">
        <v>9</v>
      </c>
      <c r="D736" t="e">
        <f>VLOOKUP(A736,#REF!,2,FALSE)</f>
        <v>#REF!</v>
      </c>
      <c r="E736" t="e">
        <f t="shared" si="13"/>
        <v>#REF!</v>
      </c>
    </row>
    <row r="737" spans="1:5">
      <c r="A737" t="s">
        <v>5389</v>
      </c>
      <c r="B737">
        <v>8</v>
      </c>
      <c r="C737">
        <v>9</v>
      </c>
      <c r="D737" t="e">
        <f>VLOOKUP(A737,#REF!,2,FALSE)</f>
        <v>#REF!</v>
      </c>
      <c r="E737" t="e">
        <f t="shared" si="13"/>
        <v>#REF!</v>
      </c>
    </row>
    <row r="738" spans="1:5">
      <c r="A738" t="s">
        <v>5390</v>
      </c>
      <c r="B738">
        <v>8</v>
      </c>
      <c r="C738">
        <v>8</v>
      </c>
      <c r="D738" t="e">
        <f>VLOOKUP(A738,#REF!,2,FALSE)</f>
        <v>#REF!</v>
      </c>
      <c r="E738" t="e">
        <f t="shared" si="13"/>
        <v>#REF!</v>
      </c>
    </row>
    <row r="739" spans="1:5">
      <c r="A739" t="s">
        <v>5395</v>
      </c>
      <c r="B739">
        <v>8</v>
      </c>
      <c r="C739">
        <v>8</v>
      </c>
      <c r="D739" t="e">
        <f>VLOOKUP(A739,#REF!,2,FALSE)</f>
        <v>#REF!</v>
      </c>
      <c r="E739" t="e">
        <f t="shared" si="13"/>
        <v>#REF!</v>
      </c>
    </row>
    <row r="740" spans="1:5">
      <c r="A740" t="s">
        <v>5405</v>
      </c>
      <c r="B740">
        <v>8</v>
      </c>
      <c r="C740">
        <v>7</v>
      </c>
      <c r="D740" t="e">
        <f>VLOOKUP(A740,#REF!,2,FALSE)</f>
        <v>#REF!</v>
      </c>
      <c r="E740" t="e">
        <f t="shared" si="13"/>
        <v>#REF!</v>
      </c>
    </row>
    <row r="741" spans="1:5">
      <c r="A741" t="s">
        <v>5376</v>
      </c>
      <c r="B741">
        <v>8</v>
      </c>
      <c r="C741">
        <v>7</v>
      </c>
      <c r="D741" t="e">
        <f>VLOOKUP(A741,#REF!,2,FALSE)</f>
        <v>#REF!</v>
      </c>
      <c r="E741" t="e">
        <f t="shared" si="13"/>
        <v>#REF!</v>
      </c>
    </row>
    <row r="742" spans="1:5">
      <c r="A742" t="s">
        <v>5393</v>
      </c>
      <c r="B742">
        <v>8</v>
      </c>
      <c r="C742">
        <v>6</v>
      </c>
      <c r="D742" t="e">
        <f>VLOOKUP(A742,#REF!,2,FALSE)</f>
        <v>#REF!</v>
      </c>
      <c r="E742" t="e">
        <f t="shared" si="13"/>
        <v>#REF!</v>
      </c>
    </row>
    <row r="743" spans="1:5">
      <c r="A743" t="s">
        <v>5411</v>
      </c>
      <c r="B743">
        <v>8</v>
      </c>
      <c r="C743">
        <v>4</v>
      </c>
      <c r="D743" t="e">
        <f>VLOOKUP(A743,#REF!,2,FALSE)</f>
        <v>#REF!</v>
      </c>
      <c r="E743" t="e">
        <f t="shared" si="13"/>
        <v>#REF!</v>
      </c>
    </row>
    <row r="744" spans="1:5">
      <c r="A744" t="s">
        <v>5382</v>
      </c>
      <c r="B744">
        <v>8</v>
      </c>
      <c r="C744">
        <v>4</v>
      </c>
      <c r="D744" t="e">
        <f>VLOOKUP(A744,#REF!,2,FALSE)</f>
        <v>#REF!</v>
      </c>
      <c r="E744" t="e">
        <f t="shared" si="13"/>
        <v>#REF!</v>
      </c>
    </row>
    <row r="745" spans="1:5">
      <c r="A745" t="s">
        <v>5414</v>
      </c>
      <c r="B745">
        <v>8</v>
      </c>
      <c r="C745">
        <v>4</v>
      </c>
      <c r="D745" t="e">
        <f>VLOOKUP(A745,#REF!,2,FALSE)</f>
        <v>#REF!</v>
      </c>
      <c r="E745" t="e">
        <f t="shared" si="13"/>
        <v>#REF!</v>
      </c>
    </row>
    <row r="746" spans="1:5">
      <c r="A746" t="s">
        <v>5412</v>
      </c>
      <c r="B746">
        <v>8</v>
      </c>
      <c r="C746">
        <v>3</v>
      </c>
      <c r="D746" t="e">
        <f>VLOOKUP(A746,#REF!,2,FALSE)</f>
        <v>#REF!</v>
      </c>
      <c r="E746" t="e">
        <f t="shared" si="13"/>
        <v>#REF!</v>
      </c>
    </row>
    <row r="747" spans="1:5">
      <c r="A747" t="s">
        <v>5385</v>
      </c>
      <c r="B747">
        <v>8</v>
      </c>
      <c r="C747">
        <v>3</v>
      </c>
      <c r="D747" t="e">
        <f>VLOOKUP(A747,#REF!,2,FALSE)</f>
        <v>#REF!</v>
      </c>
      <c r="E747" t="e">
        <f t="shared" si="13"/>
        <v>#REF!</v>
      </c>
    </row>
    <row r="748" spans="1:5">
      <c r="A748" t="s">
        <v>5407</v>
      </c>
      <c r="B748">
        <v>8</v>
      </c>
      <c r="C748">
        <v>3</v>
      </c>
      <c r="D748" t="e">
        <f>VLOOKUP(A748,#REF!,2,FALSE)</f>
        <v>#REF!</v>
      </c>
      <c r="E748" t="e">
        <f t="shared" si="13"/>
        <v>#REF!</v>
      </c>
    </row>
    <row r="749" spans="1:5">
      <c r="A749" t="s">
        <v>5415</v>
      </c>
      <c r="B749">
        <v>8</v>
      </c>
      <c r="C749">
        <v>3</v>
      </c>
      <c r="D749" t="e">
        <f>VLOOKUP(A749,#REF!,2,FALSE)</f>
        <v>#REF!</v>
      </c>
      <c r="E749" t="e">
        <f t="shared" si="13"/>
        <v>#REF!</v>
      </c>
    </row>
    <row r="750" spans="1:5">
      <c r="A750" t="s">
        <v>5402</v>
      </c>
      <c r="B750">
        <v>8</v>
      </c>
      <c r="C750">
        <v>3</v>
      </c>
      <c r="D750" t="e">
        <f>VLOOKUP(A750,#REF!,2,FALSE)</f>
        <v>#REF!</v>
      </c>
      <c r="E750" t="e">
        <f t="shared" si="13"/>
        <v>#REF!</v>
      </c>
    </row>
    <row r="751" spans="1:5">
      <c r="A751" t="s">
        <v>5406</v>
      </c>
      <c r="B751">
        <v>8</v>
      </c>
      <c r="C751">
        <v>3</v>
      </c>
      <c r="D751" t="e">
        <f>VLOOKUP(A751,#REF!,2,FALSE)</f>
        <v>#REF!</v>
      </c>
      <c r="E751" t="e">
        <f t="shared" si="13"/>
        <v>#REF!</v>
      </c>
    </row>
    <row r="752" spans="1:5">
      <c r="A752" t="s">
        <v>5371</v>
      </c>
      <c r="B752">
        <v>8</v>
      </c>
      <c r="C752">
        <v>2</v>
      </c>
      <c r="D752" t="e">
        <f>VLOOKUP(A752,#REF!,2,FALSE)</f>
        <v>#REF!</v>
      </c>
      <c r="E752" t="e">
        <f t="shared" si="13"/>
        <v>#REF!</v>
      </c>
    </row>
    <row r="753" spans="1:5">
      <c r="A753" t="s">
        <v>5419</v>
      </c>
      <c r="B753">
        <v>8</v>
      </c>
      <c r="C753">
        <v>2</v>
      </c>
      <c r="D753" t="e">
        <f>VLOOKUP(A753,#REF!,2,FALSE)</f>
        <v>#REF!</v>
      </c>
      <c r="E753" t="e">
        <f t="shared" si="13"/>
        <v>#REF!</v>
      </c>
    </row>
    <row r="754" spans="1:5">
      <c r="A754" t="s">
        <v>5413</v>
      </c>
      <c r="B754">
        <v>8</v>
      </c>
      <c r="C754">
        <v>2</v>
      </c>
      <c r="D754" t="e">
        <f>VLOOKUP(A754,#REF!,2,FALSE)</f>
        <v>#REF!</v>
      </c>
      <c r="E754" t="e">
        <f t="shared" si="13"/>
        <v>#REF!</v>
      </c>
    </row>
    <row r="755" spans="1:5">
      <c r="A755" t="s">
        <v>5397</v>
      </c>
      <c r="B755">
        <v>8</v>
      </c>
      <c r="C755">
        <v>2</v>
      </c>
      <c r="D755" t="e">
        <f>VLOOKUP(A755,#REF!,2,FALSE)</f>
        <v>#REF!</v>
      </c>
      <c r="E755" t="e">
        <f t="shared" si="13"/>
        <v>#REF!</v>
      </c>
    </row>
    <row r="756" spans="1:5">
      <c r="A756" t="s">
        <v>5370</v>
      </c>
      <c r="B756">
        <v>8</v>
      </c>
      <c r="C756">
        <v>2</v>
      </c>
      <c r="D756" t="e">
        <f>VLOOKUP(A756,#REF!,2,FALSE)</f>
        <v>#REF!</v>
      </c>
      <c r="E756" t="e">
        <f t="shared" si="13"/>
        <v>#REF!</v>
      </c>
    </row>
    <row r="757" spans="1:5">
      <c r="A757" t="s">
        <v>5401</v>
      </c>
      <c r="B757">
        <v>8</v>
      </c>
      <c r="C757">
        <v>1</v>
      </c>
      <c r="D757" t="e">
        <f>VLOOKUP(A757,#REF!,2,FALSE)</f>
        <v>#REF!</v>
      </c>
      <c r="E757" t="e">
        <f t="shared" si="13"/>
        <v>#REF!</v>
      </c>
    </row>
    <row r="758" spans="1:5">
      <c r="A758" t="s">
        <v>5394</v>
      </c>
      <c r="B758">
        <v>8</v>
      </c>
      <c r="C758">
        <v>1</v>
      </c>
      <c r="D758" t="e">
        <f>VLOOKUP(A758,#REF!,2,FALSE)</f>
        <v>#REF!</v>
      </c>
      <c r="E758" t="e">
        <f t="shared" si="13"/>
        <v>#REF!</v>
      </c>
    </row>
    <row r="759" spans="1:5">
      <c r="A759" t="s">
        <v>5403</v>
      </c>
      <c r="B759">
        <v>8</v>
      </c>
      <c r="C759">
        <v>1</v>
      </c>
      <c r="D759" t="e">
        <f>VLOOKUP(A759,#REF!,2,FALSE)</f>
        <v>#REF!</v>
      </c>
      <c r="E759" t="e">
        <f t="shared" si="13"/>
        <v>#REF!</v>
      </c>
    </row>
    <row r="760" spans="1:5">
      <c r="A760" t="s">
        <v>5421</v>
      </c>
      <c r="B760">
        <v>8</v>
      </c>
      <c r="C760">
        <v>1</v>
      </c>
      <c r="D760" t="e">
        <f>VLOOKUP(A760,#REF!,2,FALSE)</f>
        <v>#REF!</v>
      </c>
      <c r="E760" t="e">
        <f t="shared" si="13"/>
        <v>#REF!</v>
      </c>
    </row>
    <row r="761" spans="1:5">
      <c r="A761" t="s">
        <v>5420</v>
      </c>
      <c r="B761">
        <v>8</v>
      </c>
      <c r="C761">
        <v>1</v>
      </c>
      <c r="D761" t="e">
        <f>VLOOKUP(A761,#REF!,2,FALSE)</f>
        <v>#REF!</v>
      </c>
      <c r="E761" t="e">
        <f t="shared" si="13"/>
        <v>#REF!</v>
      </c>
    </row>
    <row r="762" spans="1:5">
      <c r="A762" t="s">
        <v>5321</v>
      </c>
      <c r="B762">
        <v>9</v>
      </c>
      <c r="C762">
        <v>9841</v>
      </c>
      <c r="D762" t="e">
        <f>VLOOKUP(A762,#REF!,2,FALSE)</f>
        <v>#REF!</v>
      </c>
      <c r="E762" t="e">
        <f t="shared" si="13"/>
        <v>#REF!</v>
      </c>
    </row>
    <row r="763" spans="1:5">
      <c r="A763" t="s">
        <v>5320</v>
      </c>
      <c r="B763">
        <v>9</v>
      </c>
      <c r="C763">
        <v>9698</v>
      </c>
      <c r="D763" t="e">
        <f>VLOOKUP(A763,#REF!,2,FALSE)</f>
        <v>#REF!</v>
      </c>
      <c r="E763" t="e">
        <f t="shared" si="13"/>
        <v>#REF!</v>
      </c>
    </row>
    <row r="764" spans="1:5">
      <c r="A764" t="s">
        <v>1408</v>
      </c>
      <c r="B764">
        <v>9</v>
      </c>
      <c r="C764">
        <v>4711</v>
      </c>
      <c r="D764" t="e">
        <f>VLOOKUP(A764,#REF!,2,FALSE)</f>
        <v>#REF!</v>
      </c>
      <c r="E764" t="e">
        <f t="shared" si="13"/>
        <v>#REF!</v>
      </c>
    </row>
    <row r="765" spans="1:5">
      <c r="A765" t="s">
        <v>5317</v>
      </c>
      <c r="B765">
        <v>9</v>
      </c>
      <c r="C765">
        <v>3947</v>
      </c>
      <c r="D765" t="e">
        <f>VLOOKUP(A765,#REF!,2,FALSE)</f>
        <v>#REF!</v>
      </c>
      <c r="E765" t="e">
        <f t="shared" si="13"/>
        <v>#REF!</v>
      </c>
    </row>
    <row r="766" spans="1:5">
      <c r="A766" t="s">
        <v>5326</v>
      </c>
      <c r="B766">
        <v>9</v>
      </c>
      <c r="C766">
        <v>3312</v>
      </c>
      <c r="D766" t="e">
        <f>VLOOKUP(A766,#REF!,2,FALSE)</f>
        <v>#REF!</v>
      </c>
      <c r="E766" t="e">
        <f t="shared" si="13"/>
        <v>#REF!</v>
      </c>
    </row>
    <row r="767" spans="1:5">
      <c r="A767" t="s">
        <v>5328</v>
      </c>
      <c r="B767">
        <v>9</v>
      </c>
      <c r="C767">
        <v>2702</v>
      </c>
      <c r="D767" t="e">
        <f>VLOOKUP(A767,#REF!,2,FALSE)</f>
        <v>#REF!</v>
      </c>
      <c r="E767" t="e">
        <f t="shared" si="13"/>
        <v>#REF!</v>
      </c>
    </row>
    <row r="768" spans="1:5">
      <c r="A768" t="s">
        <v>5323</v>
      </c>
      <c r="B768">
        <v>9</v>
      </c>
      <c r="C768">
        <v>2261</v>
      </c>
      <c r="D768" t="e">
        <f>VLOOKUP(A768,#REF!,2,FALSE)</f>
        <v>#REF!</v>
      </c>
      <c r="E768" t="e">
        <f t="shared" si="13"/>
        <v>#REF!</v>
      </c>
    </row>
    <row r="769" spans="1:5">
      <c r="A769" t="s">
        <v>5319</v>
      </c>
      <c r="B769">
        <v>9</v>
      </c>
      <c r="C769">
        <v>1854</v>
      </c>
      <c r="D769" t="e">
        <f>VLOOKUP(A769,#REF!,2,FALSE)</f>
        <v>#REF!</v>
      </c>
      <c r="E769" t="e">
        <f t="shared" si="13"/>
        <v>#REF!</v>
      </c>
    </row>
    <row r="770" spans="1:5">
      <c r="A770" t="s">
        <v>5333</v>
      </c>
      <c r="B770">
        <v>9</v>
      </c>
      <c r="C770">
        <v>1837</v>
      </c>
      <c r="D770" t="e">
        <f>VLOOKUP(A770,#REF!,2,FALSE)</f>
        <v>#REF!</v>
      </c>
      <c r="E770" t="e">
        <f t="shared" si="13"/>
        <v>#REF!</v>
      </c>
    </row>
    <row r="771" spans="1:5">
      <c r="A771" t="s">
        <v>5334</v>
      </c>
      <c r="B771">
        <v>9</v>
      </c>
      <c r="C771">
        <v>1743</v>
      </c>
      <c r="D771" t="e">
        <f>VLOOKUP(A771,#REF!,2,FALSE)</f>
        <v>#REF!</v>
      </c>
      <c r="E771" t="e">
        <f t="shared" ref="E771:E834" si="14">C771/D771</f>
        <v>#REF!</v>
      </c>
    </row>
    <row r="772" spans="1:5">
      <c r="A772" t="s">
        <v>5318</v>
      </c>
      <c r="B772">
        <v>9</v>
      </c>
      <c r="C772">
        <v>1682</v>
      </c>
      <c r="D772" t="e">
        <f>VLOOKUP(A772,#REF!,2,FALSE)</f>
        <v>#REF!</v>
      </c>
      <c r="E772" t="e">
        <f t="shared" si="14"/>
        <v>#REF!</v>
      </c>
    </row>
    <row r="773" spans="1:5">
      <c r="A773" t="s">
        <v>5322</v>
      </c>
      <c r="B773">
        <v>9</v>
      </c>
      <c r="C773">
        <v>1643</v>
      </c>
      <c r="D773" t="e">
        <f>VLOOKUP(A773,#REF!,2,FALSE)</f>
        <v>#REF!</v>
      </c>
      <c r="E773" t="e">
        <f t="shared" si="14"/>
        <v>#REF!</v>
      </c>
    </row>
    <row r="774" spans="1:5">
      <c r="A774" t="s">
        <v>5325</v>
      </c>
      <c r="B774">
        <v>9</v>
      </c>
      <c r="C774">
        <v>1552</v>
      </c>
      <c r="D774" t="e">
        <f>VLOOKUP(A774,#REF!,2,FALSE)</f>
        <v>#REF!</v>
      </c>
      <c r="E774" t="e">
        <f t="shared" si="14"/>
        <v>#REF!</v>
      </c>
    </row>
    <row r="775" spans="1:5">
      <c r="A775" t="s">
        <v>5335</v>
      </c>
      <c r="B775">
        <v>9</v>
      </c>
      <c r="C775">
        <v>1546</v>
      </c>
      <c r="D775" t="e">
        <f>VLOOKUP(A775,#REF!,2,FALSE)</f>
        <v>#REF!</v>
      </c>
      <c r="E775" t="e">
        <f t="shared" si="14"/>
        <v>#REF!</v>
      </c>
    </row>
    <row r="776" spans="1:5">
      <c r="A776" t="s">
        <v>5337</v>
      </c>
      <c r="B776">
        <v>9</v>
      </c>
      <c r="C776">
        <v>1380</v>
      </c>
      <c r="D776" t="e">
        <f>VLOOKUP(A776,#REF!,2,FALSE)</f>
        <v>#REF!</v>
      </c>
      <c r="E776" t="e">
        <f t="shared" si="14"/>
        <v>#REF!</v>
      </c>
    </row>
    <row r="777" spans="1:5">
      <c r="A777" t="s">
        <v>5316</v>
      </c>
      <c r="B777">
        <v>9</v>
      </c>
      <c r="C777">
        <v>1297</v>
      </c>
      <c r="D777" t="e">
        <f>VLOOKUP(A777,#REF!,2,FALSE)</f>
        <v>#REF!</v>
      </c>
      <c r="E777" t="e">
        <f t="shared" si="14"/>
        <v>#REF!</v>
      </c>
    </row>
    <row r="778" spans="1:5">
      <c r="A778" t="s">
        <v>5336</v>
      </c>
      <c r="B778">
        <v>9</v>
      </c>
      <c r="C778">
        <v>831</v>
      </c>
      <c r="D778" t="e">
        <f>VLOOKUP(A778,#REF!,2,FALSE)</f>
        <v>#REF!</v>
      </c>
      <c r="E778" t="e">
        <f t="shared" si="14"/>
        <v>#REF!</v>
      </c>
    </row>
    <row r="779" spans="1:5">
      <c r="A779" t="s">
        <v>5324</v>
      </c>
      <c r="B779">
        <v>9</v>
      </c>
      <c r="C779">
        <v>646</v>
      </c>
      <c r="D779" t="e">
        <f>VLOOKUP(A779,#REF!,2,FALSE)</f>
        <v>#REF!</v>
      </c>
      <c r="E779" t="e">
        <f t="shared" si="14"/>
        <v>#REF!</v>
      </c>
    </row>
    <row r="780" spans="1:5">
      <c r="A780" t="s">
        <v>5339</v>
      </c>
      <c r="B780">
        <v>9</v>
      </c>
      <c r="C780">
        <v>573</v>
      </c>
      <c r="D780" t="e">
        <f>VLOOKUP(A780,#REF!,2,FALSE)</f>
        <v>#REF!</v>
      </c>
      <c r="E780" t="e">
        <f t="shared" si="14"/>
        <v>#REF!</v>
      </c>
    </row>
    <row r="781" spans="1:5">
      <c r="A781" t="s">
        <v>5346</v>
      </c>
      <c r="B781">
        <v>9</v>
      </c>
      <c r="C781">
        <v>563</v>
      </c>
      <c r="D781" t="e">
        <f>VLOOKUP(A781,#REF!,2,FALSE)</f>
        <v>#REF!</v>
      </c>
      <c r="E781" t="e">
        <f t="shared" si="14"/>
        <v>#REF!</v>
      </c>
    </row>
    <row r="782" spans="1:5">
      <c r="A782" t="s">
        <v>5329</v>
      </c>
      <c r="B782">
        <v>9</v>
      </c>
      <c r="C782">
        <v>533</v>
      </c>
      <c r="D782" t="e">
        <f>VLOOKUP(A782,#REF!,2,FALSE)</f>
        <v>#REF!</v>
      </c>
      <c r="E782" t="e">
        <f t="shared" si="14"/>
        <v>#REF!</v>
      </c>
    </row>
    <row r="783" spans="1:5">
      <c r="A783" t="s">
        <v>5341</v>
      </c>
      <c r="B783">
        <v>9</v>
      </c>
      <c r="C783">
        <v>508</v>
      </c>
      <c r="D783" t="e">
        <f>VLOOKUP(A783,#REF!,2,FALSE)</f>
        <v>#REF!</v>
      </c>
      <c r="E783" t="e">
        <f t="shared" si="14"/>
        <v>#REF!</v>
      </c>
    </row>
    <row r="784" spans="1:5">
      <c r="A784" t="s">
        <v>5349</v>
      </c>
      <c r="B784">
        <v>9</v>
      </c>
      <c r="C784">
        <v>499</v>
      </c>
      <c r="D784" t="e">
        <f>VLOOKUP(A784,#REF!,2,FALSE)</f>
        <v>#REF!</v>
      </c>
      <c r="E784" t="e">
        <f t="shared" si="14"/>
        <v>#REF!</v>
      </c>
    </row>
    <row r="785" spans="1:5">
      <c r="A785" t="s">
        <v>5342</v>
      </c>
      <c r="B785">
        <v>9</v>
      </c>
      <c r="C785">
        <v>447</v>
      </c>
      <c r="D785" t="e">
        <f>VLOOKUP(A785,#REF!,2,FALSE)</f>
        <v>#REF!</v>
      </c>
      <c r="E785" t="e">
        <f t="shared" si="14"/>
        <v>#REF!</v>
      </c>
    </row>
    <row r="786" spans="1:5">
      <c r="A786" t="s">
        <v>5327</v>
      </c>
      <c r="B786">
        <v>9</v>
      </c>
      <c r="C786">
        <v>437</v>
      </c>
      <c r="D786" t="e">
        <f>VLOOKUP(A786,#REF!,2,FALSE)</f>
        <v>#REF!</v>
      </c>
      <c r="E786" t="e">
        <f t="shared" si="14"/>
        <v>#REF!</v>
      </c>
    </row>
    <row r="787" spans="1:5">
      <c r="A787" t="s">
        <v>5343</v>
      </c>
      <c r="B787">
        <v>9</v>
      </c>
      <c r="C787">
        <v>403</v>
      </c>
      <c r="D787" t="e">
        <f>VLOOKUP(A787,#REF!,2,FALSE)</f>
        <v>#REF!</v>
      </c>
      <c r="E787" t="e">
        <f t="shared" si="14"/>
        <v>#REF!</v>
      </c>
    </row>
    <row r="788" spans="1:5">
      <c r="A788" t="s">
        <v>5340</v>
      </c>
      <c r="B788">
        <v>9</v>
      </c>
      <c r="C788">
        <v>335</v>
      </c>
      <c r="D788" t="e">
        <f>VLOOKUP(A788,#REF!,2,FALSE)</f>
        <v>#REF!</v>
      </c>
      <c r="E788" t="e">
        <f t="shared" si="14"/>
        <v>#REF!</v>
      </c>
    </row>
    <row r="789" spans="1:5">
      <c r="A789" t="s">
        <v>5345</v>
      </c>
      <c r="B789">
        <v>9</v>
      </c>
      <c r="C789">
        <v>327</v>
      </c>
      <c r="D789" t="e">
        <f>VLOOKUP(A789,#REF!,2,FALSE)</f>
        <v>#REF!</v>
      </c>
      <c r="E789" t="e">
        <f t="shared" si="14"/>
        <v>#REF!</v>
      </c>
    </row>
    <row r="790" spans="1:5">
      <c r="A790" t="s">
        <v>5353</v>
      </c>
      <c r="B790">
        <v>9</v>
      </c>
      <c r="C790">
        <v>312</v>
      </c>
      <c r="D790" t="e">
        <f>VLOOKUP(A790,#REF!,2,FALSE)</f>
        <v>#REF!</v>
      </c>
      <c r="E790" t="e">
        <f t="shared" si="14"/>
        <v>#REF!</v>
      </c>
    </row>
    <row r="791" spans="1:5">
      <c r="A791" t="s">
        <v>5351</v>
      </c>
      <c r="B791">
        <v>9</v>
      </c>
      <c r="C791">
        <v>243</v>
      </c>
      <c r="D791" t="e">
        <f>VLOOKUP(A791,#REF!,2,FALSE)</f>
        <v>#REF!</v>
      </c>
      <c r="E791" t="e">
        <f t="shared" si="14"/>
        <v>#REF!</v>
      </c>
    </row>
    <row r="792" spans="1:5">
      <c r="A792" t="s">
        <v>5355</v>
      </c>
      <c r="B792">
        <v>9</v>
      </c>
      <c r="C792">
        <v>236</v>
      </c>
      <c r="D792" t="e">
        <f>VLOOKUP(A792,#REF!,2,FALSE)</f>
        <v>#REF!</v>
      </c>
      <c r="E792" t="e">
        <f t="shared" si="14"/>
        <v>#REF!</v>
      </c>
    </row>
    <row r="793" spans="1:5">
      <c r="A793" t="s">
        <v>5350</v>
      </c>
      <c r="B793">
        <v>9</v>
      </c>
      <c r="C793">
        <v>211</v>
      </c>
      <c r="D793" t="e">
        <f>VLOOKUP(A793,#REF!,2,FALSE)</f>
        <v>#REF!</v>
      </c>
      <c r="E793" t="e">
        <f t="shared" si="14"/>
        <v>#REF!</v>
      </c>
    </row>
    <row r="794" spans="1:5">
      <c r="A794" t="s">
        <v>5347</v>
      </c>
      <c r="B794">
        <v>9</v>
      </c>
      <c r="C794">
        <v>198</v>
      </c>
      <c r="D794" t="e">
        <f>VLOOKUP(A794,#REF!,2,FALSE)</f>
        <v>#REF!</v>
      </c>
      <c r="E794" t="e">
        <f t="shared" si="14"/>
        <v>#REF!</v>
      </c>
    </row>
    <row r="795" spans="1:5">
      <c r="A795" t="s">
        <v>5338</v>
      </c>
      <c r="B795">
        <v>9</v>
      </c>
      <c r="C795">
        <v>142</v>
      </c>
      <c r="D795" t="e">
        <f>VLOOKUP(A795,#REF!,2,FALSE)</f>
        <v>#REF!</v>
      </c>
      <c r="E795" t="e">
        <f t="shared" si="14"/>
        <v>#REF!</v>
      </c>
    </row>
    <row r="796" spans="1:5">
      <c r="A796" t="s">
        <v>5352</v>
      </c>
      <c r="B796">
        <v>9</v>
      </c>
      <c r="C796">
        <v>141</v>
      </c>
      <c r="D796" t="e">
        <f>VLOOKUP(A796,#REF!,2,FALSE)</f>
        <v>#REF!</v>
      </c>
      <c r="E796" t="e">
        <f t="shared" si="14"/>
        <v>#REF!</v>
      </c>
    </row>
    <row r="797" spans="1:5">
      <c r="A797" t="s">
        <v>5356</v>
      </c>
      <c r="B797">
        <v>9</v>
      </c>
      <c r="C797">
        <v>131</v>
      </c>
      <c r="D797" t="e">
        <f>VLOOKUP(A797,#REF!,2,FALSE)</f>
        <v>#REF!</v>
      </c>
      <c r="E797" t="e">
        <f t="shared" si="14"/>
        <v>#REF!</v>
      </c>
    </row>
    <row r="798" spans="1:5">
      <c r="A798" t="s">
        <v>5344</v>
      </c>
      <c r="B798">
        <v>9</v>
      </c>
      <c r="C798">
        <v>124</v>
      </c>
      <c r="D798" t="e">
        <f>VLOOKUP(A798,#REF!,2,FALSE)</f>
        <v>#REF!</v>
      </c>
      <c r="E798" t="e">
        <f t="shared" si="14"/>
        <v>#REF!</v>
      </c>
    </row>
    <row r="799" spans="1:5">
      <c r="A799" t="s">
        <v>5360</v>
      </c>
      <c r="B799">
        <v>9</v>
      </c>
      <c r="C799">
        <v>121</v>
      </c>
      <c r="D799" t="e">
        <f>VLOOKUP(A799,#REF!,2,FALSE)</f>
        <v>#REF!</v>
      </c>
      <c r="E799" t="e">
        <f t="shared" si="14"/>
        <v>#REF!</v>
      </c>
    </row>
    <row r="800" spans="1:5">
      <c r="A800" t="s">
        <v>5359</v>
      </c>
      <c r="B800">
        <v>9</v>
      </c>
      <c r="C800">
        <v>111</v>
      </c>
      <c r="D800" t="e">
        <f>VLOOKUP(A800,#REF!,2,FALSE)</f>
        <v>#REF!</v>
      </c>
      <c r="E800" t="e">
        <f t="shared" si="14"/>
        <v>#REF!</v>
      </c>
    </row>
    <row r="801" spans="1:5">
      <c r="A801" t="s">
        <v>5348</v>
      </c>
      <c r="B801">
        <v>9</v>
      </c>
      <c r="C801">
        <v>103</v>
      </c>
      <c r="D801" t="e">
        <f>VLOOKUP(A801,#REF!,2,FALSE)</f>
        <v>#REF!</v>
      </c>
      <c r="E801" t="e">
        <f t="shared" si="14"/>
        <v>#REF!</v>
      </c>
    </row>
    <row r="802" spans="1:5">
      <c r="A802" t="s">
        <v>5377</v>
      </c>
      <c r="B802">
        <v>9</v>
      </c>
      <c r="C802">
        <v>101</v>
      </c>
      <c r="D802" t="e">
        <f>VLOOKUP(A802,#REF!,2,FALSE)</f>
        <v>#REF!</v>
      </c>
      <c r="E802" t="e">
        <f t="shared" si="14"/>
        <v>#REF!</v>
      </c>
    </row>
    <row r="803" spans="1:5">
      <c r="A803" t="s">
        <v>5367</v>
      </c>
      <c r="B803">
        <v>9</v>
      </c>
      <c r="C803">
        <v>101</v>
      </c>
      <c r="D803" t="e">
        <f>VLOOKUP(A803,#REF!,2,FALSE)</f>
        <v>#REF!</v>
      </c>
      <c r="E803" t="e">
        <f t="shared" si="14"/>
        <v>#REF!</v>
      </c>
    </row>
    <row r="804" spans="1:5">
      <c r="A804" t="s">
        <v>5357</v>
      </c>
      <c r="B804">
        <v>9</v>
      </c>
      <c r="C804">
        <v>86</v>
      </c>
      <c r="D804" t="e">
        <f>VLOOKUP(A804,#REF!,2,FALSE)</f>
        <v>#REF!</v>
      </c>
      <c r="E804" t="e">
        <f t="shared" si="14"/>
        <v>#REF!</v>
      </c>
    </row>
    <row r="805" spans="1:5">
      <c r="A805" t="s">
        <v>5373</v>
      </c>
      <c r="B805">
        <v>9</v>
      </c>
      <c r="C805">
        <v>84</v>
      </c>
      <c r="D805" t="e">
        <f>VLOOKUP(A805,#REF!,2,FALSE)</f>
        <v>#REF!</v>
      </c>
      <c r="E805" t="e">
        <f t="shared" si="14"/>
        <v>#REF!</v>
      </c>
    </row>
    <row r="806" spans="1:5">
      <c r="A806" t="s">
        <v>5365</v>
      </c>
      <c r="B806">
        <v>9</v>
      </c>
      <c r="C806">
        <v>76</v>
      </c>
      <c r="D806" t="e">
        <f>VLOOKUP(A806,#REF!,2,FALSE)</f>
        <v>#REF!</v>
      </c>
      <c r="E806" t="e">
        <f t="shared" si="14"/>
        <v>#REF!</v>
      </c>
    </row>
    <row r="807" spans="1:5">
      <c r="A807" t="s">
        <v>5298</v>
      </c>
      <c r="B807">
        <v>9</v>
      </c>
      <c r="C807">
        <v>74</v>
      </c>
      <c r="D807" t="e">
        <f>VLOOKUP(A807,#REF!,2,FALSE)</f>
        <v>#REF!</v>
      </c>
      <c r="E807" t="e">
        <f t="shared" si="14"/>
        <v>#REF!</v>
      </c>
    </row>
    <row r="808" spans="1:5">
      <c r="A808" t="s">
        <v>5354</v>
      </c>
      <c r="B808">
        <v>9</v>
      </c>
      <c r="C808">
        <v>70</v>
      </c>
      <c r="D808" t="e">
        <f>VLOOKUP(A808,#REF!,2,FALSE)</f>
        <v>#REF!</v>
      </c>
      <c r="E808" t="e">
        <f t="shared" si="14"/>
        <v>#REF!</v>
      </c>
    </row>
    <row r="809" spans="1:5">
      <c r="A809" t="s">
        <v>5361</v>
      </c>
      <c r="B809">
        <v>9</v>
      </c>
      <c r="C809">
        <v>66</v>
      </c>
      <c r="D809" t="e">
        <f>VLOOKUP(A809,#REF!,2,FALSE)</f>
        <v>#REF!</v>
      </c>
      <c r="E809" t="e">
        <f t="shared" si="14"/>
        <v>#REF!</v>
      </c>
    </row>
    <row r="810" spans="1:5">
      <c r="A810" t="s">
        <v>5378</v>
      </c>
      <c r="B810">
        <v>9</v>
      </c>
      <c r="C810">
        <v>63</v>
      </c>
      <c r="D810" t="e">
        <f>VLOOKUP(A810,#REF!,2,FALSE)</f>
        <v>#REF!</v>
      </c>
      <c r="E810" t="e">
        <f t="shared" si="14"/>
        <v>#REF!</v>
      </c>
    </row>
    <row r="811" spans="1:5">
      <c r="A811" t="s">
        <v>5366</v>
      </c>
      <c r="B811">
        <v>9</v>
      </c>
      <c r="C811">
        <v>61</v>
      </c>
      <c r="D811" t="e">
        <f>VLOOKUP(A811,#REF!,2,FALSE)</f>
        <v>#REF!</v>
      </c>
      <c r="E811" t="e">
        <f t="shared" si="14"/>
        <v>#REF!</v>
      </c>
    </row>
    <row r="812" spans="1:5">
      <c r="A812" t="s">
        <v>5362</v>
      </c>
      <c r="B812">
        <v>9</v>
      </c>
      <c r="C812">
        <v>54</v>
      </c>
      <c r="D812" t="e">
        <f>VLOOKUP(A812,#REF!,2,FALSE)</f>
        <v>#REF!</v>
      </c>
      <c r="E812" t="e">
        <f t="shared" si="14"/>
        <v>#REF!</v>
      </c>
    </row>
    <row r="813" spans="1:5">
      <c r="A813" t="s">
        <v>5369</v>
      </c>
      <c r="B813">
        <v>9</v>
      </c>
      <c r="C813">
        <v>50</v>
      </c>
      <c r="D813" t="e">
        <f>VLOOKUP(A813,#REF!,2,FALSE)</f>
        <v>#REF!</v>
      </c>
      <c r="E813" t="e">
        <f t="shared" si="14"/>
        <v>#REF!</v>
      </c>
    </row>
    <row r="814" spans="1:5">
      <c r="A814" t="s">
        <v>5372</v>
      </c>
      <c r="B814">
        <v>9</v>
      </c>
      <c r="C814">
        <v>40</v>
      </c>
      <c r="D814" t="e">
        <f>VLOOKUP(A814,#REF!,2,FALSE)</f>
        <v>#REF!</v>
      </c>
      <c r="E814" t="e">
        <f t="shared" si="14"/>
        <v>#REF!</v>
      </c>
    </row>
    <row r="815" spans="1:5">
      <c r="A815" t="s">
        <v>5363</v>
      </c>
      <c r="B815">
        <v>9</v>
      </c>
      <c r="C815">
        <v>38</v>
      </c>
      <c r="D815" t="e">
        <f>VLOOKUP(A815,#REF!,2,FALSE)</f>
        <v>#REF!</v>
      </c>
      <c r="E815" t="e">
        <f t="shared" si="14"/>
        <v>#REF!</v>
      </c>
    </row>
    <row r="816" spans="1:5">
      <c r="A816" t="s">
        <v>5358</v>
      </c>
      <c r="B816">
        <v>9</v>
      </c>
      <c r="C816">
        <v>31</v>
      </c>
      <c r="D816" t="e">
        <f>VLOOKUP(A816,#REF!,2,FALSE)</f>
        <v>#REF!</v>
      </c>
      <c r="E816" t="e">
        <f t="shared" si="14"/>
        <v>#REF!</v>
      </c>
    </row>
    <row r="817" spans="1:5">
      <c r="A817" t="s">
        <v>5398</v>
      </c>
      <c r="B817">
        <v>9</v>
      </c>
      <c r="C817">
        <v>30</v>
      </c>
      <c r="D817" t="e">
        <f>VLOOKUP(A817,#REF!,2,FALSE)</f>
        <v>#REF!</v>
      </c>
      <c r="E817" t="e">
        <f t="shared" si="14"/>
        <v>#REF!</v>
      </c>
    </row>
    <row r="818" spans="1:5">
      <c r="A818" t="s">
        <v>5364</v>
      </c>
      <c r="B818">
        <v>9</v>
      </c>
      <c r="C818">
        <v>25</v>
      </c>
      <c r="D818" t="e">
        <f>VLOOKUP(A818,#REF!,2,FALSE)</f>
        <v>#REF!</v>
      </c>
      <c r="E818" t="e">
        <f t="shared" si="14"/>
        <v>#REF!</v>
      </c>
    </row>
    <row r="819" spans="1:5">
      <c r="A819" t="s">
        <v>5368</v>
      </c>
      <c r="B819">
        <v>9</v>
      </c>
      <c r="C819">
        <v>25</v>
      </c>
      <c r="D819" t="e">
        <f>VLOOKUP(A819,#REF!,2,FALSE)</f>
        <v>#REF!</v>
      </c>
      <c r="E819" t="e">
        <f t="shared" si="14"/>
        <v>#REF!</v>
      </c>
    </row>
    <row r="820" spans="1:5">
      <c r="A820" t="s">
        <v>5380</v>
      </c>
      <c r="B820">
        <v>9</v>
      </c>
      <c r="C820">
        <v>24</v>
      </c>
      <c r="D820" t="e">
        <f>VLOOKUP(A820,#REF!,2,FALSE)</f>
        <v>#REF!</v>
      </c>
      <c r="E820" t="e">
        <f t="shared" si="14"/>
        <v>#REF!</v>
      </c>
    </row>
    <row r="821" spans="1:5">
      <c r="A821" t="s">
        <v>5396</v>
      </c>
      <c r="B821">
        <v>9</v>
      </c>
      <c r="C821">
        <v>23</v>
      </c>
      <c r="D821" t="e">
        <f>VLOOKUP(A821,#REF!,2,FALSE)</f>
        <v>#REF!</v>
      </c>
      <c r="E821" t="e">
        <f t="shared" si="14"/>
        <v>#REF!</v>
      </c>
    </row>
    <row r="822" spans="1:5">
      <c r="A822" t="s">
        <v>5417</v>
      </c>
      <c r="B822">
        <v>9</v>
      </c>
      <c r="C822">
        <v>23</v>
      </c>
      <c r="D822" t="e">
        <f>VLOOKUP(A822,#REF!,2,FALSE)</f>
        <v>#REF!</v>
      </c>
      <c r="E822" t="e">
        <f t="shared" si="14"/>
        <v>#REF!</v>
      </c>
    </row>
    <row r="823" spans="1:5">
      <c r="A823" t="s">
        <v>5379</v>
      </c>
      <c r="B823">
        <v>9</v>
      </c>
      <c r="C823">
        <v>21</v>
      </c>
      <c r="D823" t="e">
        <f>VLOOKUP(A823,#REF!,2,FALSE)</f>
        <v>#REF!</v>
      </c>
      <c r="E823" t="e">
        <f t="shared" si="14"/>
        <v>#REF!</v>
      </c>
    </row>
    <row r="824" spans="1:5">
      <c r="A824" t="s">
        <v>5395</v>
      </c>
      <c r="B824">
        <v>9</v>
      </c>
      <c r="C824">
        <v>19</v>
      </c>
      <c r="D824" t="e">
        <f>VLOOKUP(A824,#REF!,2,FALSE)</f>
        <v>#REF!</v>
      </c>
      <c r="E824" t="e">
        <f t="shared" si="14"/>
        <v>#REF!</v>
      </c>
    </row>
    <row r="825" spans="1:5">
      <c r="A825" t="s">
        <v>5419</v>
      </c>
      <c r="B825">
        <v>9</v>
      </c>
      <c r="C825">
        <v>19</v>
      </c>
      <c r="D825" t="e">
        <f>VLOOKUP(A825,#REF!,2,FALSE)</f>
        <v>#REF!</v>
      </c>
      <c r="E825" t="e">
        <f t="shared" si="14"/>
        <v>#REF!</v>
      </c>
    </row>
    <row r="826" spans="1:5">
      <c r="A826" t="s">
        <v>5375</v>
      </c>
      <c r="B826">
        <v>9</v>
      </c>
      <c r="C826">
        <v>18</v>
      </c>
      <c r="D826" t="e">
        <f>VLOOKUP(A826,#REF!,2,FALSE)</f>
        <v>#REF!</v>
      </c>
      <c r="E826" t="e">
        <f t="shared" si="14"/>
        <v>#REF!</v>
      </c>
    </row>
    <row r="827" spans="1:5">
      <c r="A827" t="s">
        <v>5404</v>
      </c>
      <c r="B827">
        <v>9</v>
      </c>
      <c r="C827">
        <v>16</v>
      </c>
      <c r="D827" t="e">
        <f>VLOOKUP(A827,#REF!,2,FALSE)</f>
        <v>#REF!</v>
      </c>
      <c r="E827" t="e">
        <f t="shared" si="14"/>
        <v>#REF!</v>
      </c>
    </row>
    <row r="828" spans="1:5">
      <c r="A828" t="s">
        <v>5385</v>
      </c>
      <c r="B828">
        <v>9</v>
      </c>
      <c r="C828">
        <v>15</v>
      </c>
      <c r="D828" t="e">
        <f>VLOOKUP(A828,#REF!,2,FALSE)</f>
        <v>#REF!</v>
      </c>
      <c r="E828" t="e">
        <f t="shared" si="14"/>
        <v>#REF!</v>
      </c>
    </row>
    <row r="829" spans="1:5">
      <c r="A829" t="s">
        <v>5371</v>
      </c>
      <c r="B829">
        <v>9</v>
      </c>
      <c r="C829">
        <v>14</v>
      </c>
      <c r="D829" t="e">
        <f>VLOOKUP(A829,#REF!,2,FALSE)</f>
        <v>#REF!</v>
      </c>
      <c r="E829" t="e">
        <f t="shared" si="14"/>
        <v>#REF!</v>
      </c>
    </row>
    <row r="830" spans="1:5">
      <c r="A830" t="s">
        <v>5374</v>
      </c>
      <c r="B830">
        <v>9</v>
      </c>
      <c r="C830">
        <v>13</v>
      </c>
      <c r="D830" t="e">
        <f>VLOOKUP(A830,#REF!,2,FALSE)</f>
        <v>#REF!</v>
      </c>
      <c r="E830" t="e">
        <f t="shared" si="14"/>
        <v>#REF!</v>
      </c>
    </row>
    <row r="831" spans="1:5">
      <c r="A831" t="s">
        <v>5392</v>
      </c>
      <c r="B831">
        <v>9</v>
      </c>
      <c r="C831">
        <v>11</v>
      </c>
      <c r="D831" t="e">
        <f>VLOOKUP(A831,#REF!,2,FALSE)</f>
        <v>#REF!</v>
      </c>
      <c r="E831" t="e">
        <f t="shared" si="14"/>
        <v>#REF!</v>
      </c>
    </row>
    <row r="832" spans="1:5">
      <c r="A832" t="s">
        <v>5387</v>
      </c>
      <c r="B832">
        <v>9</v>
      </c>
      <c r="C832">
        <v>11</v>
      </c>
      <c r="D832" t="e">
        <f>VLOOKUP(A832,#REF!,2,FALSE)</f>
        <v>#REF!</v>
      </c>
      <c r="E832" t="e">
        <f t="shared" si="14"/>
        <v>#REF!</v>
      </c>
    </row>
    <row r="833" spans="1:5">
      <c r="A833" t="s">
        <v>5383</v>
      </c>
      <c r="B833">
        <v>9</v>
      </c>
      <c r="C833">
        <v>10</v>
      </c>
      <c r="D833" t="e">
        <f>VLOOKUP(A833,#REF!,2,FALSE)</f>
        <v>#REF!</v>
      </c>
      <c r="E833" t="e">
        <f t="shared" si="14"/>
        <v>#REF!</v>
      </c>
    </row>
    <row r="834" spans="1:5">
      <c r="A834" t="s">
        <v>5382</v>
      </c>
      <c r="B834">
        <v>9</v>
      </c>
      <c r="C834">
        <v>10</v>
      </c>
      <c r="D834" t="e">
        <f>VLOOKUP(A834,#REF!,2,FALSE)</f>
        <v>#REF!</v>
      </c>
      <c r="E834" t="e">
        <f t="shared" si="14"/>
        <v>#REF!</v>
      </c>
    </row>
    <row r="835" spans="1:5">
      <c r="A835" t="s">
        <v>5393</v>
      </c>
      <c r="B835">
        <v>9</v>
      </c>
      <c r="C835">
        <v>10</v>
      </c>
      <c r="D835" t="e">
        <f>VLOOKUP(A835,#REF!,2,FALSE)</f>
        <v>#REF!</v>
      </c>
      <c r="E835" t="e">
        <f t="shared" ref="E835:E898" si="15">C835/D835</f>
        <v>#REF!</v>
      </c>
    </row>
    <row r="836" spans="1:5">
      <c r="A836" t="s">
        <v>5376</v>
      </c>
      <c r="B836">
        <v>9</v>
      </c>
      <c r="C836">
        <v>9</v>
      </c>
      <c r="D836" t="e">
        <f>VLOOKUP(A836,#REF!,2,FALSE)</f>
        <v>#REF!</v>
      </c>
      <c r="E836" t="e">
        <f t="shared" si="15"/>
        <v>#REF!</v>
      </c>
    </row>
    <row r="837" spans="1:5">
      <c r="A837" t="s">
        <v>5384</v>
      </c>
      <c r="B837">
        <v>9</v>
      </c>
      <c r="C837">
        <v>8</v>
      </c>
      <c r="D837" t="e">
        <f>VLOOKUP(A837,#REF!,2,FALSE)</f>
        <v>#REF!</v>
      </c>
      <c r="E837" t="e">
        <f t="shared" si="15"/>
        <v>#REF!</v>
      </c>
    </row>
    <row r="838" spans="1:5">
      <c r="A838" t="s">
        <v>5391</v>
      </c>
      <c r="B838">
        <v>9</v>
      </c>
      <c r="C838">
        <v>8</v>
      </c>
      <c r="D838" t="e">
        <f>VLOOKUP(A838,#REF!,2,FALSE)</f>
        <v>#REF!</v>
      </c>
      <c r="E838" t="e">
        <f t="shared" si="15"/>
        <v>#REF!</v>
      </c>
    </row>
    <row r="839" spans="1:5">
      <c r="A839" t="s">
        <v>5412</v>
      </c>
      <c r="B839">
        <v>9</v>
      </c>
      <c r="C839">
        <v>7</v>
      </c>
      <c r="D839" t="e">
        <f>VLOOKUP(A839,#REF!,2,FALSE)</f>
        <v>#REF!</v>
      </c>
      <c r="E839" t="e">
        <f t="shared" si="15"/>
        <v>#REF!</v>
      </c>
    </row>
    <row r="840" spans="1:5">
      <c r="A840" t="s">
        <v>5394</v>
      </c>
      <c r="B840">
        <v>9</v>
      </c>
      <c r="C840">
        <v>7</v>
      </c>
      <c r="D840" t="e">
        <f>VLOOKUP(A840,#REF!,2,FALSE)</f>
        <v>#REF!</v>
      </c>
      <c r="E840" t="e">
        <f t="shared" si="15"/>
        <v>#REF!</v>
      </c>
    </row>
    <row r="841" spans="1:5">
      <c r="A841" t="s">
        <v>5390</v>
      </c>
      <c r="B841">
        <v>9</v>
      </c>
      <c r="C841">
        <v>6</v>
      </c>
      <c r="D841" t="e">
        <f>VLOOKUP(A841,#REF!,2,FALSE)</f>
        <v>#REF!</v>
      </c>
      <c r="E841" t="e">
        <f t="shared" si="15"/>
        <v>#REF!</v>
      </c>
    </row>
    <row r="842" spans="1:5">
      <c r="A842" t="s">
        <v>5400</v>
      </c>
      <c r="B842">
        <v>9</v>
      </c>
      <c r="C842">
        <v>5</v>
      </c>
      <c r="D842" t="e">
        <f>VLOOKUP(A842,#REF!,2,FALSE)</f>
        <v>#REF!</v>
      </c>
      <c r="E842" t="e">
        <f t="shared" si="15"/>
        <v>#REF!</v>
      </c>
    </row>
    <row r="843" spans="1:5">
      <c r="A843" t="s">
        <v>5388</v>
      </c>
      <c r="B843">
        <v>9</v>
      </c>
      <c r="C843">
        <v>5</v>
      </c>
      <c r="D843" t="e">
        <f>VLOOKUP(A843,#REF!,2,FALSE)</f>
        <v>#REF!</v>
      </c>
      <c r="E843" t="e">
        <f t="shared" si="15"/>
        <v>#REF!</v>
      </c>
    </row>
    <row r="844" spans="1:5">
      <c r="A844" t="s">
        <v>5399</v>
      </c>
      <c r="B844">
        <v>9</v>
      </c>
      <c r="C844">
        <v>5</v>
      </c>
      <c r="D844" t="e">
        <f>VLOOKUP(A844,#REF!,2,FALSE)</f>
        <v>#REF!</v>
      </c>
      <c r="E844" t="e">
        <f t="shared" si="15"/>
        <v>#REF!</v>
      </c>
    </row>
    <row r="845" spans="1:5">
      <c r="A845" t="s">
        <v>5405</v>
      </c>
      <c r="B845">
        <v>9</v>
      </c>
      <c r="C845">
        <v>4</v>
      </c>
      <c r="D845" t="e">
        <f>VLOOKUP(A845,#REF!,2,FALSE)</f>
        <v>#REF!</v>
      </c>
      <c r="E845" t="e">
        <f t="shared" si="15"/>
        <v>#REF!</v>
      </c>
    </row>
    <row r="846" spans="1:5">
      <c r="A846" t="s">
        <v>5413</v>
      </c>
      <c r="B846">
        <v>9</v>
      </c>
      <c r="C846">
        <v>3</v>
      </c>
      <c r="D846" t="e">
        <f>VLOOKUP(A846,#REF!,2,FALSE)</f>
        <v>#REF!</v>
      </c>
      <c r="E846" t="e">
        <f t="shared" si="15"/>
        <v>#REF!</v>
      </c>
    </row>
    <row r="847" spans="1:5">
      <c r="A847" t="s">
        <v>5386</v>
      </c>
      <c r="B847">
        <v>9</v>
      </c>
      <c r="C847">
        <v>3</v>
      </c>
      <c r="D847" t="e">
        <f>VLOOKUP(A847,#REF!,2,FALSE)</f>
        <v>#REF!</v>
      </c>
      <c r="E847" t="e">
        <f t="shared" si="15"/>
        <v>#REF!</v>
      </c>
    </row>
    <row r="848" spans="1:5">
      <c r="A848" t="s">
        <v>5402</v>
      </c>
      <c r="B848">
        <v>9</v>
      </c>
      <c r="C848">
        <v>3</v>
      </c>
      <c r="D848" t="e">
        <f>VLOOKUP(A848,#REF!,2,FALSE)</f>
        <v>#REF!</v>
      </c>
      <c r="E848" t="e">
        <f t="shared" si="15"/>
        <v>#REF!</v>
      </c>
    </row>
    <row r="849" spans="1:5">
      <c r="A849" t="s">
        <v>5407</v>
      </c>
      <c r="B849">
        <v>9</v>
      </c>
      <c r="C849">
        <v>3</v>
      </c>
      <c r="D849" t="e">
        <f>VLOOKUP(A849,#REF!,2,FALSE)</f>
        <v>#REF!</v>
      </c>
      <c r="E849" t="e">
        <f t="shared" si="15"/>
        <v>#REF!</v>
      </c>
    </row>
    <row r="850" spans="1:5">
      <c r="A850" t="s">
        <v>5421</v>
      </c>
      <c r="B850">
        <v>9</v>
      </c>
      <c r="C850">
        <v>2</v>
      </c>
      <c r="D850" t="e">
        <f>VLOOKUP(A850,#REF!,2,FALSE)</f>
        <v>#REF!</v>
      </c>
      <c r="E850" t="e">
        <f t="shared" si="15"/>
        <v>#REF!</v>
      </c>
    </row>
    <row r="851" spans="1:5">
      <c r="A851" t="s">
        <v>5401</v>
      </c>
      <c r="B851">
        <v>9</v>
      </c>
      <c r="C851">
        <v>2</v>
      </c>
      <c r="D851" t="e">
        <f>VLOOKUP(A851,#REF!,2,FALSE)</f>
        <v>#REF!</v>
      </c>
      <c r="E851" t="e">
        <f t="shared" si="15"/>
        <v>#REF!</v>
      </c>
    </row>
    <row r="852" spans="1:5">
      <c r="A852" t="s">
        <v>5416</v>
      </c>
      <c r="B852">
        <v>9</v>
      </c>
      <c r="C852">
        <v>2</v>
      </c>
      <c r="D852" t="e">
        <f>VLOOKUP(A852,#REF!,2,FALSE)</f>
        <v>#REF!</v>
      </c>
      <c r="E852" t="e">
        <f t="shared" si="15"/>
        <v>#REF!</v>
      </c>
    </row>
    <row r="853" spans="1:5">
      <c r="A853" t="s">
        <v>5408</v>
      </c>
      <c r="B853">
        <v>9</v>
      </c>
      <c r="C853">
        <v>1</v>
      </c>
      <c r="D853" t="e">
        <f>VLOOKUP(A853,#REF!,2,FALSE)</f>
        <v>#REF!</v>
      </c>
      <c r="E853" t="e">
        <f t="shared" si="15"/>
        <v>#REF!</v>
      </c>
    </row>
    <row r="854" spans="1:5">
      <c r="A854" t="s">
        <v>5418</v>
      </c>
      <c r="B854">
        <v>9</v>
      </c>
      <c r="C854">
        <v>1</v>
      </c>
      <c r="D854" t="e">
        <f>VLOOKUP(A854,#REF!,2,FALSE)</f>
        <v>#REF!</v>
      </c>
      <c r="E854" t="e">
        <f t="shared" si="15"/>
        <v>#REF!</v>
      </c>
    </row>
    <row r="855" spans="1:5">
      <c r="A855" t="s">
        <v>5403</v>
      </c>
      <c r="B855">
        <v>9</v>
      </c>
      <c r="C855">
        <v>1</v>
      </c>
      <c r="D855" t="e">
        <f>VLOOKUP(A855,#REF!,2,FALSE)</f>
        <v>#REF!</v>
      </c>
      <c r="E855" t="e">
        <f t="shared" si="15"/>
        <v>#REF!</v>
      </c>
    </row>
    <row r="856" spans="1:5">
      <c r="A856" t="s">
        <v>5370</v>
      </c>
      <c r="B856">
        <v>9</v>
      </c>
      <c r="C856">
        <v>1</v>
      </c>
      <c r="D856" t="e">
        <f>VLOOKUP(A856,#REF!,2,FALSE)</f>
        <v>#REF!</v>
      </c>
      <c r="E856" t="e">
        <f t="shared" si="15"/>
        <v>#REF!</v>
      </c>
    </row>
    <row r="857" spans="1:5">
      <c r="A857" t="s">
        <v>5411</v>
      </c>
      <c r="B857">
        <v>9</v>
      </c>
      <c r="C857">
        <v>1</v>
      </c>
      <c r="D857" t="e">
        <f>VLOOKUP(A857,#REF!,2,FALSE)</f>
        <v>#REF!</v>
      </c>
      <c r="E857" t="e">
        <f t="shared" si="15"/>
        <v>#REF!</v>
      </c>
    </row>
    <row r="858" spans="1:5">
      <c r="A858" t="s">
        <v>5320</v>
      </c>
      <c r="B858">
        <v>10</v>
      </c>
      <c r="C858">
        <v>10148</v>
      </c>
      <c r="D858" t="e">
        <f>VLOOKUP(A858,#REF!,2,FALSE)</f>
        <v>#REF!</v>
      </c>
      <c r="E858" t="e">
        <f t="shared" si="15"/>
        <v>#REF!</v>
      </c>
    </row>
    <row r="859" spans="1:5">
      <c r="A859" t="s">
        <v>5321</v>
      </c>
      <c r="B859">
        <v>10</v>
      </c>
      <c r="C859">
        <v>8407</v>
      </c>
      <c r="D859" t="e">
        <f>VLOOKUP(A859,#REF!,2,FALSE)</f>
        <v>#REF!</v>
      </c>
      <c r="E859" t="e">
        <f t="shared" si="15"/>
        <v>#REF!</v>
      </c>
    </row>
    <row r="860" spans="1:5">
      <c r="A860" t="s">
        <v>1408</v>
      </c>
      <c r="B860">
        <v>10</v>
      </c>
      <c r="C860">
        <v>4616</v>
      </c>
      <c r="D860" t="e">
        <f>VLOOKUP(A860,#REF!,2,FALSE)</f>
        <v>#REF!</v>
      </c>
      <c r="E860" t="e">
        <f t="shared" si="15"/>
        <v>#REF!</v>
      </c>
    </row>
    <row r="861" spans="1:5">
      <c r="A861" t="s">
        <v>5317</v>
      </c>
      <c r="B861">
        <v>10</v>
      </c>
      <c r="C861">
        <v>3360</v>
      </c>
      <c r="D861" t="e">
        <f>VLOOKUP(A861,#REF!,2,FALSE)</f>
        <v>#REF!</v>
      </c>
      <c r="E861" t="e">
        <f t="shared" si="15"/>
        <v>#REF!</v>
      </c>
    </row>
    <row r="862" spans="1:5">
      <c r="A862" t="s">
        <v>5326</v>
      </c>
      <c r="B862">
        <v>10</v>
      </c>
      <c r="C862">
        <v>2585</v>
      </c>
      <c r="D862" t="e">
        <f>VLOOKUP(A862,#REF!,2,FALSE)</f>
        <v>#REF!</v>
      </c>
      <c r="E862" t="e">
        <f t="shared" si="15"/>
        <v>#REF!</v>
      </c>
    </row>
    <row r="863" spans="1:5">
      <c r="A863" t="s">
        <v>5328</v>
      </c>
      <c r="B863">
        <v>10</v>
      </c>
      <c r="C863">
        <v>2534</v>
      </c>
      <c r="D863" t="e">
        <f>VLOOKUP(A863,#REF!,2,FALSE)</f>
        <v>#REF!</v>
      </c>
      <c r="E863" t="e">
        <f t="shared" si="15"/>
        <v>#REF!</v>
      </c>
    </row>
    <row r="864" spans="1:5">
      <c r="A864" t="s">
        <v>5323</v>
      </c>
      <c r="B864">
        <v>10</v>
      </c>
      <c r="C864">
        <v>1962</v>
      </c>
      <c r="D864" t="e">
        <f>VLOOKUP(A864,#REF!,2,FALSE)</f>
        <v>#REF!</v>
      </c>
      <c r="E864" t="e">
        <f t="shared" si="15"/>
        <v>#REF!</v>
      </c>
    </row>
    <row r="865" spans="1:5">
      <c r="A865" t="s">
        <v>5322</v>
      </c>
      <c r="B865">
        <v>10</v>
      </c>
      <c r="C865">
        <v>1717</v>
      </c>
      <c r="D865" t="e">
        <f>VLOOKUP(A865,#REF!,2,FALSE)</f>
        <v>#REF!</v>
      </c>
      <c r="E865" t="e">
        <f t="shared" si="15"/>
        <v>#REF!</v>
      </c>
    </row>
    <row r="866" spans="1:5">
      <c r="A866" t="s">
        <v>5319</v>
      </c>
      <c r="B866">
        <v>10</v>
      </c>
      <c r="C866">
        <v>1659</v>
      </c>
      <c r="D866" t="e">
        <f>VLOOKUP(A866,#REF!,2,FALSE)</f>
        <v>#REF!</v>
      </c>
      <c r="E866" t="e">
        <f t="shared" si="15"/>
        <v>#REF!</v>
      </c>
    </row>
    <row r="867" spans="1:5">
      <c r="A867" t="s">
        <v>5333</v>
      </c>
      <c r="B867">
        <v>10</v>
      </c>
      <c r="C867">
        <v>1651</v>
      </c>
      <c r="D867" t="e">
        <f>VLOOKUP(A867,#REF!,2,FALSE)</f>
        <v>#REF!</v>
      </c>
      <c r="E867" t="e">
        <f t="shared" si="15"/>
        <v>#REF!</v>
      </c>
    </row>
    <row r="868" spans="1:5">
      <c r="A868" t="s">
        <v>5334</v>
      </c>
      <c r="B868">
        <v>10</v>
      </c>
      <c r="C868">
        <v>1605</v>
      </c>
      <c r="D868" t="e">
        <f>VLOOKUP(A868,#REF!,2,FALSE)</f>
        <v>#REF!</v>
      </c>
      <c r="E868" t="e">
        <f t="shared" si="15"/>
        <v>#REF!</v>
      </c>
    </row>
    <row r="869" spans="1:5">
      <c r="A869" t="s">
        <v>5335</v>
      </c>
      <c r="B869">
        <v>10</v>
      </c>
      <c r="C869">
        <v>1546</v>
      </c>
      <c r="D869" t="e">
        <f>VLOOKUP(A869,#REF!,2,FALSE)</f>
        <v>#REF!</v>
      </c>
      <c r="E869" t="e">
        <f t="shared" si="15"/>
        <v>#REF!</v>
      </c>
    </row>
    <row r="870" spans="1:5">
      <c r="A870" t="s">
        <v>5318</v>
      </c>
      <c r="B870">
        <v>10</v>
      </c>
      <c r="C870">
        <v>1319</v>
      </c>
      <c r="D870" t="e">
        <f>VLOOKUP(A870,#REF!,2,FALSE)</f>
        <v>#REF!</v>
      </c>
      <c r="E870" t="e">
        <f t="shared" si="15"/>
        <v>#REF!</v>
      </c>
    </row>
    <row r="871" spans="1:5">
      <c r="A871" t="s">
        <v>5325</v>
      </c>
      <c r="B871">
        <v>10</v>
      </c>
      <c r="C871">
        <v>1305</v>
      </c>
      <c r="D871" t="e">
        <f>VLOOKUP(A871,#REF!,2,FALSE)</f>
        <v>#REF!</v>
      </c>
      <c r="E871" t="e">
        <f t="shared" si="15"/>
        <v>#REF!</v>
      </c>
    </row>
    <row r="872" spans="1:5">
      <c r="A872" t="s">
        <v>5337</v>
      </c>
      <c r="B872">
        <v>10</v>
      </c>
      <c r="C872">
        <v>1081</v>
      </c>
      <c r="D872" t="e">
        <f>VLOOKUP(A872,#REF!,2,FALSE)</f>
        <v>#REF!</v>
      </c>
      <c r="E872" t="e">
        <f t="shared" si="15"/>
        <v>#REF!</v>
      </c>
    </row>
    <row r="873" spans="1:5">
      <c r="A873" t="s">
        <v>5336</v>
      </c>
      <c r="B873">
        <v>10</v>
      </c>
      <c r="C873">
        <v>905</v>
      </c>
      <c r="D873" t="e">
        <f>VLOOKUP(A873,#REF!,2,FALSE)</f>
        <v>#REF!</v>
      </c>
      <c r="E873" t="e">
        <f t="shared" si="15"/>
        <v>#REF!</v>
      </c>
    </row>
    <row r="874" spans="1:5">
      <c r="A874" t="s">
        <v>5316</v>
      </c>
      <c r="B874">
        <v>10</v>
      </c>
      <c r="C874">
        <v>855</v>
      </c>
      <c r="D874" t="e">
        <f>VLOOKUP(A874,#REF!,2,FALSE)</f>
        <v>#REF!</v>
      </c>
      <c r="E874" t="e">
        <f t="shared" si="15"/>
        <v>#REF!</v>
      </c>
    </row>
    <row r="875" spans="1:5">
      <c r="A875" t="s">
        <v>5341</v>
      </c>
      <c r="B875">
        <v>10</v>
      </c>
      <c r="C875">
        <v>718</v>
      </c>
      <c r="D875" t="e">
        <f>VLOOKUP(A875,#REF!,2,FALSE)</f>
        <v>#REF!</v>
      </c>
      <c r="E875" t="e">
        <f t="shared" si="15"/>
        <v>#REF!</v>
      </c>
    </row>
    <row r="876" spans="1:5">
      <c r="A876" t="s">
        <v>5343</v>
      </c>
      <c r="B876">
        <v>10</v>
      </c>
      <c r="C876">
        <v>588</v>
      </c>
      <c r="D876" t="e">
        <f>VLOOKUP(A876,#REF!,2,FALSE)</f>
        <v>#REF!</v>
      </c>
      <c r="E876" t="e">
        <f t="shared" si="15"/>
        <v>#REF!</v>
      </c>
    </row>
    <row r="877" spans="1:5">
      <c r="A877" t="s">
        <v>5349</v>
      </c>
      <c r="B877">
        <v>10</v>
      </c>
      <c r="C877">
        <v>505</v>
      </c>
      <c r="D877" t="e">
        <f>VLOOKUP(A877,#REF!,2,FALSE)</f>
        <v>#REF!</v>
      </c>
      <c r="E877" t="e">
        <f t="shared" si="15"/>
        <v>#REF!</v>
      </c>
    </row>
    <row r="878" spans="1:5">
      <c r="A878" t="s">
        <v>5339</v>
      </c>
      <c r="B878">
        <v>10</v>
      </c>
      <c r="C878">
        <v>493</v>
      </c>
      <c r="D878" t="e">
        <f>VLOOKUP(A878,#REF!,2,FALSE)</f>
        <v>#REF!</v>
      </c>
      <c r="E878" t="e">
        <f t="shared" si="15"/>
        <v>#REF!</v>
      </c>
    </row>
    <row r="879" spans="1:5">
      <c r="A879" t="s">
        <v>5340</v>
      </c>
      <c r="B879">
        <v>10</v>
      </c>
      <c r="C879">
        <v>476</v>
      </c>
      <c r="D879" t="e">
        <f>VLOOKUP(A879,#REF!,2,FALSE)</f>
        <v>#REF!</v>
      </c>
      <c r="E879" t="e">
        <f t="shared" si="15"/>
        <v>#REF!</v>
      </c>
    </row>
    <row r="880" spans="1:5">
      <c r="A880" t="s">
        <v>5324</v>
      </c>
      <c r="B880">
        <v>10</v>
      </c>
      <c r="C880">
        <v>409</v>
      </c>
      <c r="D880" t="e">
        <f>VLOOKUP(A880,#REF!,2,FALSE)</f>
        <v>#REF!</v>
      </c>
      <c r="E880" t="e">
        <f t="shared" si="15"/>
        <v>#REF!</v>
      </c>
    </row>
    <row r="881" spans="1:5">
      <c r="A881" t="s">
        <v>5346</v>
      </c>
      <c r="B881">
        <v>10</v>
      </c>
      <c r="C881">
        <v>404</v>
      </c>
      <c r="D881" t="e">
        <f>VLOOKUP(A881,#REF!,2,FALSE)</f>
        <v>#REF!</v>
      </c>
      <c r="E881" t="e">
        <f t="shared" si="15"/>
        <v>#REF!</v>
      </c>
    </row>
    <row r="882" spans="1:5">
      <c r="A882" t="s">
        <v>5342</v>
      </c>
      <c r="B882">
        <v>10</v>
      </c>
      <c r="C882">
        <v>336</v>
      </c>
      <c r="D882" t="e">
        <f>VLOOKUP(A882,#REF!,2,FALSE)</f>
        <v>#REF!</v>
      </c>
      <c r="E882" t="e">
        <f t="shared" si="15"/>
        <v>#REF!</v>
      </c>
    </row>
    <row r="883" spans="1:5">
      <c r="A883" t="s">
        <v>5351</v>
      </c>
      <c r="B883">
        <v>10</v>
      </c>
      <c r="C883">
        <v>334</v>
      </c>
      <c r="D883" t="e">
        <f>VLOOKUP(A883,#REF!,2,FALSE)</f>
        <v>#REF!</v>
      </c>
      <c r="E883" t="e">
        <f t="shared" si="15"/>
        <v>#REF!</v>
      </c>
    </row>
    <row r="884" spans="1:5">
      <c r="A884" t="s">
        <v>5345</v>
      </c>
      <c r="B884">
        <v>10</v>
      </c>
      <c r="C884">
        <v>330</v>
      </c>
      <c r="D884" t="e">
        <f>VLOOKUP(A884,#REF!,2,FALSE)</f>
        <v>#REF!</v>
      </c>
      <c r="E884" t="e">
        <f t="shared" si="15"/>
        <v>#REF!</v>
      </c>
    </row>
    <row r="885" spans="1:5">
      <c r="A885" t="s">
        <v>5329</v>
      </c>
      <c r="B885">
        <v>10</v>
      </c>
      <c r="C885">
        <v>327</v>
      </c>
      <c r="D885" t="e">
        <f>VLOOKUP(A885,#REF!,2,FALSE)</f>
        <v>#REF!</v>
      </c>
      <c r="E885" t="e">
        <f t="shared" si="15"/>
        <v>#REF!</v>
      </c>
    </row>
    <row r="886" spans="1:5">
      <c r="A886" t="s">
        <v>5353</v>
      </c>
      <c r="B886">
        <v>10</v>
      </c>
      <c r="C886">
        <v>319</v>
      </c>
      <c r="D886" t="e">
        <f>VLOOKUP(A886,#REF!,2,FALSE)</f>
        <v>#REF!</v>
      </c>
      <c r="E886" t="e">
        <f t="shared" si="15"/>
        <v>#REF!</v>
      </c>
    </row>
    <row r="887" spans="1:5">
      <c r="A887" t="s">
        <v>5327</v>
      </c>
      <c r="B887">
        <v>10</v>
      </c>
      <c r="C887">
        <v>309</v>
      </c>
      <c r="D887" t="e">
        <f>VLOOKUP(A887,#REF!,2,FALSE)</f>
        <v>#REF!</v>
      </c>
      <c r="E887" t="e">
        <f t="shared" si="15"/>
        <v>#REF!</v>
      </c>
    </row>
    <row r="888" spans="1:5">
      <c r="A888" t="s">
        <v>5344</v>
      </c>
      <c r="B888">
        <v>10</v>
      </c>
      <c r="C888">
        <v>253</v>
      </c>
      <c r="D888" t="e">
        <f>VLOOKUP(A888,#REF!,2,FALSE)</f>
        <v>#REF!</v>
      </c>
      <c r="E888" t="e">
        <f t="shared" si="15"/>
        <v>#REF!</v>
      </c>
    </row>
    <row r="889" spans="1:5">
      <c r="A889" t="s">
        <v>5350</v>
      </c>
      <c r="B889">
        <v>10</v>
      </c>
      <c r="C889">
        <v>231</v>
      </c>
      <c r="D889" t="e">
        <f>VLOOKUP(A889,#REF!,2,FALSE)</f>
        <v>#REF!</v>
      </c>
      <c r="E889" t="e">
        <f t="shared" si="15"/>
        <v>#REF!</v>
      </c>
    </row>
    <row r="890" spans="1:5">
      <c r="A890" t="s">
        <v>5352</v>
      </c>
      <c r="B890">
        <v>10</v>
      </c>
      <c r="C890">
        <v>196</v>
      </c>
      <c r="D890" t="e">
        <f>VLOOKUP(A890,#REF!,2,FALSE)</f>
        <v>#REF!</v>
      </c>
      <c r="E890" t="e">
        <f t="shared" si="15"/>
        <v>#REF!</v>
      </c>
    </row>
    <row r="891" spans="1:5">
      <c r="A891" t="s">
        <v>5355</v>
      </c>
      <c r="B891">
        <v>10</v>
      </c>
      <c r="C891">
        <v>182</v>
      </c>
      <c r="D891" t="e">
        <f>VLOOKUP(A891,#REF!,2,FALSE)</f>
        <v>#REF!</v>
      </c>
      <c r="E891" t="e">
        <f t="shared" si="15"/>
        <v>#REF!</v>
      </c>
    </row>
    <row r="892" spans="1:5">
      <c r="A892" t="s">
        <v>5347</v>
      </c>
      <c r="B892">
        <v>10</v>
      </c>
      <c r="C892">
        <v>161</v>
      </c>
      <c r="D892" t="e">
        <f>VLOOKUP(A892,#REF!,2,FALSE)</f>
        <v>#REF!</v>
      </c>
      <c r="E892" t="e">
        <f t="shared" si="15"/>
        <v>#REF!</v>
      </c>
    </row>
    <row r="893" spans="1:5">
      <c r="A893" t="s">
        <v>5356</v>
      </c>
      <c r="B893">
        <v>10</v>
      </c>
      <c r="C893">
        <v>146</v>
      </c>
      <c r="D893" t="e">
        <f>VLOOKUP(A893,#REF!,2,FALSE)</f>
        <v>#REF!</v>
      </c>
      <c r="E893" t="e">
        <f t="shared" si="15"/>
        <v>#REF!</v>
      </c>
    </row>
    <row r="894" spans="1:5">
      <c r="A894" t="s">
        <v>5358</v>
      </c>
      <c r="B894">
        <v>10</v>
      </c>
      <c r="C894">
        <v>123</v>
      </c>
      <c r="D894" t="e">
        <f>VLOOKUP(A894,#REF!,2,FALSE)</f>
        <v>#REF!</v>
      </c>
      <c r="E894" t="e">
        <f t="shared" si="15"/>
        <v>#REF!</v>
      </c>
    </row>
    <row r="895" spans="1:5">
      <c r="A895" t="s">
        <v>5373</v>
      </c>
      <c r="B895">
        <v>10</v>
      </c>
      <c r="C895">
        <v>112</v>
      </c>
      <c r="D895" t="e">
        <f>VLOOKUP(A895,#REF!,2,FALSE)</f>
        <v>#REF!</v>
      </c>
      <c r="E895" t="e">
        <f t="shared" si="15"/>
        <v>#REF!</v>
      </c>
    </row>
    <row r="896" spans="1:5">
      <c r="A896" t="s">
        <v>5359</v>
      </c>
      <c r="B896">
        <v>10</v>
      </c>
      <c r="C896">
        <v>108</v>
      </c>
      <c r="D896" t="e">
        <f>VLOOKUP(A896,#REF!,2,FALSE)</f>
        <v>#REF!</v>
      </c>
      <c r="E896" t="e">
        <f t="shared" si="15"/>
        <v>#REF!</v>
      </c>
    </row>
    <row r="897" spans="1:5">
      <c r="A897" t="s">
        <v>5348</v>
      </c>
      <c r="B897">
        <v>10</v>
      </c>
      <c r="C897">
        <v>101</v>
      </c>
      <c r="D897" t="e">
        <f>VLOOKUP(A897,#REF!,2,FALSE)</f>
        <v>#REF!</v>
      </c>
      <c r="E897" t="e">
        <f t="shared" si="15"/>
        <v>#REF!</v>
      </c>
    </row>
    <row r="898" spans="1:5">
      <c r="A898" t="s">
        <v>5365</v>
      </c>
      <c r="B898">
        <v>10</v>
      </c>
      <c r="C898">
        <v>98</v>
      </c>
      <c r="D898" t="e">
        <f>VLOOKUP(A898,#REF!,2,FALSE)</f>
        <v>#REF!</v>
      </c>
      <c r="E898" t="e">
        <f t="shared" si="15"/>
        <v>#REF!</v>
      </c>
    </row>
    <row r="899" spans="1:5">
      <c r="A899" t="s">
        <v>5338</v>
      </c>
      <c r="B899">
        <v>10</v>
      </c>
      <c r="C899">
        <v>95</v>
      </c>
      <c r="D899" t="e">
        <f>VLOOKUP(A899,#REF!,2,FALSE)</f>
        <v>#REF!</v>
      </c>
      <c r="E899" t="e">
        <f t="shared" ref="E899:E962" si="16">C899/D899</f>
        <v>#REF!</v>
      </c>
    </row>
    <row r="900" spans="1:5">
      <c r="A900" t="s">
        <v>5354</v>
      </c>
      <c r="B900">
        <v>10</v>
      </c>
      <c r="C900">
        <v>76</v>
      </c>
      <c r="D900" t="e">
        <f>VLOOKUP(A900,#REF!,2,FALSE)</f>
        <v>#REF!</v>
      </c>
      <c r="E900" t="e">
        <f t="shared" si="16"/>
        <v>#REF!</v>
      </c>
    </row>
    <row r="901" spans="1:5">
      <c r="A901" t="s">
        <v>5377</v>
      </c>
      <c r="B901">
        <v>10</v>
      </c>
      <c r="C901">
        <v>75</v>
      </c>
      <c r="D901" t="e">
        <f>VLOOKUP(A901,#REF!,2,FALSE)</f>
        <v>#REF!</v>
      </c>
      <c r="E901" t="e">
        <f t="shared" si="16"/>
        <v>#REF!</v>
      </c>
    </row>
    <row r="902" spans="1:5">
      <c r="A902" t="s">
        <v>5367</v>
      </c>
      <c r="B902">
        <v>10</v>
      </c>
      <c r="C902">
        <v>70</v>
      </c>
      <c r="D902" t="e">
        <f>VLOOKUP(A902,#REF!,2,FALSE)</f>
        <v>#REF!</v>
      </c>
      <c r="E902" t="e">
        <f t="shared" si="16"/>
        <v>#REF!</v>
      </c>
    </row>
    <row r="903" spans="1:5">
      <c r="A903" t="s">
        <v>5363</v>
      </c>
      <c r="B903">
        <v>10</v>
      </c>
      <c r="C903">
        <v>69</v>
      </c>
      <c r="D903" t="e">
        <f>VLOOKUP(A903,#REF!,2,FALSE)</f>
        <v>#REF!</v>
      </c>
      <c r="E903" t="e">
        <f t="shared" si="16"/>
        <v>#REF!</v>
      </c>
    </row>
    <row r="904" spans="1:5">
      <c r="A904" t="s">
        <v>5364</v>
      </c>
      <c r="B904">
        <v>10</v>
      </c>
      <c r="C904">
        <v>66</v>
      </c>
      <c r="D904" t="e">
        <f>VLOOKUP(A904,#REF!,2,FALSE)</f>
        <v>#REF!</v>
      </c>
      <c r="E904" t="e">
        <f t="shared" si="16"/>
        <v>#REF!</v>
      </c>
    </row>
    <row r="905" spans="1:5">
      <c r="A905" t="s">
        <v>5369</v>
      </c>
      <c r="B905">
        <v>10</v>
      </c>
      <c r="C905">
        <v>62</v>
      </c>
      <c r="D905" t="e">
        <f>VLOOKUP(A905,#REF!,2,FALSE)</f>
        <v>#REF!</v>
      </c>
      <c r="E905" t="e">
        <f t="shared" si="16"/>
        <v>#REF!</v>
      </c>
    </row>
    <row r="906" spans="1:5">
      <c r="A906" t="s">
        <v>5362</v>
      </c>
      <c r="B906">
        <v>10</v>
      </c>
      <c r="C906">
        <v>61</v>
      </c>
      <c r="D906" t="e">
        <f>VLOOKUP(A906,#REF!,2,FALSE)</f>
        <v>#REF!</v>
      </c>
      <c r="E906" t="e">
        <f t="shared" si="16"/>
        <v>#REF!</v>
      </c>
    </row>
    <row r="907" spans="1:5">
      <c r="A907" t="s">
        <v>5360</v>
      </c>
      <c r="B907">
        <v>10</v>
      </c>
      <c r="C907">
        <v>60</v>
      </c>
      <c r="D907" t="e">
        <f>VLOOKUP(A907,#REF!,2,FALSE)</f>
        <v>#REF!</v>
      </c>
      <c r="E907" t="e">
        <f t="shared" si="16"/>
        <v>#REF!</v>
      </c>
    </row>
    <row r="908" spans="1:5">
      <c r="A908" t="s">
        <v>5298</v>
      </c>
      <c r="B908">
        <v>10</v>
      </c>
      <c r="C908">
        <v>60</v>
      </c>
      <c r="D908" t="e">
        <f>VLOOKUP(A908,#REF!,2,FALSE)</f>
        <v>#REF!</v>
      </c>
      <c r="E908" t="e">
        <f t="shared" si="16"/>
        <v>#REF!</v>
      </c>
    </row>
    <row r="909" spans="1:5">
      <c r="A909" t="s">
        <v>5378</v>
      </c>
      <c r="B909">
        <v>10</v>
      </c>
      <c r="C909">
        <v>58</v>
      </c>
      <c r="D909" t="e">
        <f>VLOOKUP(A909,#REF!,2,FALSE)</f>
        <v>#REF!</v>
      </c>
      <c r="E909" t="e">
        <f t="shared" si="16"/>
        <v>#REF!</v>
      </c>
    </row>
    <row r="910" spans="1:5">
      <c r="A910" t="s">
        <v>5366</v>
      </c>
      <c r="B910">
        <v>10</v>
      </c>
      <c r="C910">
        <v>48</v>
      </c>
      <c r="D910" t="e">
        <f>VLOOKUP(A910,#REF!,2,FALSE)</f>
        <v>#REF!</v>
      </c>
      <c r="E910" t="e">
        <f t="shared" si="16"/>
        <v>#REF!</v>
      </c>
    </row>
    <row r="911" spans="1:5">
      <c r="A911" t="s">
        <v>5357</v>
      </c>
      <c r="B911">
        <v>10</v>
      </c>
      <c r="C911">
        <v>45</v>
      </c>
      <c r="D911" t="e">
        <f>VLOOKUP(A911,#REF!,2,FALSE)</f>
        <v>#REF!</v>
      </c>
      <c r="E911" t="e">
        <f t="shared" si="16"/>
        <v>#REF!</v>
      </c>
    </row>
    <row r="912" spans="1:5">
      <c r="A912" t="s">
        <v>5419</v>
      </c>
      <c r="B912">
        <v>10</v>
      </c>
      <c r="C912">
        <v>44</v>
      </c>
      <c r="D912" t="e">
        <f>VLOOKUP(A912,#REF!,2,FALSE)</f>
        <v>#REF!</v>
      </c>
      <c r="E912" t="e">
        <f t="shared" si="16"/>
        <v>#REF!</v>
      </c>
    </row>
    <row r="913" spans="1:5">
      <c r="A913" t="s">
        <v>5372</v>
      </c>
      <c r="B913">
        <v>10</v>
      </c>
      <c r="C913">
        <v>31</v>
      </c>
      <c r="D913" t="e">
        <f>VLOOKUP(A913,#REF!,2,FALSE)</f>
        <v>#REF!</v>
      </c>
      <c r="E913" t="e">
        <f t="shared" si="16"/>
        <v>#REF!</v>
      </c>
    </row>
    <row r="914" spans="1:5">
      <c r="A914" t="s">
        <v>5398</v>
      </c>
      <c r="B914">
        <v>10</v>
      </c>
      <c r="C914">
        <v>31</v>
      </c>
      <c r="D914" t="e">
        <f>VLOOKUP(A914,#REF!,2,FALSE)</f>
        <v>#REF!</v>
      </c>
      <c r="E914" t="e">
        <f t="shared" si="16"/>
        <v>#REF!</v>
      </c>
    </row>
    <row r="915" spans="1:5">
      <c r="A915" t="s">
        <v>5382</v>
      </c>
      <c r="B915">
        <v>10</v>
      </c>
      <c r="C915">
        <v>31</v>
      </c>
      <c r="D915" t="e">
        <f>VLOOKUP(A915,#REF!,2,FALSE)</f>
        <v>#REF!</v>
      </c>
      <c r="E915" t="e">
        <f t="shared" si="16"/>
        <v>#REF!</v>
      </c>
    </row>
    <row r="916" spans="1:5">
      <c r="A916" t="s">
        <v>5361</v>
      </c>
      <c r="B916">
        <v>10</v>
      </c>
      <c r="C916">
        <v>31</v>
      </c>
      <c r="D916" t="e">
        <f>VLOOKUP(A916,#REF!,2,FALSE)</f>
        <v>#REF!</v>
      </c>
      <c r="E916" t="e">
        <f t="shared" si="16"/>
        <v>#REF!</v>
      </c>
    </row>
    <row r="917" spans="1:5">
      <c r="A917" t="s">
        <v>5368</v>
      </c>
      <c r="B917">
        <v>10</v>
      </c>
      <c r="C917">
        <v>26</v>
      </c>
      <c r="D917" t="e">
        <f>VLOOKUP(A917,#REF!,2,FALSE)</f>
        <v>#REF!</v>
      </c>
      <c r="E917" t="e">
        <f t="shared" si="16"/>
        <v>#REF!</v>
      </c>
    </row>
    <row r="918" spans="1:5">
      <c r="A918" t="s">
        <v>5380</v>
      </c>
      <c r="B918">
        <v>10</v>
      </c>
      <c r="C918">
        <v>25</v>
      </c>
      <c r="D918" t="e">
        <f>VLOOKUP(A918,#REF!,2,FALSE)</f>
        <v>#REF!</v>
      </c>
      <c r="E918" t="e">
        <f t="shared" si="16"/>
        <v>#REF!</v>
      </c>
    </row>
    <row r="919" spans="1:5">
      <c r="A919" t="s">
        <v>5379</v>
      </c>
      <c r="B919">
        <v>10</v>
      </c>
      <c r="C919">
        <v>23</v>
      </c>
      <c r="D919" t="e">
        <f>VLOOKUP(A919,#REF!,2,FALSE)</f>
        <v>#REF!</v>
      </c>
      <c r="E919" t="e">
        <f t="shared" si="16"/>
        <v>#REF!</v>
      </c>
    </row>
    <row r="920" spans="1:5">
      <c r="A920" t="s">
        <v>5374</v>
      </c>
      <c r="B920">
        <v>10</v>
      </c>
      <c r="C920">
        <v>21</v>
      </c>
      <c r="D920" t="e">
        <f>VLOOKUP(A920,#REF!,2,FALSE)</f>
        <v>#REF!</v>
      </c>
      <c r="E920" t="e">
        <f t="shared" si="16"/>
        <v>#REF!</v>
      </c>
    </row>
    <row r="921" spans="1:5">
      <c r="A921" t="s">
        <v>5386</v>
      </c>
      <c r="B921">
        <v>10</v>
      </c>
      <c r="C921">
        <v>17</v>
      </c>
      <c r="D921" t="e">
        <f>VLOOKUP(A921,#REF!,2,FALSE)</f>
        <v>#REF!</v>
      </c>
      <c r="E921" t="e">
        <f t="shared" si="16"/>
        <v>#REF!</v>
      </c>
    </row>
    <row r="922" spans="1:5">
      <c r="A922" t="s">
        <v>5383</v>
      </c>
      <c r="B922">
        <v>10</v>
      </c>
      <c r="C922">
        <v>17</v>
      </c>
      <c r="D922" t="e">
        <f>VLOOKUP(A922,#REF!,2,FALSE)</f>
        <v>#REF!</v>
      </c>
      <c r="E922" t="e">
        <f t="shared" si="16"/>
        <v>#REF!</v>
      </c>
    </row>
    <row r="923" spans="1:5">
      <c r="A923" t="s">
        <v>5391</v>
      </c>
      <c r="B923">
        <v>10</v>
      </c>
      <c r="C923">
        <v>16</v>
      </c>
      <c r="D923" t="e">
        <f>VLOOKUP(A923,#REF!,2,FALSE)</f>
        <v>#REF!</v>
      </c>
      <c r="E923" t="e">
        <f t="shared" si="16"/>
        <v>#REF!</v>
      </c>
    </row>
    <row r="924" spans="1:5">
      <c r="A924" t="s">
        <v>5375</v>
      </c>
      <c r="B924">
        <v>10</v>
      </c>
      <c r="C924">
        <v>15</v>
      </c>
      <c r="D924" t="e">
        <f>VLOOKUP(A924,#REF!,2,FALSE)</f>
        <v>#REF!</v>
      </c>
      <c r="E924" t="e">
        <f t="shared" si="16"/>
        <v>#REF!</v>
      </c>
    </row>
    <row r="925" spans="1:5">
      <c r="A925" t="s">
        <v>5395</v>
      </c>
      <c r="B925">
        <v>10</v>
      </c>
      <c r="C925">
        <v>12</v>
      </c>
      <c r="D925" t="e">
        <f>VLOOKUP(A925,#REF!,2,FALSE)</f>
        <v>#REF!</v>
      </c>
      <c r="E925" t="e">
        <f t="shared" si="16"/>
        <v>#REF!</v>
      </c>
    </row>
    <row r="926" spans="1:5">
      <c r="A926" t="s">
        <v>5404</v>
      </c>
      <c r="B926">
        <v>10</v>
      </c>
      <c r="C926">
        <v>12</v>
      </c>
      <c r="D926" t="e">
        <f>VLOOKUP(A926,#REF!,2,FALSE)</f>
        <v>#REF!</v>
      </c>
      <c r="E926" t="e">
        <f t="shared" si="16"/>
        <v>#REF!</v>
      </c>
    </row>
    <row r="927" spans="1:5">
      <c r="A927" t="s">
        <v>5396</v>
      </c>
      <c r="B927">
        <v>10</v>
      </c>
      <c r="C927">
        <v>11</v>
      </c>
      <c r="D927" t="e">
        <f>VLOOKUP(A927,#REF!,2,FALSE)</f>
        <v>#REF!</v>
      </c>
      <c r="E927" t="e">
        <f t="shared" si="16"/>
        <v>#REF!</v>
      </c>
    </row>
    <row r="928" spans="1:5">
      <c r="A928" t="s">
        <v>5376</v>
      </c>
      <c r="B928">
        <v>10</v>
      </c>
      <c r="C928">
        <v>11</v>
      </c>
      <c r="D928" t="e">
        <f>VLOOKUP(A928,#REF!,2,FALSE)</f>
        <v>#REF!</v>
      </c>
      <c r="E928" t="e">
        <f t="shared" si="16"/>
        <v>#REF!</v>
      </c>
    </row>
    <row r="929" spans="1:5">
      <c r="A929" t="s">
        <v>5387</v>
      </c>
      <c r="B929">
        <v>10</v>
      </c>
      <c r="C929">
        <v>10</v>
      </c>
      <c r="D929" t="e">
        <f>VLOOKUP(A929,#REF!,2,FALSE)</f>
        <v>#REF!</v>
      </c>
      <c r="E929" t="e">
        <f t="shared" si="16"/>
        <v>#REF!</v>
      </c>
    </row>
    <row r="930" spans="1:5">
      <c r="A930" t="s">
        <v>5371</v>
      </c>
      <c r="B930">
        <v>10</v>
      </c>
      <c r="C930">
        <v>9</v>
      </c>
      <c r="D930" t="e">
        <f>VLOOKUP(A930,#REF!,2,FALSE)</f>
        <v>#REF!</v>
      </c>
      <c r="E930" t="e">
        <f t="shared" si="16"/>
        <v>#REF!</v>
      </c>
    </row>
    <row r="931" spans="1:5">
      <c r="A931" t="s">
        <v>5405</v>
      </c>
      <c r="B931">
        <v>10</v>
      </c>
      <c r="C931">
        <v>8</v>
      </c>
      <c r="D931" t="e">
        <f>VLOOKUP(A931,#REF!,2,FALSE)</f>
        <v>#REF!</v>
      </c>
      <c r="E931" t="e">
        <f t="shared" si="16"/>
        <v>#REF!</v>
      </c>
    </row>
    <row r="932" spans="1:5">
      <c r="A932" t="s">
        <v>5417</v>
      </c>
      <c r="B932">
        <v>10</v>
      </c>
      <c r="C932">
        <v>8</v>
      </c>
      <c r="D932" t="e">
        <f>VLOOKUP(A932,#REF!,2,FALSE)</f>
        <v>#REF!</v>
      </c>
      <c r="E932" t="e">
        <f t="shared" si="16"/>
        <v>#REF!</v>
      </c>
    </row>
    <row r="933" spans="1:5">
      <c r="A933" t="s">
        <v>5393</v>
      </c>
      <c r="B933">
        <v>10</v>
      </c>
      <c r="C933">
        <v>7</v>
      </c>
      <c r="D933" t="e">
        <f>VLOOKUP(A933,#REF!,2,FALSE)</f>
        <v>#REF!</v>
      </c>
      <c r="E933" t="e">
        <f t="shared" si="16"/>
        <v>#REF!</v>
      </c>
    </row>
    <row r="934" spans="1:5">
      <c r="A934" t="s">
        <v>5392</v>
      </c>
      <c r="B934">
        <v>10</v>
      </c>
      <c r="C934">
        <v>7</v>
      </c>
      <c r="D934" t="e">
        <f>VLOOKUP(A934,#REF!,2,FALSE)</f>
        <v>#REF!</v>
      </c>
      <c r="E934" t="e">
        <f t="shared" si="16"/>
        <v>#REF!</v>
      </c>
    </row>
    <row r="935" spans="1:5">
      <c r="A935" t="s">
        <v>5385</v>
      </c>
      <c r="B935">
        <v>10</v>
      </c>
      <c r="C935">
        <v>6</v>
      </c>
      <c r="D935" t="e">
        <f>VLOOKUP(A935,#REF!,2,FALSE)</f>
        <v>#REF!</v>
      </c>
      <c r="E935" t="e">
        <f t="shared" si="16"/>
        <v>#REF!</v>
      </c>
    </row>
    <row r="936" spans="1:5">
      <c r="A936" t="s">
        <v>5399</v>
      </c>
      <c r="B936">
        <v>10</v>
      </c>
      <c r="C936">
        <v>6</v>
      </c>
      <c r="D936" t="e">
        <f>VLOOKUP(A936,#REF!,2,FALSE)</f>
        <v>#REF!</v>
      </c>
      <c r="E936" t="e">
        <f t="shared" si="16"/>
        <v>#REF!</v>
      </c>
    </row>
    <row r="937" spans="1:5">
      <c r="A937" t="s">
        <v>5400</v>
      </c>
      <c r="B937">
        <v>10</v>
      </c>
      <c r="C937">
        <v>6</v>
      </c>
      <c r="D937" t="e">
        <f>VLOOKUP(A937,#REF!,2,FALSE)</f>
        <v>#REF!</v>
      </c>
      <c r="E937" t="e">
        <f t="shared" si="16"/>
        <v>#REF!</v>
      </c>
    </row>
    <row r="938" spans="1:5">
      <c r="A938" t="s">
        <v>5402</v>
      </c>
      <c r="B938">
        <v>10</v>
      </c>
      <c r="C938">
        <v>5</v>
      </c>
      <c r="D938" t="e">
        <f>VLOOKUP(A938,#REF!,2,FALSE)</f>
        <v>#REF!</v>
      </c>
      <c r="E938" t="e">
        <f t="shared" si="16"/>
        <v>#REF!</v>
      </c>
    </row>
    <row r="939" spans="1:5">
      <c r="A939" t="s">
        <v>5424</v>
      </c>
      <c r="B939">
        <v>10</v>
      </c>
      <c r="C939">
        <v>5</v>
      </c>
      <c r="D939" t="e">
        <f>VLOOKUP(A939,#REF!,2,FALSE)</f>
        <v>#REF!</v>
      </c>
      <c r="E939" t="e">
        <f t="shared" si="16"/>
        <v>#REF!</v>
      </c>
    </row>
    <row r="940" spans="1:5">
      <c r="A940" t="s">
        <v>5390</v>
      </c>
      <c r="B940">
        <v>10</v>
      </c>
      <c r="C940">
        <v>5</v>
      </c>
      <c r="D940" t="e">
        <f>VLOOKUP(A940,#REF!,2,FALSE)</f>
        <v>#REF!</v>
      </c>
      <c r="E940" t="e">
        <f t="shared" si="16"/>
        <v>#REF!</v>
      </c>
    </row>
    <row r="941" spans="1:5">
      <c r="A941" t="s">
        <v>5388</v>
      </c>
      <c r="B941">
        <v>10</v>
      </c>
      <c r="C941">
        <v>4</v>
      </c>
      <c r="D941" t="e">
        <f>VLOOKUP(A941,#REF!,2,FALSE)</f>
        <v>#REF!</v>
      </c>
      <c r="E941" t="e">
        <f t="shared" si="16"/>
        <v>#REF!</v>
      </c>
    </row>
    <row r="942" spans="1:5">
      <c r="A942" t="s">
        <v>5422</v>
      </c>
      <c r="B942">
        <v>10</v>
      </c>
      <c r="C942">
        <v>3</v>
      </c>
      <c r="D942" t="e">
        <f>VLOOKUP(A942,#REF!,2,FALSE)</f>
        <v>#REF!</v>
      </c>
      <c r="E942" t="e">
        <f t="shared" si="16"/>
        <v>#REF!</v>
      </c>
    </row>
    <row r="943" spans="1:5">
      <c r="A943" t="s">
        <v>5411</v>
      </c>
      <c r="B943">
        <v>10</v>
      </c>
      <c r="C943">
        <v>3</v>
      </c>
      <c r="D943" t="e">
        <f>VLOOKUP(A943,#REF!,2,FALSE)</f>
        <v>#REF!</v>
      </c>
      <c r="E943" t="e">
        <f t="shared" si="16"/>
        <v>#REF!</v>
      </c>
    </row>
    <row r="944" spans="1:5">
      <c r="A944" t="s">
        <v>5428</v>
      </c>
      <c r="B944">
        <v>10</v>
      </c>
      <c r="C944">
        <v>3</v>
      </c>
      <c r="D944" t="e">
        <f>VLOOKUP(A944,#REF!,2,FALSE)</f>
        <v>#REF!</v>
      </c>
      <c r="E944" t="e">
        <f t="shared" si="16"/>
        <v>#REF!</v>
      </c>
    </row>
    <row r="945" spans="1:5">
      <c r="A945" t="s">
        <v>5401</v>
      </c>
      <c r="B945">
        <v>10</v>
      </c>
      <c r="C945">
        <v>2</v>
      </c>
      <c r="D945" t="e">
        <f>VLOOKUP(A945,#REF!,2,FALSE)</f>
        <v>#REF!</v>
      </c>
      <c r="E945" t="e">
        <f t="shared" si="16"/>
        <v>#REF!</v>
      </c>
    </row>
    <row r="946" spans="1:5">
      <c r="A946" t="s">
        <v>5421</v>
      </c>
      <c r="B946">
        <v>10</v>
      </c>
      <c r="C946">
        <v>2</v>
      </c>
      <c r="D946" t="e">
        <f>VLOOKUP(A946,#REF!,2,FALSE)</f>
        <v>#REF!</v>
      </c>
      <c r="E946" t="e">
        <f t="shared" si="16"/>
        <v>#REF!</v>
      </c>
    </row>
    <row r="947" spans="1:5">
      <c r="A947" t="s">
        <v>5397</v>
      </c>
      <c r="B947">
        <v>10</v>
      </c>
      <c r="C947">
        <v>2</v>
      </c>
      <c r="D947" t="e">
        <f>VLOOKUP(A947,#REF!,2,FALSE)</f>
        <v>#REF!</v>
      </c>
      <c r="E947" t="e">
        <f t="shared" si="16"/>
        <v>#REF!</v>
      </c>
    </row>
    <row r="948" spans="1:5">
      <c r="A948" t="s">
        <v>5394</v>
      </c>
      <c r="B948">
        <v>10</v>
      </c>
      <c r="C948">
        <v>2</v>
      </c>
      <c r="D948" t="e">
        <f>VLOOKUP(A948,#REF!,2,FALSE)</f>
        <v>#REF!</v>
      </c>
      <c r="E948" t="e">
        <f t="shared" si="16"/>
        <v>#REF!</v>
      </c>
    </row>
    <row r="949" spans="1:5">
      <c r="A949" t="s">
        <v>5425</v>
      </c>
      <c r="B949">
        <v>10</v>
      </c>
      <c r="C949">
        <v>2</v>
      </c>
      <c r="D949" t="e">
        <f>VLOOKUP(A949,#REF!,2,FALSE)</f>
        <v>#REF!</v>
      </c>
      <c r="E949" t="e">
        <f t="shared" si="16"/>
        <v>#REF!</v>
      </c>
    </row>
    <row r="950" spans="1:5">
      <c r="A950" t="s">
        <v>5423</v>
      </c>
      <c r="B950">
        <v>10</v>
      </c>
      <c r="C950">
        <v>2</v>
      </c>
      <c r="D950" t="e">
        <f>VLOOKUP(A950,#REF!,2,FALSE)</f>
        <v>#REF!</v>
      </c>
      <c r="E950" t="e">
        <f t="shared" si="16"/>
        <v>#REF!</v>
      </c>
    </row>
    <row r="951" spans="1:5">
      <c r="A951" t="s">
        <v>5413</v>
      </c>
      <c r="B951">
        <v>10</v>
      </c>
      <c r="C951">
        <v>2</v>
      </c>
      <c r="D951" t="e">
        <f>VLOOKUP(A951,#REF!,2,FALSE)</f>
        <v>#REF!</v>
      </c>
      <c r="E951" t="e">
        <f t="shared" si="16"/>
        <v>#REF!</v>
      </c>
    </row>
    <row r="952" spans="1:5">
      <c r="A952" t="s">
        <v>5412</v>
      </c>
      <c r="B952">
        <v>10</v>
      </c>
      <c r="C952">
        <v>1</v>
      </c>
      <c r="D952" t="e">
        <f>VLOOKUP(A952,#REF!,2,FALSE)</f>
        <v>#REF!</v>
      </c>
      <c r="E952" t="e">
        <f t="shared" si="16"/>
        <v>#REF!</v>
      </c>
    </row>
    <row r="953" spans="1:5">
      <c r="A953" t="s">
        <v>5407</v>
      </c>
      <c r="B953">
        <v>10</v>
      </c>
      <c r="C953">
        <v>1</v>
      </c>
      <c r="D953" t="e">
        <f>VLOOKUP(A953,#REF!,2,FALSE)</f>
        <v>#REF!</v>
      </c>
      <c r="E953" t="e">
        <f t="shared" si="16"/>
        <v>#REF!</v>
      </c>
    </row>
    <row r="954" spans="1:5">
      <c r="A954" t="s">
        <v>5408</v>
      </c>
      <c r="B954">
        <v>10</v>
      </c>
      <c r="C954">
        <v>1</v>
      </c>
      <c r="D954" t="e">
        <f>VLOOKUP(A954,#REF!,2,FALSE)</f>
        <v>#REF!</v>
      </c>
      <c r="E954" t="e">
        <f t="shared" si="16"/>
        <v>#REF!</v>
      </c>
    </row>
    <row r="955" spans="1:5">
      <c r="A955" t="s">
        <v>5381</v>
      </c>
      <c r="B955">
        <v>10</v>
      </c>
      <c r="C955">
        <v>1</v>
      </c>
      <c r="D955" t="e">
        <f>VLOOKUP(A955,#REF!,2,FALSE)</f>
        <v>#REF!</v>
      </c>
      <c r="E955" t="e">
        <f t="shared" si="16"/>
        <v>#REF!</v>
      </c>
    </row>
    <row r="956" spans="1:5">
      <c r="A956" t="s">
        <v>5384</v>
      </c>
      <c r="B956">
        <v>10</v>
      </c>
      <c r="C956">
        <v>1</v>
      </c>
      <c r="D956" t="e">
        <f>VLOOKUP(A956,#REF!,2,FALSE)</f>
        <v>#REF!</v>
      </c>
      <c r="E956" t="e">
        <f t="shared" si="16"/>
        <v>#REF!</v>
      </c>
    </row>
    <row r="957" spans="1:5">
      <c r="A957" t="s">
        <v>5320</v>
      </c>
      <c r="B957">
        <v>11</v>
      </c>
      <c r="C957">
        <v>11041</v>
      </c>
      <c r="D957" t="e">
        <f>VLOOKUP(A957,#REF!,2,FALSE)</f>
        <v>#REF!</v>
      </c>
      <c r="E957" t="e">
        <f t="shared" si="16"/>
        <v>#REF!</v>
      </c>
    </row>
    <row r="958" spans="1:5">
      <c r="A958" t="s">
        <v>5321</v>
      </c>
      <c r="B958">
        <v>11</v>
      </c>
      <c r="C958">
        <v>7924</v>
      </c>
      <c r="D958" t="e">
        <f>VLOOKUP(A958,#REF!,2,FALSE)</f>
        <v>#REF!</v>
      </c>
      <c r="E958" t="e">
        <f t="shared" si="16"/>
        <v>#REF!</v>
      </c>
    </row>
    <row r="959" spans="1:5">
      <c r="A959" t="s">
        <v>1408</v>
      </c>
      <c r="B959">
        <v>11</v>
      </c>
      <c r="C959">
        <v>5580</v>
      </c>
      <c r="D959" t="e">
        <f>VLOOKUP(A959,#REF!,2,FALSE)</f>
        <v>#REF!</v>
      </c>
      <c r="E959" t="e">
        <f t="shared" si="16"/>
        <v>#REF!</v>
      </c>
    </row>
    <row r="960" spans="1:5">
      <c r="A960" t="s">
        <v>5317</v>
      </c>
      <c r="B960">
        <v>11</v>
      </c>
      <c r="C960">
        <v>3091</v>
      </c>
      <c r="D960" t="e">
        <f>VLOOKUP(A960,#REF!,2,FALSE)</f>
        <v>#REF!</v>
      </c>
      <c r="E960" t="e">
        <f t="shared" si="16"/>
        <v>#REF!</v>
      </c>
    </row>
    <row r="961" spans="1:5">
      <c r="A961" t="s">
        <v>5323</v>
      </c>
      <c r="B961">
        <v>11</v>
      </c>
      <c r="C961">
        <v>2537</v>
      </c>
      <c r="D961" t="e">
        <f>VLOOKUP(A961,#REF!,2,FALSE)</f>
        <v>#REF!</v>
      </c>
      <c r="E961" t="e">
        <f t="shared" si="16"/>
        <v>#REF!</v>
      </c>
    </row>
    <row r="962" spans="1:5">
      <c r="A962" t="s">
        <v>5328</v>
      </c>
      <c r="B962">
        <v>11</v>
      </c>
      <c r="C962">
        <v>2495</v>
      </c>
      <c r="D962" t="e">
        <f>VLOOKUP(A962,#REF!,2,FALSE)</f>
        <v>#REF!</v>
      </c>
      <c r="E962" t="e">
        <f t="shared" si="16"/>
        <v>#REF!</v>
      </c>
    </row>
    <row r="963" spans="1:5">
      <c r="A963" t="s">
        <v>5326</v>
      </c>
      <c r="B963">
        <v>11</v>
      </c>
      <c r="C963">
        <v>2222</v>
      </c>
      <c r="D963" t="e">
        <f>VLOOKUP(A963,#REF!,2,FALSE)</f>
        <v>#REF!</v>
      </c>
      <c r="E963" t="e">
        <f t="shared" ref="E963:E1026" si="17">C963/D963</f>
        <v>#REF!</v>
      </c>
    </row>
    <row r="964" spans="1:5">
      <c r="A964" t="s">
        <v>5333</v>
      </c>
      <c r="B964">
        <v>11</v>
      </c>
      <c r="C964">
        <v>2035</v>
      </c>
      <c r="D964" t="e">
        <f>VLOOKUP(A964,#REF!,2,FALSE)</f>
        <v>#REF!</v>
      </c>
      <c r="E964" t="e">
        <f t="shared" si="17"/>
        <v>#REF!</v>
      </c>
    </row>
    <row r="965" spans="1:5">
      <c r="A965" t="s">
        <v>5319</v>
      </c>
      <c r="B965">
        <v>11</v>
      </c>
      <c r="C965">
        <v>1747</v>
      </c>
      <c r="D965" t="e">
        <f>VLOOKUP(A965,#REF!,2,FALSE)</f>
        <v>#REF!</v>
      </c>
      <c r="E965" t="e">
        <f t="shared" si="17"/>
        <v>#REF!</v>
      </c>
    </row>
    <row r="966" spans="1:5">
      <c r="A966" t="s">
        <v>5322</v>
      </c>
      <c r="B966">
        <v>11</v>
      </c>
      <c r="C966">
        <v>1668</v>
      </c>
      <c r="D966" t="e">
        <f>VLOOKUP(A966,#REF!,2,FALSE)</f>
        <v>#REF!</v>
      </c>
      <c r="E966" t="e">
        <f t="shared" si="17"/>
        <v>#REF!</v>
      </c>
    </row>
    <row r="967" spans="1:5">
      <c r="A967" t="s">
        <v>5334</v>
      </c>
      <c r="B967">
        <v>11</v>
      </c>
      <c r="C967">
        <v>1492</v>
      </c>
      <c r="D967" t="e">
        <f>VLOOKUP(A967,#REF!,2,FALSE)</f>
        <v>#REF!</v>
      </c>
      <c r="E967" t="e">
        <f t="shared" si="17"/>
        <v>#REF!</v>
      </c>
    </row>
    <row r="968" spans="1:5">
      <c r="A968" t="s">
        <v>5325</v>
      </c>
      <c r="B968">
        <v>11</v>
      </c>
      <c r="C968">
        <v>1426</v>
      </c>
      <c r="D968" t="e">
        <f>VLOOKUP(A968,#REF!,2,FALSE)</f>
        <v>#REF!</v>
      </c>
      <c r="E968" t="e">
        <f t="shared" si="17"/>
        <v>#REF!</v>
      </c>
    </row>
    <row r="969" spans="1:5">
      <c r="A969" t="s">
        <v>5335</v>
      </c>
      <c r="B969">
        <v>11</v>
      </c>
      <c r="C969">
        <v>1380</v>
      </c>
      <c r="D969" t="e">
        <f>VLOOKUP(A969,#REF!,2,FALSE)</f>
        <v>#REF!</v>
      </c>
      <c r="E969" t="e">
        <f t="shared" si="17"/>
        <v>#REF!</v>
      </c>
    </row>
    <row r="970" spans="1:5">
      <c r="A970" t="s">
        <v>5336</v>
      </c>
      <c r="B970">
        <v>11</v>
      </c>
      <c r="C970">
        <v>1202</v>
      </c>
      <c r="D970" t="e">
        <f>VLOOKUP(A970,#REF!,2,FALSE)</f>
        <v>#REF!</v>
      </c>
      <c r="E970" t="e">
        <f t="shared" si="17"/>
        <v>#REF!</v>
      </c>
    </row>
    <row r="971" spans="1:5">
      <c r="A971" t="s">
        <v>5318</v>
      </c>
      <c r="B971">
        <v>11</v>
      </c>
      <c r="C971">
        <v>1162</v>
      </c>
      <c r="D971" t="e">
        <f>VLOOKUP(A971,#REF!,2,FALSE)</f>
        <v>#REF!</v>
      </c>
      <c r="E971" t="e">
        <f t="shared" si="17"/>
        <v>#REF!</v>
      </c>
    </row>
    <row r="972" spans="1:5">
      <c r="A972" t="s">
        <v>5337</v>
      </c>
      <c r="B972">
        <v>11</v>
      </c>
      <c r="C972">
        <v>1015</v>
      </c>
      <c r="D972" t="e">
        <f>VLOOKUP(A972,#REF!,2,FALSE)</f>
        <v>#REF!</v>
      </c>
      <c r="E972" t="e">
        <f t="shared" si="17"/>
        <v>#REF!</v>
      </c>
    </row>
    <row r="973" spans="1:5">
      <c r="A973" t="s">
        <v>5316</v>
      </c>
      <c r="B973">
        <v>11</v>
      </c>
      <c r="C973">
        <v>980</v>
      </c>
      <c r="D973" t="e">
        <f>VLOOKUP(A973,#REF!,2,FALSE)</f>
        <v>#REF!</v>
      </c>
      <c r="E973" t="e">
        <f t="shared" si="17"/>
        <v>#REF!</v>
      </c>
    </row>
    <row r="974" spans="1:5">
      <c r="A974" t="s">
        <v>5341</v>
      </c>
      <c r="B974">
        <v>11</v>
      </c>
      <c r="C974">
        <v>819</v>
      </c>
      <c r="D974" t="e">
        <f>VLOOKUP(A974,#REF!,2,FALSE)</f>
        <v>#REF!</v>
      </c>
      <c r="E974" t="e">
        <f t="shared" si="17"/>
        <v>#REF!</v>
      </c>
    </row>
    <row r="975" spans="1:5">
      <c r="A975" t="s">
        <v>5340</v>
      </c>
      <c r="B975">
        <v>11</v>
      </c>
      <c r="C975">
        <v>759</v>
      </c>
      <c r="D975" t="e">
        <f>VLOOKUP(A975,#REF!,2,FALSE)</f>
        <v>#REF!</v>
      </c>
      <c r="E975" t="e">
        <f t="shared" si="17"/>
        <v>#REF!</v>
      </c>
    </row>
    <row r="976" spans="1:5">
      <c r="A976" t="s">
        <v>5343</v>
      </c>
      <c r="B976">
        <v>11</v>
      </c>
      <c r="C976">
        <v>730</v>
      </c>
      <c r="D976" t="e">
        <f>VLOOKUP(A976,#REF!,2,FALSE)</f>
        <v>#REF!</v>
      </c>
      <c r="E976" t="e">
        <f t="shared" si="17"/>
        <v>#REF!</v>
      </c>
    </row>
    <row r="977" spans="1:5">
      <c r="A977" t="s">
        <v>5339</v>
      </c>
      <c r="B977">
        <v>11</v>
      </c>
      <c r="C977">
        <v>635</v>
      </c>
      <c r="D977" t="e">
        <f>VLOOKUP(A977,#REF!,2,FALSE)</f>
        <v>#REF!</v>
      </c>
      <c r="E977" t="e">
        <f t="shared" si="17"/>
        <v>#REF!</v>
      </c>
    </row>
    <row r="978" spans="1:5">
      <c r="A978" t="s">
        <v>5349</v>
      </c>
      <c r="B978">
        <v>11</v>
      </c>
      <c r="C978">
        <v>604</v>
      </c>
      <c r="D978" t="e">
        <f>VLOOKUP(A978,#REF!,2,FALSE)</f>
        <v>#REF!</v>
      </c>
      <c r="E978" t="e">
        <f t="shared" si="17"/>
        <v>#REF!</v>
      </c>
    </row>
    <row r="979" spans="1:5">
      <c r="A979" t="s">
        <v>5344</v>
      </c>
      <c r="B979">
        <v>11</v>
      </c>
      <c r="C979">
        <v>463</v>
      </c>
      <c r="D979" t="e">
        <f>VLOOKUP(A979,#REF!,2,FALSE)</f>
        <v>#REF!</v>
      </c>
      <c r="E979" t="e">
        <f t="shared" si="17"/>
        <v>#REF!</v>
      </c>
    </row>
    <row r="980" spans="1:5">
      <c r="A980" t="s">
        <v>5346</v>
      </c>
      <c r="B980">
        <v>11</v>
      </c>
      <c r="C980">
        <v>446</v>
      </c>
      <c r="D980" t="e">
        <f>VLOOKUP(A980,#REF!,2,FALSE)</f>
        <v>#REF!</v>
      </c>
      <c r="E980" t="e">
        <f t="shared" si="17"/>
        <v>#REF!</v>
      </c>
    </row>
    <row r="981" spans="1:5">
      <c r="A981" t="s">
        <v>5353</v>
      </c>
      <c r="B981">
        <v>11</v>
      </c>
      <c r="C981">
        <v>418</v>
      </c>
      <c r="D981" t="e">
        <f>VLOOKUP(A981,#REF!,2,FALSE)</f>
        <v>#REF!</v>
      </c>
      <c r="E981" t="e">
        <f t="shared" si="17"/>
        <v>#REF!</v>
      </c>
    </row>
    <row r="982" spans="1:5">
      <c r="A982" t="s">
        <v>5351</v>
      </c>
      <c r="B982">
        <v>11</v>
      </c>
      <c r="C982">
        <v>400</v>
      </c>
      <c r="D982" t="e">
        <f>VLOOKUP(A982,#REF!,2,FALSE)</f>
        <v>#REF!</v>
      </c>
      <c r="E982" t="e">
        <f t="shared" si="17"/>
        <v>#REF!</v>
      </c>
    </row>
    <row r="983" spans="1:5">
      <c r="A983" t="s">
        <v>5345</v>
      </c>
      <c r="B983">
        <v>11</v>
      </c>
      <c r="C983">
        <v>385</v>
      </c>
      <c r="D983" t="e">
        <f>VLOOKUP(A983,#REF!,2,FALSE)</f>
        <v>#REF!</v>
      </c>
      <c r="E983" t="e">
        <f t="shared" si="17"/>
        <v>#REF!</v>
      </c>
    </row>
    <row r="984" spans="1:5">
      <c r="A984" t="s">
        <v>5350</v>
      </c>
      <c r="B984">
        <v>11</v>
      </c>
      <c r="C984">
        <v>374</v>
      </c>
      <c r="D984" t="e">
        <f>VLOOKUP(A984,#REF!,2,FALSE)</f>
        <v>#REF!</v>
      </c>
      <c r="E984" t="e">
        <f t="shared" si="17"/>
        <v>#REF!</v>
      </c>
    </row>
    <row r="985" spans="1:5">
      <c r="A985" t="s">
        <v>5324</v>
      </c>
      <c r="B985">
        <v>11</v>
      </c>
      <c r="C985">
        <v>356</v>
      </c>
      <c r="D985" t="e">
        <f>VLOOKUP(A985,#REF!,2,FALSE)</f>
        <v>#REF!</v>
      </c>
      <c r="E985" t="e">
        <f t="shared" si="17"/>
        <v>#REF!</v>
      </c>
    </row>
    <row r="986" spans="1:5">
      <c r="A986" t="s">
        <v>5342</v>
      </c>
      <c r="B986">
        <v>11</v>
      </c>
      <c r="C986">
        <v>349</v>
      </c>
      <c r="D986" t="e">
        <f>VLOOKUP(A986,#REF!,2,FALSE)</f>
        <v>#REF!</v>
      </c>
      <c r="E986" t="e">
        <f t="shared" si="17"/>
        <v>#REF!</v>
      </c>
    </row>
    <row r="987" spans="1:5">
      <c r="A987" t="s">
        <v>5358</v>
      </c>
      <c r="B987">
        <v>11</v>
      </c>
      <c r="C987">
        <v>264</v>
      </c>
      <c r="D987" t="e">
        <f>VLOOKUP(A987,#REF!,2,FALSE)</f>
        <v>#REF!</v>
      </c>
      <c r="E987" t="e">
        <f t="shared" si="17"/>
        <v>#REF!</v>
      </c>
    </row>
    <row r="988" spans="1:5">
      <c r="A988" t="s">
        <v>5327</v>
      </c>
      <c r="B988">
        <v>11</v>
      </c>
      <c r="C988">
        <v>257</v>
      </c>
      <c r="D988" t="e">
        <f>VLOOKUP(A988,#REF!,2,FALSE)</f>
        <v>#REF!</v>
      </c>
      <c r="E988" t="e">
        <f t="shared" si="17"/>
        <v>#REF!</v>
      </c>
    </row>
    <row r="989" spans="1:5">
      <c r="A989" t="s">
        <v>5329</v>
      </c>
      <c r="B989">
        <v>11</v>
      </c>
      <c r="C989">
        <v>224</v>
      </c>
      <c r="D989" t="e">
        <f>VLOOKUP(A989,#REF!,2,FALSE)</f>
        <v>#REF!</v>
      </c>
      <c r="E989" t="e">
        <f t="shared" si="17"/>
        <v>#REF!</v>
      </c>
    </row>
    <row r="990" spans="1:5">
      <c r="A990" t="s">
        <v>5352</v>
      </c>
      <c r="B990">
        <v>11</v>
      </c>
      <c r="C990">
        <v>220</v>
      </c>
      <c r="D990" t="e">
        <f>VLOOKUP(A990,#REF!,2,FALSE)</f>
        <v>#REF!</v>
      </c>
      <c r="E990" t="e">
        <f t="shared" si="17"/>
        <v>#REF!</v>
      </c>
    </row>
    <row r="991" spans="1:5">
      <c r="A991" t="s">
        <v>5356</v>
      </c>
      <c r="B991">
        <v>11</v>
      </c>
      <c r="C991">
        <v>220</v>
      </c>
      <c r="D991" t="e">
        <f>VLOOKUP(A991,#REF!,2,FALSE)</f>
        <v>#REF!</v>
      </c>
      <c r="E991" t="e">
        <f t="shared" si="17"/>
        <v>#REF!</v>
      </c>
    </row>
    <row r="992" spans="1:5">
      <c r="A992" t="s">
        <v>5355</v>
      </c>
      <c r="B992">
        <v>11</v>
      </c>
      <c r="C992">
        <v>206</v>
      </c>
      <c r="D992" t="e">
        <f>VLOOKUP(A992,#REF!,2,FALSE)</f>
        <v>#REF!</v>
      </c>
      <c r="E992" t="e">
        <f t="shared" si="17"/>
        <v>#REF!</v>
      </c>
    </row>
    <row r="993" spans="1:5">
      <c r="A993" t="s">
        <v>5359</v>
      </c>
      <c r="B993">
        <v>11</v>
      </c>
      <c r="C993">
        <v>172</v>
      </c>
      <c r="D993" t="e">
        <f>VLOOKUP(A993,#REF!,2,FALSE)</f>
        <v>#REF!</v>
      </c>
      <c r="E993" t="e">
        <f t="shared" si="17"/>
        <v>#REF!</v>
      </c>
    </row>
    <row r="994" spans="1:5">
      <c r="A994" t="s">
        <v>5363</v>
      </c>
      <c r="B994">
        <v>11</v>
      </c>
      <c r="C994">
        <v>141</v>
      </c>
      <c r="D994" t="e">
        <f>VLOOKUP(A994,#REF!,2,FALSE)</f>
        <v>#REF!</v>
      </c>
      <c r="E994" t="e">
        <f t="shared" si="17"/>
        <v>#REF!</v>
      </c>
    </row>
    <row r="995" spans="1:5">
      <c r="A995" t="s">
        <v>5347</v>
      </c>
      <c r="B995">
        <v>11</v>
      </c>
      <c r="C995">
        <v>124</v>
      </c>
      <c r="D995" t="e">
        <f>VLOOKUP(A995,#REF!,2,FALSE)</f>
        <v>#REF!</v>
      </c>
      <c r="E995" t="e">
        <f t="shared" si="17"/>
        <v>#REF!</v>
      </c>
    </row>
    <row r="996" spans="1:5">
      <c r="A996" t="s">
        <v>5373</v>
      </c>
      <c r="B996">
        <v>11</v>
      </c>
      <c r="C996">
        <v>114</v>
      </c>
      <c r="D996" t="e">
        <f>VLOOKUP(A996,#REF!,2,FALSE)</f>
        <v>#REF!</v>
      </c>
      <c r="E996" t="e">
        <f t="shared" si="17"/>
        <v>#REF!</v>
      </c>
    </row>
    <row r="997" spans="1:5">
      <c r="A997" t="s">
        <v>5348</v>
      </c>
      <c r="B997">
        <v>11</v>
      </c>
      <c r="C997">
        <v>102</v>
      </c>
      <c r="D997" t="e">
        <f>VLOOKUP(A997,#REF!,2,FALSE)</f>
        <v>#REF!</v>
      </c>
      <c r="E997" t="e">
        <f t="shared" si="17"/>
        <v>#REF!</v>
      </c>
    </row>
    <row r="998" spans="1:5">
      <c r="A998" t="s">
        <v>5377</v>
      </c>
      <c r="B998">
        <v>11</v>
      </c>
      <c r="C998">
        <v>100</v>
      </c>
      <c r="D998" t="e">
        <f>VLOOKUP(A998,#REF!,2,FALSE)</f>
        <v>#REF!</v>
      </c>
      <c r="E998" t="e">
        <f t="shared" si="17"/>
        <v>#REF!</v>
      </c>
    </row>
    <row r="999" spans="1:5">
      <c r="A999" t="s">
        <v>5365</v>
      </c>
      <c r="B999">
        <v>11</v>
      </c>
      <c r="C999">
        <v>87</v>
      </c>
      <c r="D999" t="e">
        <f>VLOOKUP(A999,#REF!,2,FALSE)</f>
        <v>#REF!</v>
      </c>
      <c r="E999" t="e">
        <f t="shared" si="17"/>
        <v>#REF!</v>
      </c>
    </row>
    <row r="1000" spans="1:5">
      <c r="A1000" t="s">
        <v>5364</v>
      </c>
      <c r="B1000">
        <v>11</v>
      </c>
      <c r="C1000">
        <v>86</v>
      </c>
      <c r="D1000" t="e">
        <f>VLOOKUP(A1000,#REF!,2,FALSE)</f>
        <v>#REF!</v>
      </c>
      <c r="E1000" t="e">
        <f t="shared" si="17"/>
        <v>#REF!</v>
      </c>
    </row>
    <row r="1001" spans="1:5">
      <c r="A1001" t="s">
        <v>5298</v>
      </c>
      <c r="B1001">
        <v>11</v>
      </c>
      <c r="C1001">
        <v>86</v>
      </c>
      <c r="D1001" t="e">
        <f>VLOOKUP(A1001,#REF!,2,FALSE)</f>
        <v>#REF!</v>
      </c>
      <c r="E1001" t="e">
        <f t="shared" si="17"/>
        <v>#REF!</v>
      </c>
    </row>
    <row r="1002" spans="1:5">
      <c r="A1002" t="s">
        <v>5338</v>
      </c>
      <c r="B1002">
        <v>11</v>
      </c>
      <c r="C1002">
        <v>83</v>
      </c>
      <c r="D1002" t="e">
        <f>VLOOKUP(A1002,#REF!,2,FALSE)</f>
        <v>#REF!</v>
      </c>
      <c r="E1002" t="e">
        <f t="shared" si="17"/>
        <v>#REF!</v>
      </c>
    </row>
    <row r="1003" spans="1:5">
      <c r="A1003" t="s">
        <v>5354</v>
      </c>
      <c r="B1003">
        <v>11</v>
      </c>
      <c r="C1003">
        <v>73</v>
      </c>
      <c r="D1003" t="e">
        <f>VLOOKUP(A1003,#REF!,2,FALSE)</f>
        <v>#REF!</v>
      </c>
      <c r="E1003" t="e">
        <f t="shared" si="17"/>
        <v>#REF!</v>
      </c>
    </row>
    <row r="1004" spans="1:5">
      <c r="A1004" t="s">
        <v>5419</v>
      </c>
      <c r="B1004">
        <v>11</v>
      </c>
      <c r="C1004">
        <v>68</v>
      </c>
      <c r="D1004" t="e">
        <f>VLOOKUP(A1004,#REF!,2,FALSE)</f>
        <v>#REF!</v>
      </c>
      <c r="E1004" t="e">
        <f t="shared" si="17"/>
        <v>#REF!</v>
      </c>
    </row>
    <row r="1005" spans="1:5">
      <c r="A1005" t="s">
        <v>5367</v>
      </c>
      <c r="B1005">
        <v>11</v>
      </c>
      <c r="C1005">
        <v>67</v>
      </c>
      <c r="D1005" t="e">
        <f>VLOOKUP(A1005,#REF!,2,FALSE)</f>
        <v>#REF!</v>
      </c>
      <c r="E1005" t="e">
        <f t="shared" si="17"/>
        <v>#REF!</v>
      </c>
    </row>
    <row r="1006" spans="1:5">
      <c r="A1006" t="s">
        <v>5398</v>
      </c>
      <c r="B1006">
        <v>11</v>
      </c>
      <c r="C1006">
        <v>63</v>
      </c>
      <c r="D1006" t="e">
        <f>VLOOKUP(A1006,#REF!,2,FALSE)</f>
        <v>#REF!</v>
      </c>
      <c r="E1006" t="e">
        <f t="shared" si="17"/>
        <v>#REF!</v>
      </c>
    </row>
    <row r="1007" spans="1:5">
      <c r="A1007" t="s">
        <v>5362</v>
      </c>
      <c r="B1007">
        <v>11</v>
      </c>
      <c r="C1007">
        <v>59</v>
      </c>
      <c r="D1007" t="e">
        <f>VLOOKUP(A1007,#REF!,2,FALSE)</f>
        <v>#REF!</v>
      </c>
      <c r="E1007" t="e">
        <f t="shared" si="17"/>
        <v>#REF!</v>
      </c>
    </row>
    <row r="1008" spans="1:5">
      <c r="A1008" t="s">
        <v>5357</v>
      </c>
      <c r="B1008">
        <v>11</v>
      </c>
      <c r="C1008">
        <v>57</v>
      </c>
      <c r="D1008" t="e">
        <f>VLOOKUP(A1008,#REF!,2,FALSE)</f>
        <v>#REF!</v>
      </c>
      <c r="E1008" t="e">
        <f t="shared" si="17"/>
        <v>#REF!</v>
      </c>
    </row>
    <row r="1009" spans="1:5">
      <c r="A1009" t="s">
        <v>5360</v>
      </c>
      <c r="B1009">
        <v>11</v>
      </c>
      <c r="C1009">
        <v>53</v>
      </c>
      <c r="D1009" t="e">
        <f>VLOOKUP(A1009,#REF!,2,FALSE)</f>
        <v>#REF!</v>
      </c>
      <c r="E1009" t="e">
        <f t="shared" si="17"/>
        <v>#REF!</v>
      </c>
    </row>
    <row r="1010" spans="1:5">
      <c r="A1010" t="s">
        <v>5366</v>
      </c>
      <c r="B1010">
        <v>11</v>
      </c>
      <c r="C1010">
        <v>52</v>
      </c>
      <c r="D1010" t="e">
        <f>VLOOKUP(A1010,#REF!,2,FALSE)</f>
        <v>#REF!</v>
      </c>
      <c r="E1010" t="e">
        <f t="shared" si="17"/>
        <v>#REF!</v>
      </c>
    </row>
    <row r="1011" spans="1:5">
      <c r="A1011" t="s">
        <v>5369</v>
      </c>
      <c r="B1011">
        <v>11</v>
      </c>
      <c r="C1011">
        <v>51</v>
      </c>
      <c r="D1011" t="e">
        <f>VLOOKUP(A1011,#REF!,2,FALSE)</f>
        <v>#REF!</v>
      </c>
      <c r="E1011" t="e">
        <f t="shared" si="17"/>
        <v>#REF!</v>
      </c>
    </row>
    <row r="1012" spans="1:5">
      <c r="A1012" t="s">
        <v>5375</v>
      </c>
      <c r="B1012">
        <v>11</v>
      </c>
      <c r="C1012">
        <v>34</v>
      </c>
      <c r="D1012" t="e">
        <f>VLOOKUP(A1012,#REF!,2,FALSE)</f>
        <v>#REF!</v>
      </c>
      <c r="E1012" t="e">
        <f t="shared" si="17"/>
        <v>#REF!</v>
      </c>
    </row>
    <row r="1013" spans="1:5">
      <c r="A1013" t="s">
        <v>5380</v>
      </c>
      <c r="B1013">
        <v>11</v>
      </c>
      <c r="C1013">
        <v>34</v>
      </c>
      <c r="D1013" t="e">
        <f>VLOOKUP(A1013,#REF!,2,FALSE)</f>
        <v>#REF!</v>
      </c>
      <c r="E1013" t="e">
        <f t="shared" si="17"/>
        <v>#REF!</v>
      </c>
    </row>
    <row r="1014" spans="1:5">
      <c r="A1014" t="s">
        <v>5361</v>
      </c>
      <c r="B1014">
        <v>11</v>
      </c>
      <c r="C1014">
        <v>33</v>
      </c>
      <c r="D1014" t="e">
        <f>VLOOKUP(A1014,#REF!,2,FALSE)</f>
        <v>#REF!</v>
      </c>
      <c r="E1014" t="e">
        <f t="shared" si="17"/>
        <v>#REF!</v>
      </c>
    </row>
    <row r="1015" spans="1:5">
      <c r="A1015" t="s">
        <v>5379</v>
      </c>
      <c r="B1015">
        <v>11</v>
      </c>
      <c r="C1015">
        <v>30</v>
      </c>
      <c r="D1015" t="e">
        <f>VLOOKUP(A1015,#REF!,2,FALSE)</f>
        <v>#REF!</v>
      </c>
      <c r="E1015" t="e">
        <f t="shared" si="17"/>
        <v>#REF!</v>
      </c>
    </row>
    <row r="1016" spans="1:5">
      <c r="A1016" t="s">
        <v>5382</v>
      </c>
      <c r="B1016">
        <v>11</v>
      </c>
      <c r="C1016">
        <v>28</v>
      </c>
      <c r="D1016" t="e">
        <f>VLOOKUP(A1016,#REF!,2,FALSE)</f>
        <v>#REF!</v>
      </c>
      <c r="E1016" t="e">
        <f t="shared" si="17"/>
        <v>#REF!</v>
      </c>
    </row>
    <row r="1017" spans="1:5">
      <c r="A1017" t="s">
        <v>5368</v>
      </c>
      <c r="B1017">
        <v>11</v>
      </c>
      <c r="C1017">
        <v>27</v>
      </c>
      <c r="D1017" t="e">
        <f>VLOOKUP(A1017,#REF!,2,FALSE)</f>
        <v>#REF!</v>
      </c>
      <c r="E1017" t="e">
        <f t="shared" si="17"/>
        <v>#REF!</v>
      </c>
    </row>
    <row r="1018" spans="1:5">
      <c r="A1018" t="s">
        <v>5378</v>
      </c>
      <c r="B1018">
        <v>11</v>
      </c>
      <c r="C1018">
        <v>26</v>
      </c>
      <c r="D1018" t="e">
        <f>VLOOKUP(A1018,#REF!,2,FALSE)</f>
        <v>#REF!</v>
      </c>
      <c r="E1018" t="e">
        <f t="shared" si="17"/>
        <v>#REF!</v>
      </c>
    </row>
    <row r="1019" spans="1:5">
      <c r="A1019" t="s">
        <v>5417</v>
      </c>
      <c r="B1019">
        <v>11</v>
      </c>
      <c r="C1019">
        <v>25</v>
      </c>
      <c r="D1019" t="e">
        <f>VLOOKUP(A1019,#REF!,2,FALSE)</f>
        <v>#REF!</v>
      </c>
      <c r="E1019" t="e">
        <f t="shared" si="17"/>
        <v>#REF!</v>
      </c>
    </row>
    <row r="1020" spans="1:5">
      <c r="A1020" t="s">
        <v>5405</v>
      </c>
      <c r="B1020">
        <v>11</v>
      </c>
      <c r="C1020">
        <v>25</v>
      </c>
      <c r="D1020" t="e">
        <f>VLOOKUP(A1020,#REF!,2,FALSE)</f>
        <v>#REF!</v>
      </c>
      <c r="E1020" t="e">
        <f t="shared" si="17"/>
        <v>#REF!</v>
      </c>
    </row>
    <row r="1021" spans="1:5">
      <c r="A1021" t="s">
        <v>5372</v>
      </c>
      <c r="B1021">
        <v>11</v>
      </c>
      <c r="C1021">
        <v>24</v>
      </c>
      <c r="D1021" t="e">
        <f>VLOOKUP(A1021,#REF!,2,FALSE)</f>
        <v>#REF!</v>
      </c>
      <c r="E1021" t="e">
        <f t="shared" si="17"/>
        <v>#REF!</v>
      </c>
    </row>
    <row r="1022" spans="1:5">
      <c r="A1022" t="s">
        <v>5404</v>
      </c>
      <c r="B1022">
        <v>11</v>
      </c>
      <c r="C1022">
        <v>23</v>
      </c>
      <c r="D1022" t="e">
        <f>VLOOKUP(A1022,#REF!,2,FALSE)</f>
        <v>#REF!</v>
      </c>
      <c r="E1022" t="e">
        <f t="shared" si="17"/>
        <v>#REF!</v>
      </c>
    </row>
    <row r="1023" spans="1:5">
      <c r="A1023" t="s">
        <v>5390</v>
      </c>
      <c r="B1023">
        <v>11</v>
      </c>
      <c r="C1023">
        <v>22</v>
      </c>
      <c r="D1023" t="e">
        <f>VLOOKUP(A1023,#REF!,2,FALSE)</f>
        <v>#REF!</v>
      </c>
      <c r="E1023" t="e">
        <f t="shared" si="17"/>
        <v>#REF!</v>
      </c>
    </row>
    <row r="1024" spans="1:5">
      <c r="A1024" t="s">
        <v>5383</v>
      </c>
      <c r="B1024">
        <v>11</v>
      </c>
      <c r="C1024">
        <v>17</v>
      </c>
      <c r="D1024" t="e">
        <f>VLOOKUP(A1024,#REF!,2,FALSE)</f>
        <v>#REF!</v>
      </c>
      <c r="E1024" t="e">
        <f t="shared" si="17"/>
        <v>#REF!</v>
      </c>
    </row>
    <row r="1025" spans="1:5">
      <c r="A1025" t="s">
        <v>5393</v>
      </c>
      <c r="B1025">
        <v>11</v>
      </c>
      <c r="C1025">
        <v>17</v>
      </c>
      <c r="D1025" t="e">
        <f>VLOOKUP(A1025,#REF!,2,FALSE)</f>
        <v>#REF!</v>
      </c>
      <c r="E1025" t="e">
        <f t="shared" si="17"/>
        <v>#REF!</v>
      </c>
    </row>
    <row r="1026" spans="1:5">
      <c r="A1026" t="s">
        <v>5392</v>
      </c>
      <c r="B1026">
        <v>11</v>
      </c>
      <c r="C1026">
        <v>16</v>
      </c>
      <c r="D1026" t="e">
        <f>VLOOKUP(A1026,#REF!,2,FALSE)</f>
        <v>#REF!</v>
      </c>
      <c r="E1026" t="e">
        <f t="shared" si="17"/>
        <v>#REF!</v>
      </c>
    </row>
    <row r="1027" spans="1:5">
      <c r="A1027" t="s">
        <v>5424</v>
      </c>
      <c r="B1027">
        <v>11</v>
      </c>
      <c r="C1027">
        <v>15</v>
      </c>
      <c r="D1027" t="e">
        <f>VLOOKUP(A1027,#REF!,2,FALSE)</f>
        <v>#REF!</v>
      </c>
      <c r="E1027" t="e">
        <f t="shared" ref="E1027:E1090" si="18">C1027/D1027</f>
        <v>#REF!</v>
      </c>
    </row>
    <row r="1028" spans="1:5">
      <c r="A1028" t="s">
        <v>5374</v>
      </c>
      <c r="B1028">
        <v>11</v>
      </c>
      <c r="C1028">
        <v>12</v>
      </c>
      <c r="D1028" t="e">
        <f>VLOOKUP(A1028,#REF!,2,FALSE)</f>
        <v>#REF!</v>
      </c>
      <c r="E1028" t="e">
        <f t="shared" si="18"/>
        <v>#REF!</v>
      </c>
    </row>
    <row r="1029" spans="1:5">
      <c r="A1029" t="s">
        <v>5413</v>
      </c>
      <c r="B1029">
        <v>11</v>
      </c>
      <c r="C1029">
        <v>10</v>
      </c>
      <c r="D1029" t="e">
        <f>VLOOKUP(A1029,#REF!,2,FALSE)</f>
        <v>#REF!</v>
      </c>
      <c r="E1029" t="e">
        <f t="shared" si="18"/>
        <v>#REF!</v>
      </c>
    </row>
    <row r="1030" spans="1:5">
      <c r="A1030" t="s">
        <v>5386</v>
      </c>
      <c r="B1030">
        <v>11</v>
      </c>
      <c r="C1030">
        <v>10</v>
      </c>
      <c r="D1030" t="e">
        <f>VLOOKUP(A1030,#REF!,2,FALSE)</f>
        <v>#REF!</v>
      </c>
      <c r="E1030" t="e">
        <f t="shared" si="18"/>
        <v>#REF!</v>
      </c>
    </row>
    <row r="1031" spans="1:5">
      <c r="A1031" t="s">
        <v>5395</v>
      </c>
      <c r="B1031">
        <v>11</v>
      </c>
      <c r="C1031">
        <v>10</v>
      </c>
      <c r="D1031" t="e">
        <f>VLOOKUP(A1031,#REF!,2,FALSE)</f>
        <v>#REF!</v>
      </c>
      <c r="E1031" t="e">
        <f t="shared" si="18"/>
        <v>#REF!</v>
      </c>
    </row>
    <row r="1032" spans="1:5">
      <c r="A1032" t="s">
        <v>5399</v>
      </c>
      <c r="B1032">
        <v>11</v>
      </c>
      <c r="C1032">
        <v>9</v>
      </c>
      <c r="D1032" t="e">
        <f>VLOOKUP(A1032,#REF!,2,FALSE)</f>
        <v>#REF!</v>
      </c>
      <c r="E1032" t="e">
        <f t="shared" si="18"/>
        <v>#REF!</v>
      </c>
    </row>
    <row r="1033" spans="1:5">
      <c r="A1033" t="s">
        <v>5388</v>
      </c>
      <c r="B1033">
        <v>11</v>
      </c>
      <c r="C1033">
        <v>9</v>
      </c>
      <c r="D1033" t="e">
        <f>VLOOKUP(A1033,#REF!,2,FALSE)</f>
        <v>#REF!</v>
      </c>
      <c r="E1033" t="e">
        <f t="shared" si="18"/>
        <v>#REF!</v>
      </c>
    </row>
    <row r="1034" spans="1:5">
      <c r="A1034" t="s">
        <v>5391</v>
      </c>
      <c r="B1034">
        <v>11</v>
      </c>
      <c r="C1034">
        <v>9</v>
      </c>
      <c r="D1034" t="e">
        <f>VLOOKUP(A1034,#REF!,2,FALSE)</f>
        <v>#REF!</v>
      </c>
      <c r="E1034" t="e">
        <f t="shared" si="18"/>
        <v>#REF!</v>
      </c>
    </row>
    <row r="1035" spans="1:5">
      <c r="A1035" t="s">
        <v>5376</v>
      </c>
      <c r="B1035">
        <v>11</v>
      </c>
      <c r="C1035">
        <v>8</v>
      </c>
      <c r="D1035" t="e">
        <f>VLOOKUP(A1035,#REF!,2,FALSE)</f>
        <v>#REF!</v>
      </c>
      <c r="E1035" t="e">
        <f t="shared" si="18"/>
        <v>#REF!</v>
      </c>
    </row>
    <row r="1036" spans="1:5">
      <c r="A1036" t="s">
        <v>5396</v>
      </c>
      <c r="B1036">
        <v>11</v>
      </c>
      <c r="C1036">
        <v>8</v>
      </c>
      <c r="D1036" t="e">
        <f>VLOOKUP(A1036,#REF!,2,FALSE)</f>
        <v>#REF!</v>
      </c>
      <c r="E1036" t="e">
        <f t="shared" si="18"/>
        <v>#REF!</v>
      </c>
    </row>
    <row r="1037" spans="1:5">
      <c r="A1037" t="s">
        <v>5371</v>
      </c>
      <c r="B1037">
        <v>11</v>
      </c>
      <c r="C1037">
        <v>7</v>
      </c>
      <c r="D1037" t="e">
        <f>VLOOKUP(A1037,#REF!,2,FALSE)</f>
        <v>#REF!</v>
      </c>
      <c r="E1037" t="e">
        <f t="shared" si="18"/>
        <v>#REF!</v>
      </c>
    </row>
    <row r="1038" spans="1:5">
      <c r="A1038" t="s">
        <v>5397</v>
      </c>
      <c r="B1038">
        <v>11</v>
      </c>
      <c r="C1038">
        <v>7</v>
      </c>
      <c r="D1038" t="e">
        <f>VLOOKUP(A1038,#REF!,2,FALSE)</f>
        <v>#REF!</v>
      </c>
      <c r="E1038" t="e">
        <f t="shared" si="18"/>
        <v>#REF!</v>
      </c>
    </row>
    <row r="1039" spans="1:5">
      <c r="A1039" t="s">
        <v>5422</v>
      </c>
      <c r="B1039">
        <v>11</v>
      </c>
      <c r="C1039">
        <v>6</v>
      </c>
      <c r="D1039" t="e">
        <f>VLOOKUP(A1039,#REF!,2,FALSE)</f>
        <v>#REF!</v>
      </c>
      <c r="E1039" t="e">
        <f t="shared" si="18"/>
        <v>#REF!</v>
      </c>
    </row>
    <row r="1040" spans="1:5">
      <c r="A1040" t="s">
        <v>5394</v>
      </c>
      <c r="B1040">
        <v>11</v>
      </c>
      <c r="C1040">
        <v>5</v>
      </c>
      <c r="D1040" t="e">
        <f>VLOOKUP(A1040,#REF!,2,FALSE)</f>
        <v>#REF!</v>
      </c>
      <c r="E1040" t="e">
        <f t="shared" si="18"/>
        <v>#REF!</v>
      </c>
    </row>
    <row r="1041" spans="1:5">
      <c r="A1041" t="s">
        <v>5387</v>
      </c>
      <c r="B1041">
        <v>11</v>
      </c>
      <c r="C1041">
        <v>5</v>
      </c>
      <c r="D1041" t="e">
        <f>VLOOKUP(A1041,#REF!,2,FALSE)</f>
        <v>#REF!</v>
      </c>
      <c r="E1041" t="e">
        <f t="shared" si="18"/>
        <v>#REF!</v>
      </c>
    </row>
    <row r="1042" spans="1:5">
      <c r="A1042" t="s">
        <v>5370</v>
      </c>
      <c r="B1042">
        <v>11</v>
      </c>
      <c r="C1042">
        <v>4</v>
      </c>
      <c r="D1042" t="e">
        <f>VLOOKUP(A1042,#REF!,2,FALSE)</f>
        <v>#REF!</v>
      </c>
      <c r="E1042" t="e">
        <f t="shared" si="18"/>
        <v>#REF!</v>
      </c>
    </row>
    <row r="1043" spans="1:5">
      <c r="A1043" t="s">
        <v>5384</v>
      </c>
      <c r="B1043">
        <v>11</v>
      </c>
      <c r="C1043">
        <v>4</v>
      </c>
      <c r="D1043" t="e">
        <f>VLOOKUP(A1043,#REF!,2,FALSE)</f>
        <v>#REF!</v>
      </c>
      <c r="E1043" t="e">
        <f t="shared" si="18"/>
        <v>#REF!</v>
      </c>
    </row>
    <row r="1044" spans="1:5">
      <c r="A1044" t="s">
        <v>5385</v>
      </c>
      <c r="B1044">
        <v>11</v>
      </c>
      <c r="C1044">
        <v>4</v>
      </c>
      <c r="D1044" t="e">
        <f>VLOOKUP(A1044,#REF!,2,FALSE)</f>
        <v>#REF!</v>
      </c>
      <c r="E1044" t="e">
        <f t="shared" si="18"/>
        <v>#REF!</v>
      </c>
    </row>
    <row r="1045" spans="1:5">
      <c r="A1045" t="s">
        <v>5400</v>
      </c>
      <c r="B1045">
        <v>11</v>
      </c>
      <c r="C1045">
        <v>3</v>
      </c>
      <c r="D1045" t="e">
        <f>VLOOKUP(A1045,#REF!,2,FALSE)</f>
        <v>#REF!</v>
      </c>
      <c r="E1045" t="e">
        <f t="shared" si="18"/>
        <v>#REF!</v>
      </c>
    </row>
    <row r="1046" spans="1:5">
      <c r="A1046" t="s">
        <v>5423</v>
      </c>
      <c r="B1046">
        <v>11</v>
      </c>
      <c r="C1046">
        <v>3</v>
      </c>
      <c r="D1046" t="e">
        <f>VLOOKUP(A1046,#REF!,2,FALSE)</f>
        <v>#REF!</v>
      </c>
      <c r="E1046" t="e">
        <f t="shared" si="18"/>
        <v>#REF!</v>
      </c>
    </row>
    <row r="1047" spans="1:5">
      <c r="A1047" t="s">
        <v>5407</v>
      </c>
      <c r="B1047">
        <v>11</v>
      </c>
      <c r="C1047">
        <v>3</v>
      </c>
      <c r="D1047" t="e">
        <f>VLOOKUP(A1047,#REF!,2,FALSE)</f>
        <v>#REF!</v>
      </c>
      <c r="E1047" t="e">
        <f t="shared" si="18"/>
        <v>#REF!</v>
      </c>
    </row>
    <row r="1048" spans="1:5">
      <c r="A1048" t="s">
        <v>5412</v>
      </c>
      <c r="B1048">
        <v>11</v>
      </c>
      <c r="C1048">
        <v>3</v>
      </c>
      <c r="D1048" t="e">
        <f>VLOOKUP(A1048,#REF!,2,FALSE)</f>
        <v>#REF!</v>
      </c>
      <c r="E1048" t="e">
        <f t="shared" si="18"/>
        <v>#REF!</v>
      </c>
    </row>
    <row r="1049" spans="1:5">
      <c r="A1049" t="s">
        <v>5389</v>
      </c>
      <c r="B1049">
        <v>11</v>
      </c>
      <c r="C1049">
        <v>2</v>
      </c>
      <c r="D1049" t="e">
        <f>VLOOKUP(A1049,#REF!,2,FALSE)</f>
        <v>#REF!</v>
      </c>
      <c r="E1049" t="e">
        <f t="shared" si="18"/>
        <v>#REF!</v>
      </c>
    </row>
    <row r="1050" spans="1:5">
      <c r="A1050" t="s">
        <v>5421</v>
      </c>
      <c r="B1050">
        <v>11</v>
      </c>
      <c r="C1050">
        <v>2</v>
      </c>
      <c r="D1050" t="e">
        <f>VLOOKUP(A1050,#REF!,2,FALSE)</f>
        <v>#REF!</v>
      </c>
      <c r="E1050" t="e">
        <f t="shared" si="18"/>
        <v>#REF!</v>
      </c>
    </row>
    <row r="1051" spans="1:5">
      <c r="A1051" t="s">
        <v>5402</v>
      </c>
      <c r="B1051">
        <v>11</v>
      </c>
      <c r="C1051">
        <v>2</v>
      </c>
      <c r="D1051" t="e">
        <f>VLOOKUP(A1051,#REF!,2,FALSE)</f>
        <v>#REF!</v>
      </c>
      <c r="E1051" t="e">
        <f t="shared" si="18"/>
        <v>#REF!</v>
      </c>
    </row>
    <row r="1052" spans="1:5">
      <c r="A1052" t="s">
        <v>5415</v>
      </c>
      <c r="B1052">
        <v>11</v>
      </c>
      <c r="C1052">
        <v>2</v>
      </c>
      <c r="D1052" t="e">
        <f>VLOOKUP(A1052,#REF!,2,FALSE)</f>
        <v>#REF!</v>
      </c>
      <c r="E1052" t="e">
        <f t="shared" si="18"/>
        <v>#REF!</v>
      </c>
    </row>
    <row r="1053" spans="1:5">
      <c r="A1053" t="s">
        <v>5427</v>
      </c>
      <c r="B1053">
        <v>11</v>
      </c>
      <c r="C1053">
        <v>2</v>
      </c>
      <c r="D1053" t="e">
        <f>VLOOKUP(A1053,#REF!,2,FALSE)</f>
        <v>#REF!</v>
      </c>
      <c r="E1053" t="e">
        <f t="shared" si="18"/>
        <v>#REF!</v>
      </c>
    </row>
    <row r="1054" spans="1:5">
      <c r="A1054" t="s">
        <v>5411</v>
      </c>
      <c r="B1054">
        <v>11</v>
      </c>
      <c r="C1054">
        <v>2</v>
      </c>
      <c r="D1054" t="e">
        <f>VLOOKUP(A1054,#REF!,2,FALSE)</f>
        <v>#REF!</v>
      </c>
      <c r="E1054" t="e">
        <f t="shared" si="18"/>
        <v>#REF!</v>
      </c>
    </row>
    <row r="1055" spans="1:5">
      <c r="A1055" t="s">
        <v>5418</v>
      </c>
      <c r="B1055">
        <v>11</v>
      </c>
      <c r="C1055">
        <v>1</v>
      </c>
      <c r="D1055" t="e">
        <f>VLOOKUP(A1055,#REF!,2,FALSE)</f>
        <v>#REF!</v>
      </c>
      <c r="E1055" t="e">
        <f t="shared" si="18"/>
        <v>#REF!</v>
      </c>
    </row>
    <row r="1056" spans="1:5">
      <c r="A1056" t="s">
        <v>5420</v>
      </c>
      <c r="B1056">
        <v>11</v>
      </c>
      <c r="C1056">
        <v>1</v>
      </c>
      <c r="D1056" t="e">
        <f>VLOOKUP(A1056,#REF!,2,FALSE)</f>
        <v>#REF!</v>
      </c>
      <c r="E1056" t="e">
        <f t="shared" si="18"/>
        <v>#REF!</v>
      </c>
    </row>
    <row r="1057" spans="1:5">
      <c r="A1057" t="s">
        <v>5320</v>
      </c>
      <c r="B1057">
        <v>12</v>
      </c>
      <c r="C1057">
        <v>8602</v>
      </c>
      <c r="D1057" t="e">
        <f>VLOOKUP(A1057,#REF!,2,FALSE)</f>
        <v>#REF!</v>
      </c>
      <c r="E1057" t="e">
        <f t="shared" si="18"/>
        <v>#REF!</v>
      </c>
    </row>
    <row r="1058" spans="1:5">
      <c r="A1058" t="s">
        <v>5321</v>
      </c>
      <c r="B1058">
        <v>12</v>
      </c>
      <c r="C1058">
        <v>7414</v>
      </c>
      <c r="D1058" t="e">
        <f>VLOOKUP(A1058,#REF!,2,FALSE)</f>
        <v>#REF!</v>
      </c>
      <c r="E1058" t="e">
        <f t="shared" si="18"/>
        <v>#REF!</v>
      </c>
    </row>
    <row r="1059" spans="1:5">
      <c r="A1059" t="s">
        <v>1408</v>
      </c>
      <c r="B1059">
        <v>12</v>
      </c>
      <c r="C1059">
        <v>5354</v>
      </c>
      <c r="D1059" t="e">
        <f>VLOOKUP(A1059,#REF!,2,FALSE)</f>
        <v>#REF!</v>
      </c>
      <c r="E1059" t="e">
        <f t="shared" si="18"/>
        <v>#REF!</v>
      </c>
    </row>
    <row r="1060" spans="1:5">
      <c r="A1060" t="s">
        <v>5323</v>
      </c>
      <c r="B1060">
        <v>12</v>
      </c>
      <c r="C1060">
        <v>2804</v>
      </c>
      <c r="D1060" t="e">
        <f>VLOOKUP(A1060,#REF!,2,FALSE)</f>
        <v>#REF!</v>
      </c>
      <c r="E1060" t="e">
        <f t="shared" si="18"/>
        <v>#REF!</v>
      </c>
    </row>
    <row r="1061" spans="1:5">
      <c r="A1061" t="s">
        <v>5317</v>
      </c>
      <c r="B1061">
        <v>12</v>
      </c>
      <c r="C1061">
        <v>2434</v>
      </c>
      <c r="D1061" t="e">
        <f>VLOOKUP(A1061,#REF!,2,FALSE)</f>
        <v>#REF!</v>
      </c>
      <c r="E1061" t="e">
        <f t="shared" si="18"/>
        <v>#REF!</v>
      </c>
    </row>
    <row r="1062" spans="1:5">
      <c r="A1062" t="s">
        <v>5328</v>
      </c>
      <c r="B1062">
        <v>12</v>
      </c>
      <c r="C1062">
        <v>2325</v>
      </c>
      <c r="D1062" t="e">
        <f>VLOOKUP(A1062,#REF!,2,FALSE)</f>
        <v>#REF!</v>
      </c>
      <c r="E1062" t="e">
        <f t="shared" si="18"/>
        <v>#REF!</v>
      </c>
    </row>
    <row r="1063" spans="1:5">
      <c r="A1063" t="s">
        <v>5326</v>
      </c>
      <c r="B1063">
        <v>12</v>
      </c>
      <c r="C1063">
        <v>2074</v>
      </c>
      <c r="D1063" t="e">
        <f>VLOOKUP(A1063,#REF!,2,FALSE)</f>
        <v>#REF!</v>
      </c>
      <c r="E1063" t="e">
        <f t="shared" si="18"/>
        <v>#REF!</v>
      </c>
    </row>
    <row r="1064" spans="1:5">
      <c r="A1064" t="s">
        <v>5333</v>
      </c>
      <c r="B1064">
        <v>12</v>
      </c>
      <c r="C1064">
        <v>2065</v>
      </c>
      <c r="D1064" t="e">
        <f>VLOOKUP(A1064,#REF!,2,FALSE)</f>
        <v>#REF!</v>
      </c>
      <c r="E1064" t="e">
        <f t="shared" si="18"/>
        <v>#REF!</v>
      </c>
    </row>
    <row r="1065" spans="1:5">
      <c r="A1065" t="s">
        <v>5319</v>
      </c>
      <c r="B1065">
        <v>12</v>
      </c>
      <c r="C1065">
        <v>1897</v>
      </c>
      <c r="D1065" t="e">
        <f>VLOOKUP(A1065,#REF!,2,FALSE)</f>
        <v>#REF!</v>
      </c>
      <c r="E1065" t="e">
        <f t="shared" si="18"/>
        <v>#REF!</v>
      </c>
    </row>
    <row r="1066" spans="1:5">
      <c r="A1066" t="s">
        <v>5334</v>
      </c>
      <c r="B1066">
        <v>12</v>
      </c>
      <c r="C1066">
        <v>1574</v>
      </c>
      <c r="D1066" t="e">
        <f>VLOOKUP(A1066,#REF!,2,FALSE)</f>
        <v>#REF!</v>
      </c>
      <c r="E1066" t="e">
        <f t="shared" si="18"/>
        <v>#REF!</v>
      </c>
    </row>
    <row r="1067" spans="1:5">
      <c r="A1067" t="s">
        <v>5336</v>
      </c>
      <c r="B1067">
        <v>12</v>
      </c>
      <c r="C1067">
        <v>1350</v>
      </c>
      <c r="D1067" t="e">
        <f>VLOOKUP(A1067,#REF!,2,FALSE)</f>
        <v>#REF!</v>
      </c>
      <c r="E1067" t="e">
        <f t="shared" si="18"/>
        <v>#REF!</v>
      </c>
    </row>
    <row r="1068" spans="1:5">
      <c r="A1068" t="s">
        <v>5318</v>
      </c>
      <c r="B1068">
        <v>12</v>
      </c>
      <c r="C1068">
        <v>1333</v>
      </c>
      <c r="D1068" t="e">
        <f>VLOOKUP(A1068,#REF!,2,FALSE)</f>
        <v>#REF!</v>
      </c>
      <c r="E1068" t="e">
        <f t="shared" si="18"/>
        <v>#REF!</v>
      </c>
    </row>
    <row r="1069" spans="1:5">
      <c r="A1069" t="s">
        <v>5322</v>
      </c>
      <c r="B1069">
        <v>12</v>
      </c>
      <c r="C1069">
        <v>1249</v>
      </c>
      <c r="D1069" t="e">
        <f>VLOOKUP(A1069,#REF!,2,FALSE)</f>
        <v>#REF!</v>
      </c>
      <c r="E1069" t="e">
        <f t="shared" si="18"/>
        <v>#REF!</v>
      </c>
    </row>
    <row r="1070" spans="1:5">
      <c r="A1070" t="s">
        <v>5325</v>
      </c>
      <c r="B1070">
        <v>12</v>
      </c>
      <c r="C1070">
        <v>1213</v>
      </c>
      <c r="D1070" t="e">
        <f>VLOOKUP(A1070,#REF!,2,FALSE)</f>
        <v>#REF!</v>
      </c>
      <c r="E1070" t="e">
        <f t="shared" si="18"/>
        <v>#REF!</v>
      </c>
    </row>
    <row r="1071" spans="1:5">
      <c r="A1071" t="s">
        <v>5335</v>
      </c>
      <c r="B1071">
        <v>12</v>
      </c>
      <c r="C1071">
        <v>1067</v>
      </c>
      <c r="D1071" t="e">
        <f>VLOOKUP(A1071,#REF!,2,FALSE)</f>
        <v>#REF!</v>
      </c>
      <c r="E1071" t="e">
        <f t="shared" si="18"/>
        <v>#REF!</v>
      </c>
    </row>
    <row r="1072" spans="1:5">
      <c r="A1072" t="s">
        <v>5316</v>
      </c>
      <c r="B1072">
        <v>12</v>
      </c>
      <c r="C1072">
        <v>1047</v>
      </c>
      <c r="D1072" t="e">
        <f>VLOOKUP(A1072,#REF!,2,FALSE)</f>
        <v>#REF!</v>
      </c>
      <c r="E1072" t="e">
        <f t="shared" si="18"/>
        <v>#REF!</v>
      </c>
    </row>
    <row r="1073" spans="1:5">
      <c r="A1073" t="s">
        <v>5341</v>
      </c>
      <c r="B1073">
        <v>12</v>
      </c>
      <c r="C1073">
        <v>852</v>
      </c>
      <c r="D1073" t="e">
        <f>VLOOKUP(A1073,#REF!,2,FALSE)</f>
        <v>#REF!</v>
      </c>
      <c r="E1073" t="e">
        <f t="shared" si="18"/>
        <v>#REF!</v>
      </c>
    </row>
    <row r="1074" spans="1:5">
      <c r="A1074" t="s">
        <v>5339</v>
      </c>
      <c r="B1074">
        <v>12</v>
      </c>
      <c r="C1074">
        <v>802</v>
      </c>
      <c r="D1074" t="e">
        <f>VLOOKUP(A1074,#REF!,2,FALSE)</f>
        <v>#REF!</v>
      </c>
      <c r="E1074" t="e">
        <f t="shared" si="18"/>
        <v>#REF!</v>
      </c>
    </row>
    <row r="1075" spans="1:5">
      <c r="A1075" t="s">
        <v>5337</v>
      </c>
      <c r="B1075">
        <v>12</v>
      </c>
      <c r="C1075">
        <v>737</v>
      </c>
      <c r="D1075" t="e">
        <f>VLOOKUP(A1075,#REF!,2,FALSE)</f>
        <v>#REF!</v>
      </c>
      <c r="E1075" t="e">
        <f t="shared" si="18"/>
        <v>#REF!</v>
      </c>
    </row>
    <row r="1076" spans="1:5">
      <c r="A1076" t="s">
        <v>5343</v>
      </c>
      <c r="B1076">
        <v>12</v>
      </c>
      <c r="C1076">
        <v>621</v>
      </c>
      <c r="D1076" t="e">
        <f>VLOOKUP(A1076,#REF!,2,FALSE)</f>
        <v>#REF!</v>
      </c>
      <c r="E1076" t="e">
        <f t="shared" si="18"/>
        <v>#REF!</v>
      </c>
    </row>
    <row r="1077" spans="1:5">
      <c r="A1077" t="s">
        <v>5340</v>
      </c>
      <c r="B1077">
        <v>12</v>
      </c>
      <c r="C1077">
        <v>600</v>
      </c>
      <c r="D1077" t="e">
        <f>VLOOKUP(A1077,#REF!,2,FALSE)</f>
        <v>#REF!</v>
      </c>
      <c r="E1077" t="e">
        <f t="shared" si="18"/>
        <v>#REF!</v>
      </c>
    </row>
    <row r="1078" spans="1:5">
      <c r="A1078" t="s">
        <v>5345</v>
      </c>
      <c r="B1078">
        <v>12</v>
      </c>
      <c r="C1078">
        <v>520</v>
      </c>
      <c r="D1078" t="e">
        <f>VLOOKUP(A1078,#REF!,2,FALSE)</f>
        <v>#REF!</v>
      </c>
      <c r="E1078" t="e">
        <f t="shared" si="18"/>
        <v>#REF!</v>
      </c>
    </row>
    <row r="1079" spans="1:5">
      <c r="A1079" t="s">
        <v>5342</v>
      </c>
      <c r="B1079">
        <v>12</v>
      </c>
      <c r="C1079">
        <v>504</v>
      </c>
      <c r="D1079" t="e">
        <f>VLOOKUP(A1079,#REF!,2,FALSE)</f>
        <v>#REF!</v>
      </c>
      <c r="E1079" t="e">
        <f t="shared" si="18"/>
        <v>#REF!</v>
      </c>
    </row>
    <row r="1080" spans="1:5">
      <c r="A1080" t="s">
        <v>5346</v>
      </c>
      <c r="B1080">
        <v>12</v>
      </c>
      <c r="C1080">
        <v>495</v>
      </c>
      <c r="D1080" t="e">
        <f>VLOOKUP(A1080,#REF!,2,FALSE)</f>
        <v>#REF!</v>
      </c>
      <c r="E1080" t="e">
        <f t="shared" si="18"/>
        <v>#REF!</v>
      </c>
    </row>
    <row r="1081" spans="1:5">
      <c r="A1081" t="s">
        <v>5349</v>
      </c>
      <c r="B1081">
        <v>12</v>
      </c>
      <c r="C1081">
        <v>464</v>
      </c>
      <c r="D1081" t="e">
        <f>VLOOKUP(A1081,#REF!,2,FALSE)</f>
        <v>#REF!</v>
      </c>
      <c r="E1081" t="e">
        <f t="shared" si="18"/>
        <v>#REF!</v>
      </c>
    </row>
    <row r="1082" spans="1:5">
      <c r="A1082" t="s">
        <v>5344</v>
      </c>
      <c r="B1082">
        <v>12</v>
      </c>
      <c r="C1082">
        <v>438</v>
      </c>
      <c r="D1082" t="e">
        <f>VLOOKUP(A1082,#REF!,2,FALSE)</f>
        <v>#REF!</v>
      </c>
      <c r="E1082" t="e">
        <f t="shared" si="18"/>
        <v>#REF!</v>
      </c>
    </row>
    <row r="1083" spans="1:5">
      <c r="A1083" t="s">
        <v>5351</v>
      </c>
      <c r="B1083">
        <v>12</v>
      </c>
      <c r="C1083">
        <v>415</v>
      </c>
      <c r="D1083" t="e">
        <f>VLOOKUP(A1083,#REF!,2,FALSE)</f>
        <v>#REF!</v>
      </c>
      <c r="E1083" t="e">
        <f t="shared" si="18"/>
        <v>#REF!</v>
      </c>
    </row>
    <row r="1084" spans="1:5">
      <c r="A1084" t="s">
        <v>5327</v>
      </c>
      <c r="B1084">
        <v>12</v>
      </c>
      <c r="C1084">
        <v>366</v>
      </c>
      <c r="D1084" t="e">
        <f>VLOOKUP(A1084,#REF!,2,FALSE)</f>
        <v>#REF!</v>
      </c>
      <c r="E1084" t="e">
        <f t="shared" si="18"/>
        <v>#REF!</v>
      </c>
    </row>
    <row r="1085" spans="1:5">
      <c r="A1085" t="s">
        <v>5353</v>
      </c>
      <c r="B1085">
        <v>12</v>
      </c>
      <c r="C1085">
        <v>362</v>
      </c>
      <c r="D1085" t="e">
        <f>VLOOKUP(A1085,#REF!,2,FALSE)</f>
        <v>#REF!</v>
      </c>
      <c r="E1085" t="e">
        <f t="shared" si="18"/>
        <v>#REF!</v>
      </c>
    </row>
    <row r="1086" spans="1:5">
      <c r="A1086" t="s">
        <v>5350</v>
      </c>
      <c r="B1086">
        <v>12</v>
      </c>
      <c r="C1086">
        <v>355</v>
      </c>
      <c r="D1086" t="e">
        <f>VLOOKUP(A1086,#REF!,2,FALSE)</f>
        <v>#REF!</v>
      </c>
      <c r="E1086" t="e">
        <f t="shared" si="18"/>
        <v>#REF!</v>
      </c>
    </row>
    <row r="1087" spans="1:5">
      <c r="A1087" t="s">
        <v>5329</v>
      </c>
      <c r="B1087">
        <v>12</v>
      </c>
      <c r="C1087">
        <v>353</v>
      </c>
      <c r="D1087" t="e">
        <f>VLOOKUP(A1087,#REF!,2,FALSE)</f>
        <v>#REF!</v>
      </c>
      <c r="E1087" t="e">
        <f t="shared" si="18"/>
        <v>#REF!</v>
      </c>
    </row>
    <row r="1088" spans="1:5">
      <c r="A1088" t="s">
        <v>5355</v>
      </c>
      <c r="B1088">
        <v>12</v>
      </c>
      <c r="C1088">
        <v>347</v>
      </c>
      <c r="D1088" t="e">
        <f>VLOOKUP(A1088,#REF!,2,FALSE)</f>
        <v>#REF!</v>
      </c>
      <c r="E1088" t="e">
        <f t="shared" si="18"/>
        <v>#REF!</v>
      </c>
    </row>
    <row r="1089" spans="1:5">
      <c r="A1089" t="s">
        <v>5352</v>
      </c>
      <c r="B1089">
        <v>12</v>
      </c>
      <c r="C1089">
        <v>304</v>
      </c>
      <c r="D1089" t="e">
        <f>VLOOKUP(A1089,#REF!,2,FALSE)</f>
        <v>#REF!</v>
      </c>
      <c r="E1089" t="e">
        <f t="shared" si="18"/>
        <v>#REF!</v>
      </c>
    </row>
    <row r="1090" spans="1:5">
      <c r="A1090" t="s">
        <v>5324</v>
      </c>
      <c r="B1090">
        <v>12</v>
      </c>
      <c r="C1090">
        <v>302</v>
      </c>
      <c r="D1090" t="e">
        <f>VLOOKUP(A1090,#REF!,2,FALSE)</f>
        <v>#REF!</v>
      </c>
      <c r="E1090" t="e">
        <f t="shared" si="18"/>
        <v>#REF!</v>
      </c>
    </row>
    <row r="1091" spans="1:5">
      <c r="A1091" t="s">
        <v>5356</v>
      </c>
      <c r="B1091">
        <v>12</v>
      </c>
      <c r="C1091">
        <v>300</v>
      </c>
      <c r="D1091" t="e">
        <f>VLOOKUP(A1091,#REF!,2,FALSE)</f>
        <v>#REF!</v>
      </c>
      <c r="E1091" t="e">
        <f t="shared" ref="E1091:E1154" si="19">C1091/D1091</f>
        <v>#REF!</v>
      </c>
    </row>
    <row r="1092" spans="1:5">
      <c r="A1092" t="s">
        <v>5348</v>
      </c>
      <c r="B1092">
        <v>12</v>
      </c>
      <c r="C1092">
        <v>189</v>
      </c>
      <c r="D1092" t="e">
        <f>VLOOKUP(A1092,#REF!,2,FALSE)</f>
        <v>#REF!</v>
      </c>
      <c r="E1092" t="e">
        <f t="shared" si="19"/>
        <v>#REF!</v>
      </c>
    </row>
    <row r="1093" spans="1:5">
      <c r="A1093" t="s">
        <v>5358</v>
      </c>
      <c r="B1093">
        <v>12</v>
      </c>
      <c r="C1093">
        <v>176</v>
      </c>
      <c r="D1093" t="e">
        <f>VLOOKUP(A1093,#REF!,2,FALSE)</f>
        <v>#REF!</v>
      </c>
      <c r="E1093" t="e">
        <f t="shared" si="19"/>
        <v>#REF!</v>
      </c>
    </row>
    <row r="1094" spans="1:5">
      <c r="A1094" t="s">
        <v>5373</v>
      </c>
      <c r="B1094">
        <v>12</v>
      </c>
      <c r="C1094">
        <v>158</v>
      </c>
      <c r="D1094" t="e">
        <f>VLOOKUP(A1094,#REF!,2,FALSE)</f>
        <v>#REF!</v>
      </c>
      <c r="E1094" t="e">
        <f t="shared" si="19"/>
        <v>#REF!</v>
      </c>
    </row>
    <row r="1095" spans="1:5">
      <c r="A1095" t="s">
        <v>5298</v>
      </c>
      <c r="B1095">
        <v>12</v>
      </c>
      <c r="C1095">
        <v>157</v>
      </c>
      <c r="D1095" t="e">
        <f>VLOOKUP(A1095,#REF!,2,FALSE)</f>
        <v>#REF!</v>
      </c>
      <c r="E1095" t="e">
        <f t="shared" si="19"/>
        <v>#REF!</v>
      </c>
    </row>
    <row r="1096" spans="1:5">
      <c r="A1096" t="s">
        <v>5377</v>
      </c>
      <c r="B1096">
        <v>12</v>
      </c>
      <c r="C1096">
        <v>155</v>
      </c>
      <c r="D1096" t="e">
        <f>VLOOKUP(A1096,#REF!,2,FALSE)</f>
        <v>#REF!</v>
      </c>
      <c r="E1096" t="e">
        <f t="shared" si="19"/>
        <v>#REF!</v>
      </c>
    </row>
    <row r="1097" spans="1:5">
      <c r="A1097" t="s">
        <v>5359</v>
      </c>
      <c r="B1097">
        <v>12</v>
      </c>
      <c r="C1097">
        <v>140</v>
      </c>
      <c r="D1097" t="e">
        <f>VLOOKUP(A1097,#REF!,2,FALSE)</f>
        <v>#REF!</v>
      </c>
      <c r="E1097" t="e">
        <f t="shared" si="19"/>
        <v>#REF!</v>
      </c>
    </row>
    <row r="1098" spans="1:5">
      <c r="A1098" t="s">
        <v>5338</v>
      </c>
      <c r="B1098">
        <v>12</v>
      </c>
      <c r="C1098">
        <v>139</v>
      </c>
      <c r="D1098" t="e">
        <f>VLOOKUP(A1098,#REF!,2,FALSE)</f>
        <v>#REF!</v>
      </c>
      <c r="E1098" t="e">
        <f t="shared" si="19"/>
        <v>#REF!</v>
      </c>
    </row>
    <row r="1099" spans="1:5">
      <c r="A1099" t="s">
        <v>5367</v>
      </c>
      <c r="B1099">
        <v>12</v>
      </c>
      <c r="C1099">
        <v>128</v>
      </c>
      <c r="D1099" t="e">
        <f>VLOOKUP(A1099,#REF!,2,FALSE)</f>
        <v>#REF!</v>
      </c>
      <c r="E1099" t="e">
        <f t="shared" si="19"/>
        <v>#REF!</v>
      </c>
    </row>
    <row r="1100" spans="1:5">
      <c r="A1100" t="s">
        <v>5365</v>
      </c>
      <c r="B1100">
        <v>12</v>
      </c>
      <c r="C1100">
        <v>125</v>
      </c>
      <c r="D1100" t="e">
        <f>VLOOKUP(A1100,#REF!,2,FALSE)</f>
        <v>#REF!</v>
      </c>
      <c r="E1100" t="e">
        <f t="shared" si="19"/>
        <v>#REF!</v>
      </c>
    </row>
    <row r="1101" spans="1:5">
      <c r="A1101" t="s">
        <v>5347</v>
      </c>
      <c r="B1101">
        <v>12</v>
      </c>
      <c r="C1101">
        <v>119</v>
      </c>
      <c r="D1101" t="e">
        <f>VLOOKUP(A1101,#REF!,2,FALSE)</f>
        <v>#REF!</v>
      </c>
      <c r="E1101" t="e">
        <f t="shared" si="19"/>
        <v>#REF!</v>
      </c>
    </row>
    <row r="1102" spans="1:5">
      <c r="A1102" t="s">
        <v>5363</v>
      </c>
      <c r="B1102">
        <v>12</v>
      </c>
      <c r="C1102">
        <v>113</v>
      </c>
      <c r="D1102" t="e">
        <f>VLOOKUP(A1102,#REF!,2,FALSE)</f>
        <v>#REF!</v>
      </c>
      <c r="E1102" t="e">
        <f t="shared" si="19"/>
        <v>#REF!</v>
      </c>
    </row>
    <row r="1103" spans="1:5">
      <c r="A1103" t="s">
        <v>5354</v>
      </c>
      <c r="B1103">
        <v>12</v>
      </c>
      <c r="C1103">
        <v>87</v>
      </c>
      <c r="D1103" t="e">
        <f>VLOOKUP(A1103,#REF!,2,FALSE)</f>
        <v>#REF!</v>
      </c>
      <c r="E1103" t="e">
        <f t="shared" si="19"/>
        <v>#REF!</v>
      </c>
    </row>
    <row r="1104" spans="1:5">
      <c r="A1104" t="s">
        <v>5369</v>
      </c>
      <c r="B1104">
        <v>12</v>
      </c>
      <c r="C1104">
        <v>77</v>
      </c>
      <c r="D1104" t="e">
        <f>VLOOKUP(A1104,#REF!,2,FALSE)</f>
        <v>#REF!</v>
      </c>
      <c r="E1104" t="e">
        <f t="shared" si="19"/>
        <v>#REF!</v>
      </c>
    </row>
    <row r="1105" spans="1:5">
      <c r="A1105" t="s">
        <v>5364</v>
      </c>
      <c r="B1105">
        <v>12</v>
      </c>
      <c r="C1105">
        <v>59</v>
      </c>
      <c r="D1105" t="e">
        <f>VLOOKUP(A1105,#REF!,2,FALSE)</f>
        <v>#REF!</v>
      </c>
      <c r="E1105" t="e">
        <f t="shared" si="19"/>
        <v>#REF!</v>
      </c>
    </row>
    <row r="1106" spans="1:5">
      <c r="A1106" t="s">
        <v>5366</v>
      </c>
      <c r="B1106">
        <v>12</v>
      </c>
      <c r="C1106">
        <v>57</v>
      </c>
      <c r="D1106" t="e">
        <f>VLOOKUP(A1106,#REF!,2,FALSE)</f>
        <v>#REF!</v>
      </c>
      <c r="E1106" t="e">
        <f t="shared" si="19"/>
        <v>#REF!</v>
      </c>
    </row>
    <row r="1107" spans="1:5">
      <c r="A1107" t="s">
        <v>5382</v>
      </c>
      <c r="B1107">
        <v>12</v>
      </c>
      <c r="C1107">
        <v>54</v>
      </c>
      <c r="D1107" t="e">
        <f>VLOOKUP(A1107,#REF!,2,FALSE)</f>
        <v>#REF!</v>
      </c>
      <c r="E1107" t="e">
        <f t="shared" si="19"/>
        <v>#REF!</v>
      </c>
    </row>
    <row r="1108" spans="1:5">
      <c r="A1108" t="s">
        <v>5378</v>
      </c>
      <c r="B1108">
        <v>12</v>
      </c>
      <c r="C1108">
        <v>51</v>
      </c>
      <c r="D1108" t="e">
        <f>VLOOKUP(A1108,#REF!,2,FALSE)</f>
        <v>#REF!</v>
      </c>
      <c r="E1108" t="e">
        <f t="shared" si="19"/>
        <v>#REF!</v>
      </c>
    </row>
    <row r="1109" spans="1:5">
      <c r="A1109" t="s">
        <v>5360</v>
      </c>
      <c r="B1109">
        <v>12</v>
      </c>
      <c r="C1109">
        <v>38</v>
      </c>
      <c r="D1109" t="e">
        <f>VLOOKUP(A1109,#REF!,2,FALSE)</f>
        <v>#REF!</v>
      </c>
      <c r="E1109" t="e">
        <f t="shared" si="19"/>
        <v>#REF!</v>
      </c>
    </row>
    <row r="1110" spans="1:5">
      <c r="A1110" t="s">
        <v>5390</v>
      </c>
      <c r="B1110">
        <v>12</v>
      </c>
      <c r="C1110">
        <v>36</v>
      </c>
      <c r="D1110" t="e">
        <f>VLOOKUP(A1110,#REF!,2,FALSE)</f>
        <v>#REF!</v>
      </c>
      <c r="E1110" t="e">
        <f t="shared" si="19"/>
        <v>#REF!</v>
      </c>
    </row>
    <row r="1111" spans="1:5">
      <c r="A1111" t="s">
        <v>5398</v>
      </c>
      <c r="B1111">
        <v>12</v>
      </c>
      <c r="C1111">
        <v>36</v>
      </c>
      <c r="D1111" t="e">
        <f>VLOOKUP(A1111,#REF!,2,FALSE)</f>
        <v>#REF!</v>
      </c>
      <c r="E1111" t="e">
        <f t="shared" si="19"/>
        <v>#REF!</v>
      </c>
    </row>
    <row r="1112" spans="1:5">
      <c r="A1112" t="s">
        <v>5404</v>
      </c>
      <c r="B1112">
        <v>12</v>
      </c>
      <c r="C1112">
        <v>35</v>
      </c>
      <c r="D1112" t="e">
        <f>VLOOKUP(A1112,#REF!,2,FALSE)</f>
        <v>#REF!</v>
      </c>
      <c r="E1112" t="e">
        <f t="shared" si="19"/>
        <v>#REF!</v>
      </c>
    </row>
    <row r="1113" spans="1:5">
      <c r="A1113" t="s">
        <v>5372</v>
      </c>
      <c r="B1113">
        <v>12</v>
      </c>
      <c r="C1113">
        <v>32</v>
      </c>
      <c r="D1113" t="e">
        <f>VLOOKUP(A1113,#REF!,2,FALSE)</f>
        <v>#REF!</v>
      </c>
      <c r="E1113" t="e">
        <f t="shared" si="19"/>
        <v>#REF!</v>
      </c>
    </row>
    <row r="1114" spans="1:5">
      <c r="A1114" t="s">
        <v>5357</v>
      </c>
      <c r="B1114">
        <v>12</v>
      </c>
      <c r="C1114">
        <v>29</v>
      </c>
      <c r="D1114" t="e">
        <f>VLOOKUP(A1114,#REF!,2,FALSE)</f>
        <v>#REF!</v>
      </c>
      <c r="E1114" t="e">
        <f t="shared" si="19"/>
        <v>#REF!</v>
      </c>
    </row>
    <row r="1115" spans="1:5">
      <c r="A1115" t="s">
        <v>5399</v>
      </c>
      <c r="B1115">
        <v>12</v>
      </c>
      <c r="C1115">
        <v>27</v>
      </c>
      <c r="D1115" t="e">
        <f>VLOOKUP(A1115,#REF!,2,FALSE)</f>
        <v>#REF!</v>
      </c>
      <c r="E1115" t="e">
        <f t="shared" si="19"/>
        <v>#REF!</v>
      </c>
    </row>
    <row r="1116" spans="1:5">
      <c r="A1116" t="s">
        <v>5393</v>
      </c>
      <c r="B1116">
        <v>12</v>
      </c>
      <c r="C1116">
        <v>26</v>
      </c>
      <c r="D1116" t="e">
        <f>VLOOKUP(A1116,#REF!,2,FALSE)</f>
        <v>#REF!</v>
      </c>
      <c r="E1116" t="e">
        <f t="shared" si="19"/>
        <v>#REF!</v>
      </c>
    </row>
    <row r="1117" spans="1:5">
      <c r="A1117" t="s">
        <v>5405</v>
      </c>
      <c r="B1117">
        <v>12</v>
      </c>
      <c r="C1117">
        <v>25</v>
      </c>
      <c r="D1117" t="e">
        <f>VLOOKUP(A1117,#REF!,2,FALSE)</f>
        <v>#REF!</v>
      </c>
      <c r="E1117" t="e">
        <f t="shared" si="19"/>
        <v>#REF!</v>
      </c>
    </row>
    <row r="1118" spans="1:5">
      <c r="A1118" t="s">
        <v>5388</v>
      </c>
      <c r="B1118">
        <v>12</v>
      </c>
      <c r="C1118">
        <v>23</v>
      </c>
      <c r="D1118" t="e">
        <f>VLOOKUP(A1118,#REF!,2,FALSE)</f>
        <v>#REF!</v>
      </c>
      <c r="E1118" t="e">
        <f t="shared" si="19"/>
        <v>#REF!</v>
      </c>
    </row>
    <row r="1119" spans="1:5">
      <c r="A1119" t="s">
        <v>5368</v>
      </c>
      <c r="B1119">
        <v>12</v>
      </c>
      <c r="C1119">
        <v>22</v>
      </c>
      <c r="D1119" t="e">
        <f>VLOOKUP(A1119,#REF!,2,FALSE)</f>
        <v>#REF!</v>
      </c>
      <c r="E1119" t="e">
        <f t="shared" si="19"/>
        <v>#REF!</v>
      </c>
    </row>
    <row r="1120" spans="1:5">
      <c r="A1120" t="s">
        <v>5362</v>
      </c>
      <c r="B1120">
        <v>12</v>
      </c>
      <c r="C1120">
        <v>22</v>
      </c>
      <c r="D1120" t="e">
        <f>VLOOKUP(A1120,#REF!,2,FALSE)</f>
        <v>#REF!</v>
      </c>
      <c r="E1120" t="e">
        <f t="shared" si="19"/>
        <v>#REF!</v>
      </c>
    </row>
    <row r="1121" spans="1:5">
      <c r="A1121" t="s">
        <v>5375</v>
      </c>
      <c r="B1121">
        <v>12</v>
      </c>
      <c r="C1121">
        <v>21</v>
      </c>
      <c r="D1121" t="e">
        <f>VLOOKUP(A1121,#REF!,2,FALSE)</f>
        <v>#REF!</v>
      </c>
      <c r="E1121" t="e">
        <f t="shared" si="19"/>
        <v>#REF!</v>
      </c>
    </row>
    <row r="1122" spans="1:5">
      <c r="A1122" t="s">
        <v>5419</v>
      </c>
      <c r="B1122">
        <v>12</v>
      </c>
      <c r="C1122">
        <v>20</v>
      </c>
      <c r="D1122" t="e">
        <f>VLOOKUP(A1122,#REF!,2,FALSE)</f>
        <v>#REF!</v>
      </c>
      <c r="E1122" t="e">
        <f t="shared" si="19"/>
        <v>#REF!</v>
      </c>
    </row>
    <row r="1123" spans="1:5">
      <c r="A1123" t="s">
        <v>5392</v>
      </c>
      <c r="B1123">
        <v>12</v>
      </c>
      <c r="C1123">
        <v>19</v>
      </c>
      <c r="D1123" t="e">
        <f>VLOOKUP(A1123,#REF!,2,FALSE)</f>
        <v>#REF!</v>
      </c>
      <c r="E1123" t="e">
        <f t="shared" si="19"/>
        <v>#REF!</v>
      </c>
    </row>
    <row r="1124" spans="1:5">
      <c r="A1124" t="s">
        <v>5361</v>
      </c>
      <c r="B1124">
        <v>12</v>
      </c>
      <c r="C1124">
        <v>19</v>
      </c>
      <c r="D1124" t="e">
        <f>VLOOKUP(A1124,#REF!,2,FALSE)</f>
        <v>#REF!</v>
      </c>
      <c r="E1124" t="e">
        <f t="shared" si="19"/>
        <v>#REF!</v>
      </c>
    </row>
    <row r="1125" spans="1:5">
      <c r="A1125" t="s">
        <v>5379</v>
      </c>
      <c r="B1125">
        <v>12</v>
      </c>
      <c r="C1125">
        <v>16</v>
      </c>
      <c r="D1125" t="e">
        <f>VLOOKUP(A1125,#REF!,2,FALSE)</f>
        <v>#REF!</v>
      </c>
      <c r="E1125" t="e">
        <f t="shared" si="19"/>
        <v>#REF!</v>
      </c>
    </row>
    <row r="1126" spans="1:5">
      <c r="A1126" t="s">
        <v>5371</v>
      </c>
      <c r="B1126">
        <v>12</v>
      </c>
      <c r="C1126">
        <v>16</v>
      </c>
      <c r="D1126" t="e">
        <f>VLOOKUP(A1126,#REF!,2,FALSE)</f>
        <v>#REF!</v>
      </c>
      <c r="E1126" t="e">
        <f t="shared" si="19"/>
        <v>#REF!</v>
      </c>
    </row>
    <row r="1127" spans="1:5">
      <c r="A1127" t="s">
        <v>5380</v>
      </c>
      <c r="B1127">
        <v>12</v>
      </c>
      <c r="C1127">
        <v>16</v>
      </c>
      <c r="D1127" t="e">
        <f>VLOOKUP(A1127,#REF!,2,FALSE)</f>
        <v>#REF!</v>
      </c>
      <c r="E1127" t="e">
        <f t="shared" si="19"/>
        <v>#REF!</v>
      </c>
    </row>
    <row r="1128" spans="1:5">
      <c r="A1128" t="s">
        <v>5384</v>
      </c>
      <c r="B1128">
        <v>12</v>
      </c>
      <c r="C1128">
        <v>14</v>
      </c>
      <c r="D1128" t="e">
        <f>VLOOKUP(A1128,#REF!,2,FALSE)</f>
        <v>#REF!</v>
      </c>
      <c r="E1128" t="e">
        <f t="shared" si="19"/>
        <v>#REF!</v>
      </c>
    </row>
    <row r="1129" spans="1:5">
      <c r="A1129" t="s">
        <v>5389</v>
      </c>
      <c r="B1129">
        <v>12</v>
      </c>
      <c r="C1129">
        <v>14</v>
      </c>
      <c r="D1129" t="e">
        <f>VLOOKUP(A1129,#REF!,2,FALSE)</f>
        <v>#REF!</v>
      </c>
      <c r="E1129" t="e">
        <f t="shared" si="19"/>
        <v>#REF!</v>
      </c>
    </row>
    <row r="1130" spans="1:5">
      <c r="A1130" t="s">
        <v>5386</v>
      </c>
      <c r="B1130">
        <v>12</v>
      </c>
      <c r="C1130">
        <v>13</v>
      </c>
      <c r="D1130" t="e">
        <f>VLOOKUP(A1130,#REF!,2,FALSE)</f>
        <v>#REF!</v>
      </c>
      <c r="E1130" t="e">
        <f t="shared" si="19"/>
        <v>#REF!</v>
      </c>
    </row>
    <row r="1131" spans="1:5">
      <c r="A1131" t="s">
        <v>5383</v>
      </c>
      <c r="B1131">
        <v>12</v>
      </c>
      <c r="C1131">
        <v>12</v>
      </c>
      <c r="D1131" t="e">
        <f>VLOOKUP(A1131,#REF!,2,FALSE)</f>
        <v>#REF!</v>
      </c>
      <c r="E1131" t="e">
        <f t="shared" si="19"/>
        <v>#REF!</v>
      </c>
    </row>
    <row r="1132" spans="1:5">
      <c r="A1132" t="s">
        <v>5374</v>
      </c>
      <c r="B1132">
        <v>12</v>
      </c>
      <c r="C1132">
        <v>12</v>
      </c>
      <c r="D1132" t="e">
        <f>VLOOKUP(A1132,#REF!,2,FALSE)</f>
        <v>#REF!</v>
      </c>
      <c r="E1132" t="e">
        <f t="shared" si="19"/>
        <v>#REF!</v>
      </c>
    </row>
    <row r="1133" spans="1:5">
      <c r="A1133" t="s">
        <v>5396</v>
      </c>
      <c r="B1133">
        <v>12</v>
      </c>
      <c r="C1133">
        <v>11</v>
      </c>
      <c r="D1133" t="e">
        <f>VLOOKUP(A1133,#REF!,2,FALSE)</f>
        <v>#REF!</v>
      </c>
      <c r="E1133" t="e">
        <f t="shared" si="19"/>
        <v>#REF!</v>
      </c>
    </row>
    <row r="1134" spans="1:5">
      <c r="A1134" t="s">
        <v>5423</v>
      </c>
      <c r="B1134">
        <v>12</v>
      </c>
      <c r="C1134">
        <v>11</v>
      </c>
      <c r="D1134" t="e">
        <f>VLOOKUP(A1134,#REF!,2,FALSE)</f>
        <v>#REF!</v>
      </c>
      <c r="E1134" t="e">
        <f t="shared" si="19"/>
        <v>#REF!</v>
      </c>
    </row>
    <row r="1135" spans="1:5">
      <c r="A1135" t="s">
        <v>5376</v>
      </c>
      <c r="B1135">
        <v>12</v>
      </c>
      <c r="C1135">
        <v>11</v>
      </c>
      <c r="D1135" t="e">
        <f>VLOOKUP(A1135,#REF!,2,FALSE)</f>
        <v>#REF!</v>
      </c>
      <c r="E1135" t="e">
        <f t="shared" si="19"/>
        <v>#REF!</v>
      </c>
    </row>
    <row r="1136" spans="1:5">
      <c r="A1136" t="s">
        <v>5413</v>
      </c>
      <c r="B1136">
        <v>12</v>
      </c>
      <c r="C1136">
        <v>11</v>
      </c>
      <c r="D1136" t="e">
        <f>VLOOKUP(A1136,#REF!,2,FALSE)</f>
        <v>#REF!</v>
      </c>
      <c r="E1136" t="e">
        <f t="shared" si="19"/>
        <v>#REF!</v>
      </c>
    </row>
    <row r="1137" spans="1:5">
      <c r="A1137" t="s">
        <v>5417</v>
      </c>
      <c r="B1137">
        <v>12</v>
      </c>
      <c r="C1137">
        <v>10</v>
      </c>
      <c r="D1137" t="e">
        <f>VLOOKUP(A1137,#REF!,2,FALSE)</f>
        <v>#REF!</v>
      </c>
      <c r="E1137" t="e">
        <f t="shared" si="19"/>
        <v>#REF!</v>
      </c>
    </row>
    <row r="1138" spans="1:5">
      <c r="A1138" t="s">
        <v>5395</v>
      </c>
      <c r="B1138">
        <v>12</v>
      </c>
      <c r="C1138">
        <v>10</v>
      </c>
      <c r="D1138" t="e">
        <f>VLOOKUP(A1138,#REF!,2,FALSE)</f>
        <v>#REF!</v>
      </c>
      <c r="E1138" t="e">
        <f t="shared" si="19"/>
        <v>#REF!</v>
      </c>
    </row>
    <row r="1139" spans="1:5">
      <c r="A1139" t="s">
        <v>5426</v>
      </c>
      <c r="B1139">
        <v>12</v>
      </c>
      <c r="C1139">
        <v>9</v>
      </c>
      <c r="D1139" t="e">
        <f>VLOOKUP(A1139,#REF!,2,FALSE)</f>
        <v>#REF!</v>
      </c>
      <c r="E1139" t="e">
        <f t="shared" si="19"/>
        <v>#REF!</v>
      </c>
    </row>
    <row r="1140" spans="1:5">
      <c r="A1140" t="s">
        <v>5397</v>
      </c>
      <c r="B1140">
        <v>12</v>
      </c>
      <c r="C1140">
        <v>9</v>
      </c>
      <c r="D1140" t="e">
        <f>VLOOKUP(A1140,#REF!,2,FALSE)</f>
        <v>#REF!</v>
      </c>
      <c r="E1140" t="e">
        <f t="shared" si="19"/>
        <v>#REF!</v>
      </c>
    </row>
    <row r="1141" spans="1:5">
      <c r="A1141" t="s">
        <v>5387</v>
      </c>
      <c r="B1141">
        <v>12</v>
      </c>
      <c r="C1141">
        <v>9</v>
      </c>
      <c r="D1141" t="e">
        <f>VLOOKUP(A1141,#REF!,2,FALSE)</f>
        <v>#REF!</v>
      </c>
      <c r="E1141" t="e">
        <f t="shared" si="19"/>
        <v>#REF!</v>
      </c>
    </row>
    <row r="1142" spans="1:5">
      <c r="A1142" t="s">
        <v>5391</v>
      </c>
      <c r="B1142">
        <v>12</v>
      </c>
      <c r="C1142">
        <v>6</v>
      </c>
      <c r="D1142" t="e">
        <f>VLOOKUP(A1142,#REF!,2,FALSE)</f>
        <v>#REF!</v>
      </c>
      <c r="E1142" t="e">
        <f t="shared" si="19"/>
        <v>#REF!</v>
      </c>
    </row>
    <row r="1143" spans="1:5">
      <c r="A1143" t="s">
        <v>5402</v>
      </c>
      <c r="B1143">
        <v>12</v>
      </c>
      <c r="C1143">
        <v>6</v>
      </c>
      <c r="D1143" t="e">
        <f>VLOOKUP(A1143,#REF!,2,FALSE)</f>
        <v>#REF!</v>
      </c>
      <c r="E1143" t="e">
        <f t="shared" si="19"/>
        <v>#REF!</v>
      </c>
    </row>
    <row r="1144" spans="1:5">
      <c r="A1144" t="s">
        <v>5424</v>
      </c>
      <c r="B1144">
        <v>12</v>
      </c>
      <c r="C1144">
        <v>6</v>
      </c>
      <c r="D1144" t="e">
        <f>VLOOKUP(A1144,#REF!,2,FALSE)</f>
        <v>#REF!</v>
      </c>
      <c r="E1144" t="e">
        <f t="shared" si="19"/>
        <v>#REF!</v>
      </c>
    </row>
    <row r="1145" spans="1:5">
      <c r="A1145" t="s">
        <v>5412</v>
      </c>
      <c r="B1145">
        <v>12</v>
      </c>
      <c r="C1145">
        <v>4</v>
      </c>
      <c r="D1145" t="e">
        <f>VLOOKUP(A1145,#REF!,2,FALSE)</f>
        <v>#REF!</v>
      </c>
      <c r="E1145" t="e">
        <f t="shared" si="19"/>
        <v>#REF!</v>
      </c>
    </row>
    <row r="1146" spans="1:5">
      <c r="A1146" t="s">
        <v>5385</v>
      </c>
      <c r="B1146">
        <v>12</v>
      </c>
      <c r="C1146">
        <v>3</v>
      </c>
      <c r="D1146" t="e">
        <f>VLOOKUP(A1146,#REF!,2,FALSE)</f>
        <v>#REF!</v>
      </c>
      <c r="E1146" t="e">
        <f t="shared" si="19"/>
        <v>#REF!</v>
      </c>
    </row>
    <row r="1147" spans="1:5">
      <c r="A1147" t="s">
        <v>5400</v>
      </c>
      <c r="B1147">
        <v>12</v>
      </c>
      <c r="C1147">
        <v>3</v>
      </c>
      <c r="D1147" t="e">
        <f>VLOOKUP(A1147,#REF!,2,FALSE)</f>
        <v>#REF!</v>
      </c>
      <c r="E1147" t="e">
        <f t="shared" si="19"/>
        <v>#REF!</v>
      </c>
    </row>
    <row r="1148" spans="1:5">
      <c r="A1148" t="s">
        <v>5394</v>
      </c>
      <c r="B1148">
        <v>12</v>
      </c>
      <c r="C1148">
        <v>3</v>
      </c>
      <c r="D1148" t="e">
        <f>VLOOKUP(A1148,#REF!,2,FALSE)</f>
        <v>#REF!</v>
      </c>
      <c r="E1148" t="e">
        <f t="shared" si="19"/>
        <v>#REF!</v>
      </c>
    </row>
    <row r="1149" spans="1:5">
      <c r="A1149" t="s">
        <v>5415</v>
      </c>
      <c r="B1149">
        <v>12</v>
      </c>
      <c r="C1149">
        <v>3</v>
      </c>
      <c r="D1149" t="e">
        <f>VLOOKUP(A1149,#REF!,2,FALSE)</f>
        <v>#REF!</v>
      </c>
      <c r="E1149" t="e">
        <f t="shared" si="19"/>
        <v>#REF!</v>
      </c>
    </row>
    <row r="1150" spans="1:5">
      <c r="A1150" t="s">
        <v>5411</v>
      </c>
      <c r="B1150">
        <v>12</v>
      </c>
      <c r="C1150">
        <v>3</v>
      </c>
      <c r="D1150" t="e">
        <f>VLOOKUP(A1150,#REF!,2,FALSE)</f>
        <v>#REF!</v>
      </c>
      <c r="E1150" t="e">
        <f t="shared" si="19"/>
        <v>#REF!</v>
      </c>
    </row>
    <row r="1151" spans="1:5">
      <c r="A1151" t="s">
        <v>5418</v>
      </c>
      <c r="B1151">
        <v>12</v>
      </c>
      <c r="C1151">
        <v>3</v>
      </c>
      <c r="D1151" t="e">
        <f>VLOOKUP(A1151,#REF!,2,FALSE)</f>
        <v>#REF!</v>
      </c>
      <c r="E1151" t="e">
        <f t="shared" si="19"/>
        <v>#REF!</v>
      </c>
    </row>
    <row r="1152" spans="1:5">
      <c r="A1152" t="s">
        <v>5406</v>
      </c>
      <c r="B1152">
        <v>12</v>
      </c>
      <c r="C1152">
        <v>2</v>
      </c>
      <c r="D1152" t="e">
        <f>VLOOKUP(A1152,#REF!,2,FALSE)</f>
        <v>#REF!</v>
      </c>
      <c r="E1152" t="e">
        <f t="shared" si="19"/>
        <v>#REF!</v>
      </c>
    </row>
    <row r="1153" spans="1:5">
      <c r="A1153" t="s">
        <v>5407</v>
      </c>
      <c r="B1153">
        <v>12</v>
      </c>
      <c r="C1153">
        <v>2</v>
      </c>
      <c r="D1153" t="e">
        <f>VLOOKUP(A1153,#REF!,2,FALSE)</f>
        <v>#REF!</v>
      </c>
      <c r="E1153" t="e">
        <f t="shared" si="19"/>
        <v>#REF!</v>
      </c>
    </row>
    <row r="1154" spans="1:5">
      <c r="A1154" t="s">
        <v>5409</v>
      </c>
      <c r="B1154">
        <v>12</v>
      </c>
      <c r="C1154">
        <v>2</v>
      </c>
      <c r="D1154" t="e">
        <f>VLOOKUP(A1154,#REF!,2,FALSE)</f>
        <v>#REF!</v>
      </c>
      <c r="E1154" t="e">
        <f t="shared" si="19"/>
        <v>#REF!</v>
      </c>
    </row>
    <row r="1155" spans="1:5">
      <c r="A1155" t="s">
        <v>5429</v>
      </c>
      <c r="B1155">
        <v>12</v>
      </c>
      <c r="C1155">
        <v>1</v>
      </c>
      <c r="D1155" t="e">
        <f>VLOOKUP(A1155,#REF!,2,FALSE)</f>
        <v>#REF!</v>
      </c>
      <c r="E1155" t="e">
        <f t="shared" ref="E1155:E1160" si="20">C1155/D1155</f>
        <v>#REF!</v>
      </c>
    </row>
    <row r="1156" spans="1:5">
      <c r="A1156" t="s">
        <v>5420</v>
      </c>
      <c r="B1156">
        <v>12</v>
      </c>
      <c r="C1156">
        <v>1</v>
      </c>
      <c r="D1156" t="e">
        <f>VLOOKUP(A1156,#REF!,2,FALSE)</f>
        <v>#REF!</v>
      </c>
      <c r="E1156" t="e">
        <f t="shared" si="20"/>
        <v>#REF!</v>
      </c>
    </row>
    <row r="1157" spans="1:5">
      <c r="A1157" t="s">
        <v>5422</v>
      </c>
      <c r="B1157">
        <v>12</v>
      </c>
      <c r="C1157">
        <v>1</v>
      </c>
      <c r="D1157" t="e">
        <f>VLOOKUP(A1157,#REF!,2,FALSE)</f>
        <v>#REF!</v>
      </c>
      <c r="E1157" t="e">
        <f t="shared" si="20"/>
        <v>#REF!</v>
      </c>
    </row>
    <row r="1158" spans="1:5">
      <c r="A1158" t="s">
        <v>5408</v>
      </c>
      <c r="B1158">
        <v>12</v>
      </c>
      <c r="C1158">
        <v>1</v>
      </c>
      <c r="D1158" t="e">
        <f>VLOOKUP(A1158,#REF!,2,FALSE)</f>
        <v>#REF!</v>
      </c>
      <c r="E1158" t="e">
        <f t="shared" si="20"/>
        <v>#REF!</v>
      </c>
    </row>
    <row r="1159" spans="1:5">
      <c r="A1159" t="s">
        <v>5427</v>
      </c>
      <c r="B1159">
        <v>12</v>
      </c>
      <c r="C1159">
        <v>1</v>
      </c>
      <c r="D1159" t="e">
        <f>VLOOKUP(A1159,#REF!,2,FALSE)</f>
        <v>#REF!</v>
      </c>
      <c r="E1159" t="e">
        <f t="shared" si="20"/>
        <v>#REF!</v>
      </c>
    </row>
    <row r="1160" spans="1:5">
      <c r="A1160" t="s">
        <v>5421</v>
      </c>
      <c r="B1160">
        <v>12</v>
      </c>
      <c r="C1160">
        <v>1</v>
      </c>
      <c r="D1160" t="e">
        <f>VLOOKUP(A1160,#REF!,2,FALSE)</f>
        <v>#REF!</v>
      </c>
      <c r="E1160" t="e">
        <f t="shared" si="20"/>
        <v>#REF!</v>
      </c>
    </row>
  </sheetData>
  <conditionalFormatting sqref="H2:H114">
    <cfRule type="colorScale" priority="558">
      <colorScale>
        <cfvo type="min"/>
        <cfvo type="max"/>
        <color rgb="FFFCFCFF"/>
        <color rgb="FFF8696B"/>
      </colorScale>
    </cfRule>
  </conditionalFormatting>
  <conditionalFormatting sqref="I2:N2">
    <cfRule type="colorScale" priority="450">
      <colorScale>
        <cfvo type="min"/>
        <cfvo type="max"/>
        <color rgb="FFCBC2DF"/>
        <color theme="0"/>
      </colorScale>
    </cfRule>
    <cfRule type="colorScale" priority="451">
      <colorScale>
        <cfvo type="min"/>
        <cfvo type="max"/>
        <color rgb="FF6A51A3"/>
        <color rgb="FFCBC2DF"/>
      </colorScale>
    </cfRule>
    <cfRule type="colorScale" priority="452">
      <colorScale>
        <cfvo type="min"/>
        <cfvo type="max"/>
        <color rgb="FFFCFCFF"/>
        <color rgb="FFF8696B"/>
      </colorScale>
    </cfRule>
  </conditionalFormatting>
  <conditionalFormatting sqref="I3:N3">
    <cfRule type="colorScale" priority="248">
      <colorScale>
        <cfvo type="min"/>
        <cfvo type="max"/>
        <color rgb="FFCBC2DF"/>
        <color theme="0"/>
      </colorScale>
    </cfRule>
    <cfRule type="colorScale" priority="249">
      <colorScale>
        <cfvo type="min"/>
        <cfvo type="max"/>
        <color rgb="FF6A51A3"/>
        <color rgb="FFCBC2DF"/>
      </colorScale>
    </cfRule>
    <cfRule type="colorScale" priority="250">
      <colorScale>
        <cfvo type="min"/>
        <cfvo type="max"/>
        <color rgb="FFFCFCFF"/>
        <color rgb="FFF8696B"/>
      </colorScale>
    </cfRule>
  </conditionalFormatting>
  <conditionalFormatting sqref="I4:N4">
    <cfRule type="colorScale" priority="238">
      <colorScale>
        <cfvo type="min"/>
        <cfvo type="max"/>
        <color rgb="FFCBC2DF"/>
        <color theme="0"/>
      </colorScale>
    </cfRule>
    <cfRule type="colorScale" priority="239">
      <colorScale>
        <cfvo type="min"/>
        <cfvo type="max"/>
        <color rgb="FF6A51A3"/>
        <color rgb="FFCBC2DF"/>
      </colorScale>
    </cfRule>
    <cfRule type="colorScale" priority="240">
      <colorScale>
        <cfvo type="min"/>
        <cfvo type="max"/>
        <color rgb="FFFCFCFF"/>
        <color rgb="FFF8696B"/>
      </colorScale>
    </cfRule>
  </conditionalFormatting>
  <conditionalFormatting sqref="I5:N5">
    <cfRule type="colorScale" priority="228">
      <colorScale>
        <cfvo type="min"/>
        <cfvo type="max"/>
        <color rgb="FFCBC2DF"/>
        <color theme="0"/>
      </colorScale>
    </cfRule>
    <cfRule type="colorScale" priority="229">
      <colorScale>
        <cfvo type="min"/>
        <cfvo type="max"/>
        <color rgb="FF6A51A3"/>
        <color rgb="FFCBC2DF"/>
      </colorScale>
    </cfRule>
    <cfRule type="colorScale" priority="230">
      <colorScale>
        <cfvo type="min"/>
        <cfvo type="max"/>
        <color rgb="FFFCFCFF"/>
        <color rgb="FFF8696B"/>
      </colorScale>
    </cfRule>
  </conditionalFormatting>
  <conditionalFormatting sqref="I6:N6">
    <cfRule type="colorScale" priority="218">
      <colorScale>
        <cfvo type="min"/>
        <cfvo type="max"/>
        <color rgb="FFCBC2DF"/>
        <color theme="0"/>
      </colorScale>
    </cfRule>
    <cfRule type="colorScale" priority="219">
      <colorScale>
        <cfvo type="min"/>
        <cfvo type="max"/>
        <color rgb="FF6A51A3"/>
        <color rgb="FFCBC2DF"/>
      </colorScale>
    </cfRule>
    <cfRule type="colorScale" priority="220">
      <colorScale>
        <cfvo type="min"/>
        <cfvo type="max"/>
        <color rgb="FFFCFCFF"/>
        <color rgb="FFF8696B"/>
      </colorScale>
    </cfRule>
  </conditionalFormatting>
  <conditionalFormatting sqref="I7:N7">
    <cfRule type="colorScale" priority="208">
      <colorScale>
        <cfvo type="min"/>
        <cfvo type="max"/>
        <color rgb="FFCBC2DF"/>
        <color theme="0"/>
      </colorScale>
    </cfRule>
    <cfRule type="colorScale" priority="209">
      <colorScale>
        <cfvo type="min"/>
        <cfvo type="max"/>
        <color rgb="FF6A51A3"/>
        <color rgb="FFCBC2DF"/>
      </colorScale>
    </cfRule>
    <cfRule type="colorScale" priority="210">
      <colorScale>
        <cfvo type="min"/>
        <cfvo type="max"/>
        <color rgb="FFFCFCFF"/>
        <color rgb="FFF8696B"/>
      </colorScale>
    </cfRule>
  </conditionalFormatting>
  <conditionalFormatting sqref="I8:N8">
    <cfRule type="colorScale" priority="198">
      <colorScale>
        <cfvo type="min"/>
        <cfvo type="max"/>
        <color rgb="FFCBC2DF"/>
        <color theme="0"/>
      </colorScale>
    </cfRule>
    <cfRule type="colorScale" priority="199">
      <colorScale>
        <cfvo type="min"/>
        <cfvo type="max"/>
        <color rgb="FF6A51A3"/>
        <color rgb="FFCBC2DF"/>
      </colorScale>
    </cfRule>
    <cfRule type="colorScale" priority="200">
      <colorScale>
        <cfvo type="min"/>
        <cfvo type="max"/>
        <color rgb="FFFCFCFF"/>
        <color rgb="FFF8696B"/>
      </colorScale>
    </cfRule>
  </conditionalFormatting>
  <conditionalFormatting sqref="I9:N9">
    <cfRule type="colorScale" priority="188">
      <colorScale>
        <cfvo type="min"/>
        <cfvo type="max"/>
        <color rgb="FFCBC2DF"/>
        <color theme="0"/>
      </colorScale>
    </cfRule>
    <cfRule type="colorScale" priority="189">
      <colorScale>
        <cfvo type="min"/>
        <cfvo type="max"/>
        <color rgb="FF6A51A3"/>
        <color rgb="FFCBC2DF"/>
      </colorScale>
    </cfRule>
    <cfRule type="colorScale" priority="190">
      <colorScale>
        <cfvo type="min"/>
        <cfvo type="max"/>
        <color rgb="FFFCFCFF"/>
        <color rgb="FFF8696B"/>
      </colorScale>
    </cfRule>
  </conditionalFormatting>
  <conditionalFormatting sqref="I10:N10">
    <cfRule type="colorScale" priority="178">
      <colorScale>
        <cfvo type="min"/>
        <cfvo type="max"/>
        <color rgb="FFCBC2DF"/>
        <color theme="0"/>
      </colorScale>
    </cfRule>
    <cfRule type="colorScale" priority="179">
      <colorScale>
        <cfvo type="min"/>
        <cfvo type="max"/>
        <color rgb="FF6A51A3"/>
        <color rgb="FFCBC2DF"/>
      </colorScale>
    </cfRule>
    <cfRule type="colorScale" priority="180">
      <colorScale>
        <cfvo type="min"/>
        <cfvo type="max"/>
        <color rgb="FFFCFCFF"/>
        <color rgb="FFF8696B"/>
      </colorScale>
    </cfRule>
  </conditionalFormatting>
  <conditionalFormatting sqref="I11:N11">
    <cfRule type="colorScale" priority="168">
      <colorScale>
        <cfvo type="min"/>
        <cfvo type="max"/>
        <color rgb="FFCBC2DF"/>
        <color theme="0"/>
      </colorScale>
    </cfRule>
    <cfRule type="colorScale" priority="169">
      <colorScale>
        <cfvo type="min"/>
        <cfvo type="max"/>
        <color rgb="FF6A51A3"/>
        <color rgb="FFCBC2DF"/>
      </colorScale>
    </cfRule>
    <cfRule type="colorScale" priority="170">
      <colorScale>
        <cfvo type="min"/>
        <cfvo type="max"/>
        <color rgb="FFFCFCFF"/>
        <color rgb="FFF8696B"/>
      </colorScale>
    </cfRule>
  </conditionalFormatting>
  <conditionalFormatting sqref="I12:N12">
    <cfRule type="colorScale" priority="158">
      <colorScale>
        <cfvo type="min"/>
        <cfvo type="max"/>
        <color rgb="FFCBC2DF"/>
        <color theme="0"/>
      </colorScale>
    </cfRule>
    <cfRule type="colorScale" priority="159">
      <colorScale>
        <cfvo type="min"/>
        <cfvo type="max"/>
        <color rgb="FF6A51A3"/>
        <color rgb="FFCBC2DF"/>
      </colorScale>
    </cfRule>
    <cfRule type="colorScale" priority="160">
      <colorScale>
        <cfvo type="min"/>
        <cfvo type="max"/>
        <color rgb="FFFCFCFF"/>
        <color rgb="FFF8696B"/>
      </colorScale>
    </cfRule>
  </conditionalFormatting>
  <conditionalFormatting sqref="I13:N13">
    <cfRule type="colorScale" priority="148">
      <colorScale>
        <cfvo type="min"/>
        <cfvo type="max"/>
        <color rgb="FFCBC2DF"/>
        <color theme="0"/>
      </colorScale>
    </cfRule>
    <cfRule type="colorScale" priority="149">
      <colorScale>
        <cfvo type="min"/>
        <cfvo type="max"/>
        <color rgb="FF6A51A3"/>
        <color rgb="FFCBC2DF"/>
      </colorScale>
    </cfRule>
    <cfRule type="colorScale" priority="150">
      <colorScale>
        <cfvo type="min"/>
        <cfvo type="max"/>
        <color rgb="FFFCFCFF"/>
        <color rgb="FFF8696B"/>
      </colorScale>
    </cfRule>
  </conditionalFormatting>
  <conditionalFormatting sqref="I14:N14">
    <cfRule type="colorScale" priority="138">
      <colorScale>
        <cfvo type="min"/>
        <cfvo type="max"/>
        <color rgb="FFCBC2DF"/>
        <color theme="0"/>
      </colorScale>
    </cfRule>
    <cfRule type="colorScale" priority="139">
      <colorScale>
        <cfvo type="min"/>
        <cfvo type="max"/>
        <color rgb="FF6A51A3"/>
        <color rgb="FFCBC2DF"/>
      </colorScale>
    </cfRule>
    <cfRule type="colorScale" priority="140">
      <colorScale>
        <cfvo type="min"/>
        <cfvo type="max"/>
        <color rgb="FFFCFCFF"/>
        <color rgb="FFF8696B"/>
      </colorScale>
    </cfRule>
  </conditionalFormatting>
  <conditionalFormatting sqref="I15:N15">
    <cfRule type="colorScale" priority="128">
      <colorScale>
        <cfvo type="min"/>
        <cfvo type="max"/>
        <color rgb="FFCBC2DF"/>
        <color theme="0"/>
      </colorScale>
    </cfRule>
    <cfRule type="colorScale" priority="129">
      <colorScale>
        <cfvo type="min"/>
        <cfvo type="max"/>
        <color rgb="FF6A51A3"/>
        <color rgb="FFCBC2DF"/>
      </colorScale>
    </cfRule>
    <cfRule type="colorScale" priority="130">
      <colorScale>
        <cfvo type="min"/>
        <cfvo type="max"/>
        <color rgb="FFFCFCFF"/>
        <color rgb="FFF8696B"/>
      </colorScale>
    </cfRule>
  </conditionalFormatting>
  <conditionalFormatting sqref="I16:N16">
    <cfRule type="colorScale" priority="118">
      <colorScale>
        <cfvo type="min"/>
        <cfvo type="max"/>
        <color rgb="FFCBC2DF"/>
        <color theme="0"/>
      </colorScale>
    </cfRule>
    <cfRule type="colorScale" priority="119">
      <colorScale>
        <cfvo type="min"/>
        <cfvo type="max"/>
        <color rgb="FF6A51A3"/>
        <color rgb="FFCBC2DF"/>
      </colorScale>
    </cfRule>
    <cfRule type="colorScale" priority="120">
      <colorScale>
        <cfvo type="min"/>
        <cfvo type="max"/>
        <color rgb="FFFCFCFF"/>
        <color rgb="FFF8696B"/>
      </colorScale>
    </cfRule>
  </conditionalFormatting>
  <conditionalFormatting sqref="I17:N17">
    <cfRule type="colorScale" priority="108">
      <colorScale>
        <cfvo type="min"/>
        <cfvo type="max"/>
        <color rgb="FFCBC2DF"/>
        <color theme="0"/>
      </colorScale>
    </cfRule>
    <cfRule type="colorScale" priority="109">
      <colorScale>
        <cfvo type="min"/>
        <cfvo type="max"/>
        <color rgb="FF6A51A3"/>
        <color rgb="FFCBC2DF"/>
      </colorScale>
    </cfRule>
    <cfRule type="colorScale" priority="110">
      <colorScale>
        <cfvo type="min"/>
        <cfvo type="max"/>
        <color rgb="FFFCFCFF"/>
        <color rgb="FFF8696B"/>
      </colorScale>
    </cfRule>
  </conditionalFormatting>
  <conditionalFormatting sqref="I18:N18">
    <cfRule type="colorScale" priority="98">
      <colorScale>
        <cfvo type="min"/>
        <cfvo type="max"/>
        <color rgb="FFCBC2DF"/>
        <color theme="0"/>
      </colorScale>
    </cfRule>
    <cfRule type="colorScale" priority="99">
      <colorScale>
        <cfvo type="min"/>
        <cfvo type="max"/>
        <color rgb="FF6A51A3"/>
        <color rgb="FFCBC2DF"/>
      </colorScale>
    </cfRule>
    <cfRule type="colorScale" priority="100">
      <colorScale>
        <cfvo type="min"/>
        <cfvo type="max"/>
        <color rgb="FFFCFCFF"/>
        <color rgb="FFF8696B"/>
      </colorScale>
    </cfRule>
  </conditionalFormatting>
  <conditionalFormatting sqref="I19:N19">
    <cfRule type="colorScale" priority="88">
      <colorScale>
        <cfvo type="min"/>
        <cfvo type="max"/>
        <color rgb="FFCBC2DF"/>
        <color theme="0"/>
      </colorScale>
    </cfRule>
    <cfRule type="colorScale" priority="89">
      <colorScale>
        <cfvo type="min"/>
        <cfvo type="max"/>
        <color rgb="FF6A51A3"/>
        <color rgb="FFCBC2DF"/>
      </colorScale>
    </cfRule>
    <cfRule type="colorScale" priority="90">
      <colorScale>
        <cfvo type="min"/>
        <cfvo type="max"/>
        <color rgb="FFFCFCFF"/>
        <color rgb="FFF8696B"/>
      </colorScale>
    </cfRule>
  </conditionalFormatting>
  <conditionalFormatting sqref="I20:N20">
    <cfRule type="colorScale" priority="78">
      <colorScale>
        <cfvo type="min"/>
        <cfvo type="max"/>
        <color rgb="FFCBC2DF"/>
        <color theme="0"/>
      </colorScale>
    </cfRule>
    <cfRule type="colorScale" priority="79">
      <colorScale>
        <cfvo type="min"/>
        <cfvo type="max"/>
        <color rgb="FF6A51A3"/>
        <color rgb="FFCBC2DF"/>
      </colorScale>
    </cfRule>
    <cfRule type="colorScale" priority="80">
      <colorScale>
        <cfvo type="min"/>
        <cfvo type="max"/>
        <color rgb="FFFCFCFF"/>
        <color rgb="FFF8696B"/>
      </colorScale>
    </cfRule>
  </conditionalFormatting>
  <conditionalFormatting sqref="I21:N21">
    <cfRule type="colorScale" priority="68">
      <colorScale>
        <cfvo type="min"/>
        <cfvo type="max"/>
        <color rgb="FFCBC2DF"/>
        <color theme="0"/>
      </colorScale>
    </cfRule>
    <cfRule type="colorScale" priority="69">
      <colorScale>
        <cfvo type="min"/>
        <cfvo type="max"/>
        <color rgb="FF6A51A3"/>
        <color rgb="FFCBC2DF"/>
      </colorScale>
    </cfRule>
    <cfRule type="colorScale" priority="70">
      <colorScale>
        <cfvo type="min"/>
        <cfvo type="max"/>
        <color rgb="FFFCFCFF"/>
        <color rgb="FFF8696B"/>
      </colorScale>
    </cfRule>
  </conditionalFormatting>
  <conditionalFormatting sqref="I22:N22">
    <cfRule type="colorScale" priority="58">
      <colorScale>
        <cfvo type="min"/>
        <cfvo type="max"/>
        <color rgb="FFCBC2DF"/>
        <color theme="0"/>
      </colorScale>
    </cfRule>
    <cfRule type="colorScale" priority="59">
      <colorScale>
        <cfvo type="min"/>
        <cfvo type="max"/>
        <color rgb="FF6A51A3"/>
        <color rgb="FFCBC2DF"/>
      </colorScale>
    </cfRule>
    <cfRule type="colorScale" priority="60">
      <colorScale>
        <cfvo type="min"/>
        <cfvo type="max"/>
        <color rgb="FFFCFCFF"/>
        <color rgb="FFF8696B"/>
      </colorScale>
    </cfRule>
  </conditionalFormatting>
  <conditionalFormatting sqref="I23:N23">
    <cfRule type="colorScale" priority="48">
      <colorScale>
        <cfvo type="min"/>
        <cfvo type="max"/>
        <color rgb="FFCBC2DF"/>
        <color theme="0"/>
      </colorScale>
    </cfRule>
    <cfRule type="colorScale" priority="49">
      <colorScale>
        <cfvo type="min"/>
        <cfvo type="max"/>
        <color rgb="FF6A51A3"/>
        <color rgb="FFCBC2DF"/>
      </colorScale>
    </cfRule>
    <cfRule type="colorScale" priority="50">
      <colorScale>
        <cfvo type="min"/>
        <cfvo type="max"/>
        <color rgb="FFFCFCFF"/>
        <color rgb="FFF8696B"/>
      </colorScale>
    </cfRule>
  </conditionalFormatting>
  <conditionalFormatting sqref="I24:N24">
    <cfRule type="colorScale" priority="38">
      <colorScale>
        <cfvo type="min"/>
        <cfvo type="max"/>
        <color rgb="FFCBC2DF"/>
        <color theme="0"/>
      </colorScale>
    </cfRule>
    <cfRule type="colorScale" priority="39">
      <colorScale>
        <cfvo type="min"/>
        <cfvo type="max"/>
        <color rgb="FF6A51A3"/>
        <color rgb="FFCBC2DF"/>
      </colorScale>
    </cfRule>
    <cfRule type="colorScale" priority="40">
      <colorScale>
        <cfvo type="min"/>
        <cfvo type="max"/>
        <color rgb="FFFCFCFF"/>
        <color rgb="FFF8696B"/>
      </colorScale>
    </cfRule>
  </conditionalFormatting>
  <conditionalFormatting sqref="I25:N25">
    <cfRule type="colorScale" priority="28">
      <colorScale>
        <cfvo type="min"/>
        <cfvo type="max"/>
        <color rgb="FFCBC2DF"/>
        <color theme="0"/>
      </colorScale>
    </cfRule>
    <cfRule type="colorScale" priority="29">
      <colorScale>
        <cfvo type="min"/>
        <cfvo type="max"/>
        <color rgb="FF6A51A3"/>
        <color rgb="FFCBC2DF"/>
      </colorScale>
    </cfRule>
    <cfRule type="colorScale" priority="30">
      <colorScale>
        <cfvo type="min"/>
        <cfvo type="max"/>
        <color rgb="FFFCFCFF"/>
        <color rgb="FFF8696B"/>
      </colorScale>
    </cfRule>
  </conditionalFormatting>
  <conditionalFormatting sqref="I26:N26">
    <cfRule type="colorScale" priority="18">
      <colorScale>
        <cfvo type="min"/>
        <cfvo type="max"/>
        <color rgb="FFCBC2DF"/>
        <color theme="0"/>
      </colorScale>
    </cfRule>
    <cfRule type="colorScale" priority="19">
      <colorScale>
        <cfvo type="min"/>
        <cfvo type="max"/>
        <color rgb="FF6A51A3"/>
        <color rgb="FFCBC2DF"/>
      </colorScale>
    </cfRule>
    <cfRule type="colorScale" priority="20">
      <colorScale>
        <cfvo type="min"/>
        <cfvo type="max"/>
        <color rgb="FFFCFCFF"/>
        <color rgb="FFF8696B"/>
      </colorScale>
    </cfRule>
  </conditionalFormatting>
  <conditionalFormatting sqref="I2:T2">
    <cfRule type="colorScale" priority="251">
      <colorScale>
        <cfvo type="min"/>
        <cfvo type="max"/>
        <color theme="0" tint="-4.9989318521683403E-2"/>
        <color rgb="FFCBC2DF"/>
      </colorScale>
    </cfRule>
    <cfRule type="colorScale" priority="252">
      <colorScale>
        <cfvo type="min"/>
        <cfvo type="max"/>
        <color theme="0" tint="-0.14999847407452621"/>
        <color rgb="FF6A51A3"/>
      </colorScale>
    </cfRule>
    <cfRule type="colorScale" priority="253">
      <colorScale>
        <cfvo type="min"/>
        <cfvo type="max"/>
        <color rgb="FFCBC2DF"/>
        <color rgb="FF6A51A3"/>
      </colorScale>
    </cfRule>
    <cfRule type="colorScale" priority="422">
      <colorScale>
        <cfvo type="min"/>
        <cfvo type="max"/>
        <color theme="0"/>
        <color rgb="FFCBC2DF"/>
      </colorScale>
    </cfRule>
  </conditionalFormatting>
  <conditionalFormatting sqref="I3:T3">
    <cfRule type="colorScale" priority="241">
      <colorScale>
        <cfvo type="min"/>
        <cfvo type="max"/>
        <color theme="0" tint="-4.9989318521683403E-2"/>
        <color rgb="FFCBC2DF"/>
      </colorScale>
    </cfRule>
    <cfRule type="colorScale" priority="242">
      <colorScale>
        <cfvo type="min"/>
        <cfvo type="max"/>
        <color theme="0" tint="-0.14999847407452621"/>
        <color rgb="FF6A51A3"/>
      </colorScale>
    </cfRule>
    <cfRule type="colorScale" priority="243">
      <colorScale>
        <cfvo type="min"/>
        <cfvo type="max"/>
        <color rgb="FFCBC2DF"/>
        <color rgb="FF6A51A3"/>
      </colorScale>
    </cfRule>
    <cfRule type="colorScale" priority="244">
      <colorScale>
        <cfvo type="min"/>
        <cfvo type="max"/>
        <color theme="0"/>
        <color rgb="FFCBC2DF"/>
      </colorScale>
    </cfRule>
  </conditionalFormatting>
  <conditionalFormatting sqref="I4:T4">
    <cfRule type="colorScale" priority="231">
      <colorScale>
        <cfvo type="min"/>
        <cfvo type="max"/>
        <color theme="0" tint="-4.9989318521683403E-2"/>
        <color rgb="FFCBC2DF"/>
      </colorScale>
    </cfRule>
    <cfRule type="colorScale" priority="232">
      <colorScale>
        <cfvo type="min"/>
        <cfvo type="max"/>
        <color theme="0" tint="-0.14999847407452621"/>
        <color rgb="FF6A51A3"/>
      </colorScale>
    </cfRule>
    <cfRule type="colorScale" priority="233">
      <colorScale>
        <cfvo type="min"/>
        <cfvo type="max"/>
        <color rgb="FFCBC2DF"/>
        <color rgb="FF6A51A3"/>
      </colorScale>
    </cfRule>
    <cfRule type="colorScale" priority="234">
      <colorScale>
        <cfvo type="min"/>
        <cfvo type="max"/>
        <color theme="0"/>
        <color rgb="FFCBC2DF"/>
      </colorScale>
    </cfRule>
  </conditionalFormatting>
  <conditionalFormatting sqref="I5:T5">
    <cfRule type="colorScale" priority="221">
      <colorScale>
        <cfvo type="min"/>
        <cfvo type="max"/>
        <color theme="0" tint="-4.9989318521683403E-2"/>
        <color rgb="FFCBC2DF"/>
      </colorScale>
    </cfRule>
    <cfRule type="colorScale" priority="222">
      <colorScale>
        <cfvo type="min"/>
        <cfvo type="max"/>
        <color theme="0" tint="-0.14999847407452621"/>
        <color rgb="FF6A51A3"/>
      </colorScale>
    </cfRule>
    <cfRule type="colorScale" priority="223">
      <colorScale>
        <cfvo type="min"/>
        <cfvo type="max"/>
        <color rgb="FFCBC2DF"/>
        <color rgb="FF6A51A3"/>
      </colorScale>
    </cfRule>
    <cfRule type="colorScale" priority="224">
      <colorScale>
        <cfvo type="min"/>
        <cfvo type="max"/>
        <color theme="0"/>
        <color rgb="FFCBC2DF"/>
      </colorScale>
    </cfRule>
  </conditionalFormatting>
  <conditionalFormatting sqref="I6:T6">
    <cfRule type="colorScale" priority="211">
      <colorScale>
        <cfvo type="min"/>
        <cfvo type="max"/>
        <color theme="0" tint="-4.9989318521683403E-2"/>
        <color rgb="FFCBC2DF"/>
      </colorScale>
    </cfRule>
    <cfRule type="colorScale" priority="212">
      <colorScale>
        <cfvo type="min"/>
        <cfvo type="max"/>
        <color theme="0" tint="-0.14999847407452621"/>
        <color rgb="FF6A51A3"/>
      </colorScale>
    </cfRule>
    <cfRule type="colorScale" priority="213">
      <colorScale>
        <cfvo type="min"/>
        <cfvo type="max"/>
        <color rgb="FFCBC2DF"/>
        <color rgb="FF6A51A3"/>
      </colorScale>
    </cfRule>
    <cfRule type="colorScale" priority="214">
      <colorScale>
        <cfvo type="min"/>
        <cfvo type="max"/>
        <color theme="0"/>
        <color rgb="FFCBC2DF"/>
      </colorScale>
    </cfRule>
  </conditionalFormatting>
  <conditionalFormatting sqref="I7:T7">
    <cfRule type="colorScale" priority="201">
      <colorScale>
        <cfvo type="min"/>
        <cfvo type="max"/>
        <color theme="0" tint="-4.9989318521683403E-2"/>
        <color rgb="FFCBC2DF"/>
      </colorScale>
    </cfRule>
    <cfRule type="colorScale" priority="202">
      <colorScale>
        <cfvo type="min"/>
        <cfvo type="max"/>
        <color theme="0" tint="-0.14999847407452621"/>
        <color rgb="FF6A51A3"/>
      </colorScale>
    </cfRule>
    <cfRule type="colorScale" priority="203">
      <colorScale>
        <cfvo type="min"/>
        <cfvo type="max"/>
        <color rgb="FFCBC2DF"/>
        <color rgb="FF6A51A3"/>
      </colorScale>
    </cfRule>
    <cfRule type="colorScale" priority="204">
      <colorScale>
        <cfvo type="min"/>
        <cfvo type="max"/>
        <color theme="0"/>
        <color rgb="FFCBC2DF"/>
      </colorScale>
    </cfRule>
  </conditionalFormatting>
  <conditionalFormatting sqref="I8:T8">
    <cfRule type="colorScale" priority="191">
      <colorScale>
        <cfvo type="min"/>
        <cfvo type="max"/>
        <color theme="0" tint="-4.9989318521683403E-2"/>
        <color rgb="FFCBC2DF"/>
      </colorScale>
    </cfRule>
    <cfRule type="colorScale" priority="192">
      <colorScale>
        <cfvo type="min"/>
        <cfvo type="max"/>
        <color theme="0" tint="-0.14999847407452621"/>
        <color rgb="FF6A51A3"/>
      </colorScale>
    </cfRule>
    <cfRule type="colorScale" priority="193">
      <colorScale>
        <cfvo type="min"/>
        <cfvo type="max"/>
        <color rgb="FFCBC2DF"/>
        <color rgb="FF6A51A3"/>
      </colorScale>
    </cfRule>
    <cfRule type="colorScale" priority="194">
      <colorScale>
        <cfvo type="min"/>
        <cfvo type="max"/>
        <color theme="0"/>
        <color rgb="FFCBC2DF"/>
      </colorScale>
    </cfRule>
  </conditionalFormatting>
  <conditionalFormatting sqref="I9:T9">
    <cfRule type="colorScale" priority="181">
      <colorScale>
        <cfvo type="min"/>
        <cfvo type="max"/>
        <color theme="0" tint="-4.9989318521683403E-2"/>
        <color rgb="FFCBC2DF"/>
      </colorScale>
    </cfRule>
    <cfRule type="colorScale" priority="182">
      <colorScale>
        <cfvo type="min"/>
        <cfvo type="max"/>
        <color theme="0" tint="-0.14999847407452621"/>
        <color rgb="FF6A51A3"/>
      </colorScale>
    </cfRule>
    <cfRule type="colorScale" priority="183">
      <colorScale>
        <cfvo type="min"/>
        <cfvo type="max"/>
        <color rgb="FFCBC2DF"/>
        <color rgb="FF6A51A3"/>
      </colorScale>
    </cfRule>
    <cfRule type="colorScale" priority="184">
      <colorScale>
        <cfvo type="min"/>
        <cfvo type="max"/>
        <color theme="0"/>
        <color rgb="FFCBC2DF"/>
      </colorScale>
    </cfRule>
  </conditionalFormatting>
  <conditionalFormatting sqref="I10:T10">
    <cfRule type="colorScale" priority="171">
      <colorScale>
        <cfvo type="min"/>
        <cfvo type="max"/>
        <color theme="0" tint="-4.9989318521683403E-2"/>
        <color rgb="FFCBC2DF"/>
      </colorScale>
    </cfRule>
    <cfRule type="colorScale" priority="172">
      <colorScale>
        <cfvo type="min"/>
        <cfvo type="max"/>
        <color theme="0" tint="-0.14999847407452621"/>
        <color rgb="FF6A51A3"/>
      </colorScale>
    </cfRule>
    <cfRule type="colorScale" priority="173">
      <colorScale>
        <cfvo type="min"/>
        <cfvo type="max"/>
        <color rgb="FFCBC2DF"/>
        <color rgb="FF6A51A3"/>
      </colorScale>
    </cfRule>
    <cfRule type="colorScale" priority="174">
      <colorScale>
        <cfvo type="min"/>
        <cfvo type="max"/>
        <color theme="0"/>
        <color rgb="FFCBC2DF"/>
      </colorScale>
    </cfRule>
  </conditionalFormatting>
  <conditionalFormatting sqref="I11:T11">
    <cfRule type="colorScale" priority="161">
      <colorScale>
        <cfvo type="min"/>
        <cfvo type="max"/>
        <color theme="0" tint="-4.9989318521683403E-2"/>
        <color rgb="FFCBC2DF"/>
      </colorScale>
    </cfRule>
    <cfRule type="colorScale" priority="162">
      <colorScale>
        <cfvo type="min"/>
        <cfvo type="max"/>
        <color theme="0" tint="-0.14999847407452621"/>
        <color rgb="FF6A51A3"/>
      </colorScale>
    </cfRule>
    <cfRule type="colorScale" priority="163">
      <colorScale>
        <cfvo type="min"/>
        <cfvo type="max"/>
        <color rgb="FFCBC2DF"/>
        <color rgb="FF6A51A3"/>
      </colorScale>
    </cfRule>
    <cfRule type="colorScale" priority="164">
      <colorScale>
        <cfvo type="min"/>
        <cfvo type="max"/>
        <color theme="0"/>
        <color rgb="FFCBC2DF"/>
      </colorScale>
    </cfRule>
  </conditionalFormatting>
  <conditionalFormatting sqref="I12:T12">
    <cfRule type="colorScale" priority="151">
      <colorScale>
        <cfvo type="min"/>
        <cfvo type="max"/>
        <color theme="0" tint="-4.9989318521683403E-2"/>
        <color rgb="FFCBC2DF"/>
      </colorScale>
    </cfRule>
    <cfRule type="colorScale" priority="152">
      <colorScale>
        <cfvo type="min"/>
        <cfvo type="max"/>
        <color theme="0" tint="-0.14999847407452621"/>
        <color rgb="FF6A51A3"/>
      </colorScale>
    </cfRule>
    <cfRule type="colorScale" priority="153">
      <colorScale>
        <cfvo type="min"/>
        <cfvo type="max"/>
        <color rgb="FFCBC2DF"/>
        <color rgb="FF6A51A3"/>
      </colorScale>
    </cfRule>
    <cfRule type="colorScale" priority="154">
      <colorScale>
        <cfvo type="min"/>
        <cfvo type="max"/>
        <color theme="0"/>
        <color rgb="FFCBC2DF"/>
      </colorScale>
    </cfRule>
  </conditionalFormatting>
  <conditionalFormatting sqref="I13:T13">
    <cfRule type="colorScale" priority="141">
      <colorScale>
        <cfvo type="min"/>
        <cfvo type="max"/>
        <color theme="0" tint="-4.9989318521683403E-2"/>
        <color rgb="FFCBC2DF"/>
      </colorScale>
    </cfRule>
    <cfRule type="colorScale" priority="142">
      <colorScale>
        <cfvo type="min"/>
        <cfvo type="max"/>
        <color theme="0" tint="-0.14999847407452621"/>
        <color rgb="FF6A51A3"/>
      </colorScale>
    </cfRule>
    <cfRule type="colorScale" priority="143">
      <colorScale>
        <cfvo type="min"/>
        <cfvo type="max"/>
        <color rgb="FFCBC2DF"/>
        <color rgb="FF6A51A3"/>
      </colorScale>
    </cfRule>
    <cfRule type="colorScale" priority="144">
      <colorScale>
        <cfvo type="min"/>
        <cfvo type="max"/>
        <color theme="0"/>
        <color rgb="FFCBC2DF"/>
      </colorScale>
    </cfRule>
  </conditionalFormatting>
  <conditionalFormatting sqref="I14:T14">
    <cfRule type="colorScale" priority="131">
      <colorScale>
        <cfvo type="min"/>
        <cfvo type="max"/>
        <color theme="0" tint="-4.9989318521683403E-2"/>
        <color rgb="FFCBC2DF"/>
      </colorScale>
    </cfRule>
    <cfRule type="colorScale" priority="132">
      <colorScale>
        <cfvo type="min"/>
        <cfvo type="max"/>
        <color theme="0" tint="-0.14999847407452621"/>
        <color rgb="FF6A51A3"/>
      </colorScale>
    </cfRule>
    <cfRule type="colorScale" priority="133">
      <colorScale>
        <cfvo type="min"/>
        <cfvo type="max"/>
        <color rgb="FFCBC2DF"/>
        <color rgb="FF6A51A3"/>
      </colorScale>
    </cfRule>
    <cfRule type="colorScale" priority="134">
      <colorScale>
        <cfvo type="min"/>
        <cfvo type="max"/>
        <color theme="0"/>
        <color rgb="FFCBC2DF"/>
      </colorScale>
    </cfRule>
  </conditionalFormatting>
  <conditionalFormatting sqref="I15:T15">
    <cfRule type="colorScale" priority="121">
      <colorScale>
        <cfvo type="min"/>
        <cfvo type="max"/>
        <color theme="0" tint="-4.9989318521683403E-2"/>
        <color rgb="FFCBC2DF"/>
      </colorScale>
    </cfRule>
    <cfRule type="colorScale" priority="122">
      <colorScale>
        <cfvo type="min"/>
        <cfvo type="max"/>
        <color theme="0" tint="-0.14999847407452621"/>
        <color rgb="FF6A51A3"/>
      </colorScale>
    </cfRule>
    <cfRule type="colorScale" priority="123">
      <colorScale>
        <cfvo type="min"/>
        <cfvo type="max"/>
        <color rgb="FFCBC2DF"/>
        <color rgb="FF6A51A3"/>
      </colorScale>
    </cfRule>
    <cfRule type="colorScale" priority="124">
      <colorScale>
        <cfvo type="min"/>
        <cfvo type="max"/>
        <color theme="0"/>
        <color rgb="FFCBC2DF"/>
      </colorScale>
    </cfRule>
  </conditionalFormatting>
  <conditionalFormatting sqref="I16:T16">
    <cfRule type="colorScale" priority="111">
      <colorScale>
        <cfvo type="min"/>
        <cfvo type="max"/>
        <color theme="0" tint="-4.9989318521683403E-2"/>
        <color rgb="FFCBC2DF"/>
      </colorScale>
    </cfRule>
    <cfRule type="colorScale" priority="112">
      <colorScale>
        <cfvo type="min"/>
        <cfvo type="max"/>
        <color theme="0" tint="-0.14999847407452621"/>
        <color rgb="FF6A51A3"/>
      </colorScale>
    </cfRule>
    <cfRule type="colorScale" priority="113">
      <colorScale>
        <cfvo type="min"/>
        <cfvo type="max"/>
        <color rgb="FFCBC2DF"/>
        <color rgb="FF6A51A3"/>
      </colorScale>
    </cfRule>
    <cfRule type="colorScale" priority="114">
      <colorScale>
        <cfvo type="min"/>
        <cfvo type="max"/>
        <color theme="0"/>
        <color rgb="FFCBC2DF"/>
      </colorScale>
    </cfRule>
  </conditionalFormatting>
  <conditionalFormatting sqref="I17:T17">
    <cfRule type="colorScale" priority="101">
      <colorScale>
        <cfvo type="min"/>
        <cfvo type="max"/>
        <color theme="0" tint="-4.9989318521683403E-2"/>
        <color rgb="FFCBC2DF"/>
      </colorScale>
    </cfRule>
    <cfRule type="colorScale" priority="102">
      <colorScale>
        <cfvo type="min"/>
        <cfvo type="max"/>
        <color theme="0" tint="-0.14999847407452621"/>
        <color rgb="FF6A51A3"/>
      </colorScale>
    </cfRule>
    <cfRule type="colorScale" priority="103">
      <colorScale>
        <cfvo type="min"/>
        <cfvo type="max"/>
        <color rgb="FFCBC2DF"/>
        <color rgb="FF6A51A3"/>
      </colorScale>
    </cfRule>
    <cfRule type="colorScale" priority="104">
      <colorScale>
        <cfvo type="min"/>
        <cfvo type="max"/>
        <color theme="0"/>
        <color rgb="FFCBC2DF"/>
      </colorScale>
    </cfRule>
  </conditionalFormatting>
  <conditionalFormatting sqref="I18:T18">
    <cfRule type="colorScale" priority="91">
      <colorScale>
        <cfvo type="min"/>
        <cfvo type="max"/>
        <color theme="0" tint="-4.9989318521683403E-2"/>
        <color rgb="FFCBC2DF"/>
      </colorScale>
    </cfRule>
    <cfRule type="colorScale" priority="92">
      <colorScale>
        <cfvo type="min"/>
        <cfvo type="max"/>
        <color theme="0" tint="-0.14999847407452621"/>
        <color rgb="FF6A51A3"/>
      </colorScale>
    </cfRule>
    <cfRule type="colorScale" priority="93">
      <colorScale>
        <cfvo type="min"/>
        <cfvo type="max"/>
        <color rgb="FFCBC2DF"/>
        <color rgb="FF6A51A3"/>
      </colorScale>
    </cfRule>
    <cfRule type="colorScale" priority="94">
      <colorScale>
        <cfvo type="min"/>
        <cfvo type="max"/>
        <color theme="0"/>
        <color rgb="FFCBC2DF"/>
      </colorScale>
    </cfRule>
  </conditionalFormatting>
  <conditionalFormatting sqref="I19:T19">
    <cfRule type="colorScale" priority="81">
      <colorScale>
        <cfvo type="min"/>
        <cfvo type="max"/>
        <color theme="0" tint="-4.9989318521683403E-2"/>
        <color rgb="FFCBC2DF"/>
      </colorScale>
    </cfRule>
    <cfRule type="colorScale" priority="82">
      <colorScale>
        <cfvo type="min"/>
        <cfvo type="max"/>
        <color theme="0" tint="-0.14999847407452621"/>
        <color rgb="FF6A51A3"/>
      </colorScale>
    </cfRule>
    <cfRule type="colorScale" priority="83">
      <colorScale>
        <cfvo type="min"/>
        <cfvo type="max"/>
        <color rgb="FFCBC2DF"/>
        <color rgb="FF6A51A3"/>
      </colorScale>
    </cfRule>
    <cfRule type="colorScale" priority="84">
      <colorScale>
        <cfvo type="min"/>
        <cfvo type="max"/>
        <color theme="0"/>
        <color rgb="FFCBC2DF"/>
      </colorScale>
    </cfRule>
  </conditionalFormatting>
  <conditionalFormatting sqref="I20:T20">
    <cfRule type="colorScale" priority="71">
      <colorScale>
        <cfvo type="min"/>
        <cfvo type="max"/>
        <color theme="0" tint="-4.9989318521683403E-2"/>
        <color rgb="FFCBC2DF"/>
      </colorScale>
    </cfRule>
    <cfRule type="colorScale" priority="72">
      <colorScale>
        <cfvo type="min"/>
        <cfvo type="max"/>
        <color theme="0" tint="-0.14999847407452621"/>
        <color rgb="FF6A51A3"/>
      </colorScale>
    </cfRule>
    <cfRule type="colorScale" priority="73">
      <colorScale>
        <cfvo type="min"/>
        <cfvo type="max"/>
        <color rgb="FFCBC2DF"/>
        <color rgb="FF6A51A3"/>
      </colorScale>
    </cfRule>
    <cfRule type="colorScale" priority="74">
      <colorScale>
        <cfvo type="min"/>
        <cfvo type="max"/>
        <color theme="0"/>
        <color rgb="FFCBC2DF"/>
      </colorScale>
    </cfRule>
  </conditionalFormatting>
  <conditionalFormatting sqref="I21:T21">
    <cfRule type="colorScale" priority="61">
      <colorScale>
        <cfvo type="min"/>
        <cfvo type="max"/>
        <color theme="0" tint="-4.9989318521683403E-2"/>
        <color rgb="FFCBC2DF"/>
      </colorScale>
    </cfRule>
    <cfRule type="colorScale" priority="62">
      <colorScale>
        <cfvo type="min"/>
        <cfvo type="max"/>
        <color theme="0" tint="-0.14999847407452621"/>
        <color rgb="FF6A51A3"/>
      </colorScale>
    </cfRule>
    <cfRule type="colorScale" priority="63">
      <colorScale>
        <cfvo type="min"/>
        <cfvo type="max"/>
        <color rgb="FFCBC2DF"/>
        <color rgb="FF6A51A3"/>
      </colorScale>
    </cfRule>
    <cfRule type="colorScale" priority="64">
      <colorScale>
        <cfvo type="min"/>
        <cfvo type="max"/>
        <color theme="0"/>
        <color rgb="FFCBC2DF"/>
      </colorScale>
    </cfRule>
  </conditionalFormatting>
  <conditionalFormatting sqref="I22:T22">
    <cfRule type="colorScale" priority="51">
      <colorScale>
        <cfvo type="min"/>
        <cfvo type="max"/>
        <color theme="0" tint="-4.9989318521683403E-2"/>
        <color rgb="FFCBC2DF"/>
      </colorScale>
    </cfRule>
    <cfRule type="colorScale" priority="52">
      <colorScale>
        <cfvo type="min"/>
        <cfvo type="max"/>
        <color theme="0" tint="-0.14999847407452621"/>
        <color rgb="FF6A51A3"/>
      </colorScale>
    </cfRule>
    <cfRule type="colorScale" priority="53">
      <colorScale>
        <cfvo type="min"/>
        <cfvo type="max"/>
        <color rgb="FFCBC2DF"/>
        <color rgb="FF6A51A3"/>
      </colorScale>
    </cfRule>
    <cfRule type="colorScale" priority="54">
      <colorScale>
        <cfvo type="min"/>
        <cfvo type="max"/>
        <color theme="0"/>
        <color rgb="FFCBC2DF"/>
      </colorScale>
    </cfRule>
  </conditionalFormatting>
  <conditionalFormatting sqref="I23:T23">
    <cfRule type="colorScale" priority="41">
      <colorScale>
        <cfvo type="min"/>
        <cfvo type="max"/>
        <color theme="0" tint="-4.9989318521683403E-2"/>
        <color rgb="FFCBC2DF"/>
      </colorScale>
    </cfRule>
    <cfRule type="colorScale" priority="42">
      <colorScale>
        <cfvo type="min"/>
        <cfvo type="max"/>
        <color theme="0" tint="-0.14999847407452621"/>
        <color rgb="FF6A51A3"/>
      </colorScale>
    </cfRule>
    <cfRule type="colorScale" priority="43">
      <colorScale>
        <cfvo type="min"/>
        <cfvo type="max"/>
        <color rgb="FFCBC2DF"/>
        <color rgb="FF6A51A3"/>
      </colorScale>
    </cfRule>
    <cfRule type="colorScale" priority="44">
      <colorScale>
        <cfvo type="min"/>
        <cfvo type="max"/>
        <color theme="0"/>
        <color rgb="FFCBC2DF"/>
      </colorScale>
    </cfRule>
  </conditionalFormatting>
  <conditionalFormatting sqref="I24:T24">
    <cfRule type="colorScale" priority="31">
      <colorScale>
        <cfvo type="min"/>
        <cfvo type="max"/>
        <color theme="0" tint="-4.9989318521683403E-2"/>
        <color rgb="FFCBC2DF"/>
      </colorScale>
    </cfRule>
    <cfRule type="colorScale" priority="32">
      <colorScale>
        <cfvo type="min"/>
        <cfvo type="max"/>
        <color theme="0" tint="-0.14999847407452621"/>
        <color rgb="FF6A51A3"/>
      </colorScale>
    </cfRule>
    <cfRule type="colorScale" priority="33">
      <colorScale>
        <cfvo type="min"/>
        <cfvo type="max"/>
        <color rgb="FFCBC2DF"/>
        <color rgb="FF6A51A3"/>
      </colorScale>
    </cfRule>
    <cfRule type="colorScale" priority="34">
      <colorScale>
        <cfvo type="min"/>
        <cfvo type="max"/>
        <color theme="0"/>
        <color rgb="FFCBC2DF"/>
      </colorScale>
    </cfRule>
  </conditionalFormatting>
  <conditionalFormatting sqref="I25:T25">
    <cfRule type="colorScale" priority="21">
      <colorScale>
        <cfvo type="min"/>
        <cfvo type="max"/>
        <color theme="0" tint="-4.9989318521683403E-2"/>
        <color rgb="FFCBC2DF"/>
      </colorScale>
    </cfRule>
    <cfRule type="colorScale" priority="22">
      <colorScale>
        <cfvo type="min"/>
        <cfvo type="max"/>
        <color theme="0" tint="-0.14999847407452621"/>
        <color rgb="FF6A51A3"/>
      </colorScale>
    </cfRule>
    <cfRule type="colorScale" priority="23">
      <colorScale>
        <cfvo type="min"/>
        <cfvo type="max"/>
        <color rgb="FFCBC2DF"/>
        <color rgb="FF6A51A3"/>
      </colorScale>
    </cfRule>
    <cfRule type="colorScale" priority="24">
      <colorScale>
        <cfvo type="min"/>
        <cfvo type="max"/>
        <color theme="0"/>
        <color rgb="FFCBC2DF"/>
      </colorScale>
    </cfRule>
  </conditionalFormatting>
  <conditionalFormatting sqref="I26:T26">
    <cfRule type="colorScale" priority="11">
      <colorScale>
        <cfvo type="min"/>
        <cfvo type="max"/>
        <color theme="0" tint="-4.9989318521683403E-2"/>
        <color rgb="FFCBC2DF"/>
      </colorScale>
    </cfRule>
    <cfRule type="colorScale" priority="12">
      <colorScale>
        <cfvo type="min"/>
        <cfvo type="max"/>
        <color theme="0" tint="-0.14999847407452621"/>
        <color rgb="FF6A51A3"/>
      </colorScale>
    </cfRule>
    <cfRule type="colorScale" priority="13">
      <colorScale>
        <cfvo type="min"/>
        <cfvo type="max"/>
        <color rgb="FFCBC2DF"/>
        <color rgb="FF6A51A3"/>
      </colorScale>
    </cfRule>
    <cfRule type="colorScale" priority="14">
      <colorScale>
        <cfvo type="min"/>
        <cfvo type="max"/>
        <color theme="0"/>
        <color rgb="FFCBC2DF"/>
      </colorScale>
    </cfRule>
  </conditionalFormatting>
  <conditionalFormatting sqref="O3:T3">
    <cfRule type="colorScale" priority="245">
      <colorScale>
        <cfvo type="min"/>
        <cfvo type="max"/>
        <color rgb="FFCBC2DF"/>
        <color theme="0"/>
      </colorScale>
    </cfRule>
    <cfRule type="colorScale" priority="246">
      <colorScale>
        <cfvo type="min"/>
        <cfvo type="max"/>
        <color rgb="FF6A51A3"/>
        <color rgb="FFCBC2DF"/>
      </colorScale>
    </cfRule>
    <cfRule type="colorScale" priority="247">
      <colorScale>
        <cfvo type="min"/>
        <cfvo type="max"/>
        <color rgb="FFFCFCFF"/>
        <color rgb="FFF8696B"/>
      </colorScale>
    </cfRule>
  </conditionalFormatting>
  <conditionalFormatting sqref="O4:T4">
    <cfRule type="colorScale" priority="235">
      <colorScale>
        <cfvo type="min"/>
        <cfvo type="max"/>
        <color rgb="FFCBC2DF"/>
        <color theme="0"/>
      </colorScale>
    </cfRule>
    <cfRule type="colorScale" priority="236">
      <colorScale>
        <cfvo type="min"/>
        <cfvo type="max"/>
        <color rgb="FF6A51A3"/>
        <color rgb="FFCBC2DF"/>
      </colorScale>
    </cfRule>
    <cfRule type="colorScale" priority="237">
      <colorScale>
        <cfvo type="min"/>
        <cfvo type="max"/>
        <color rgb="FFFCFCFF"/>
        <color rgb="FFF8696B"/>
      </colorScale>
    </cfRule>
  </conditionalFormatting>
  <conditionalFormatting sqref="O5:T5">
    <cfRule type="colorScale" priority="225">
      <colorScale>
        <cfvo type="min"/>
        <cfvo type="max"/>
        <color rgb="FFCBC2DF"/>
        <color theme="0"/>
      </colorScale>
    </cfRule>
    <cfRule type="colorScale" priority="226">
      <colorScale>
        <cfvo type="min"/>
        <cfvo type="max"/>
        <color rgb="FF6A51A3"/>
        <color rgb="FFCBC2DF"/>
      </colorScale>
    </cfRule>
    <cfRule type="colorScale" priority="227">
      <colorScale>
        <cfvo type="min"/>
        <cfvo type="max"/>
        <color rgb="FFFCFCFF"/>
        <color rgb="FFF8696B"/>
      </colorScale>
    </cfRule>
  </conditionalFormatting>
  <conditionalFormatting sqref="O6:T6">
    <cfRule type="colorScale" priority="215">
      <colorScale>
        <cfvo type="min"/>
        <cfvo type="max"/>
        <color rgb="FFCBC2DF"/>
        <color theme="0"/>
      </colorScale>
    </cfRule>
    <cfRule type="colorScale" priority="216">
      <colorScale>
        <cfvo type="min"/>
        <cfvo type="max"/>
        <color rgb="FF6A51A3"/>
        <color rgb="FFCBC2DF"/>
      </colorScale>
    </cfRule>
    <cfRule type="colorScale" priority="217">
      <colorScale>
        <cfvo type="min"/>
        <cfvo type="max"/>
        <color rgb="FFFCFCFF"/>
        <color rgb="FFF8696B"/>
      </colorScale>
    </cfRule>
  </conditionalFormatting>
  <conditionalFormatting sqref="O7:T7">
    <cfRule type="colorScale" priority="205">
      <colorScale>
        <cfvo type="min"/>
        <cfvo type="max"/>
        <color rgb="FFCBC2DF"/>
        <color theme="0"/>
      </colorScale>
    </cfRule>
    <cfRule type="colorScale" priority="206">
      <colorScale>
        <cfvo type="min"/>
        <cfvo type="max"/>
        <color rgb="FF6A51A3"/>
        <color rgb="FFCBC2DF"/>
      </colorScale>
    </cfRule>
    <cfRule type="colorScale" priority="207">
      <colorScale>
        <cfvo type="min"/>
        <cfvo type="max"/>
        <color rgb="FFFCFCFF"/>
        <color rgb="FFF8696B"/>
      </colorScale>
    </cfRule>
  </conditionalFormatting>
  <conditionalFormatting sqref="O8:T8">
    <cfRule type="colorScale" priority="195">
      <colorScale>
        <cfvo type="min"/>
        <cfvo type="max"/>
        <color rgb="FFCBC2DF"/>
        <color theme="0"/>
      </colorScale>
    </cfRule>
    <cfRule type="colorScale" priority="196">
      <colorScale>
        <cfvo type="min"/>
        <cfvo type="max"/>
        <color rgb="FF6A51A3"/>
        <color rgb="FFCBC2DF"/>
      </colorScale>
    </cfRule>
    <cfRule type="colorScale" priority="197">
      <colorScale>
        <cfvo type="min"/>
        <cfvo type="max"/>
        <color rgb="FFFCFCFF"/>
        <color rgb="FFF8696B"/>
      </colorScale>
    </cfRule>
  </conditionalFormatting>
  <conditionalFormatting sqref="O9:T9">
    <cfRule type="colorScale" priority="185">
      <colorScale>
        <cfvo type="min"/>
        <cfvo type="max"/>
        <color rgb="FFCBC2DF"/>
        <color theme="0"/>
      </colorScale>
    </cfRule>
    <cfRule type="colorScale" priority="186">
      <colorScale>
        <cfvo type="min"/>
        <cfvo type="max"/>
        <color rgb="FF6A51A3"/>
        <color rgb="FFCBC2DF"/>
      </colorScale>
    </cfRule>
    <cfRule type="colorScale" priority="187">
      <colorScale>
        <cfvo type="min"/>
        <cfvo type="max"/>
        <color rgb="FFFCFCFF"/>
        <color rgb="FFF8696B"/>
      </colorScale>
    </cfRule>
  </conditionalFormatting>
  <conditionalFormatting sqref="O10:T10">
    <cfRule type="colorScale" priority="175">
      <colorScale>
        <cfvo type="min"/>
        <cfvo type="max"/>
        <color rgb="FFCBC2DF"/>
        <color theme="0"/>
      </colorScale>
    </cfRule>
    <cfRule type="colorScale" priority="176">
      <colorScale>
        <cfvo type="min"/>
        <cfvo type="max"/>
        <color rgb="FF6A51A3"/>
        <color rgb="FFCBC2DF"/>
      </colorScale>
    </cfRule>
    <cfRule type="colorScale" priority="177">
      <colorScale>
        <cfvo type="min"/>
        <cfvo type="max"/>
        <color rgb="FFFCFCFF"/>
        <color rgb="FFF8696B"/>
      </colorScale>
    </cfRule>
  </conditionalFormatting>
  <conditionalFormatting sqref="O11:T11">
    <cfRule type="colorScale" priority="165">
      <colorScale>
        <cfvo type="min"/>
        <cfvo type="max"/>
        <color rgb="FFCBC2DF"/>
        <color theme="0"/>
      </colorScale>
    </cfRule>
    <cfRule type="colorScale" priority="166">
      <colorScale>
        <cfvo type="min"/>
        <cfvo type="max"/>
        <color rgb="FF6A51A3"/>
        <color rgb="FFCBC2DF"/>
      </colorScale>
    </cfRule>
    <cfRule type="colorScale" priority="167">
      <colorScale>
        <cfvo type="min"/>
        <cfvo type="max"/>
        <color rgb="FFFCFCFF"/>
        <color rgb="FFF8696B"/>
      </colorScale>
    </cfRule>
  </conditionalFormatting>
  <conditionalFormatting sqref="O12:T12">
    <cfRule type="colorScale" priority="155">
      <colorScale>
        <cfvo type="min"/>
        <cfvo type="max"/>
        <color rgb="FFCBC2DF"/>
        <color theme="0"/>
      </colorScale>
    </cfRule>
    <cfRule type="colorScale" priority="156">
      <colorScale>
        <cfvo type="min"/>
        <cfvo type="max"/>
        <color rgb="FF6A51A3"/>
        <color rgb="FFCBC2DF"/>
      </colorScale>
    </cfRule>
    <cfRule type="colorScale" priority="157">
      <colorScale>
        <cfvo type="min"/>
        <cfvo type="max"/>
        <color rgb="FFFCFCFF"/>
        <color rgb="FFF8696B"/>
      </colorScale>
    </cfRule>
  </conditionalFormatting>
  <conditionalFormatting sqref="O13:T13">
    <cfRule type="colorScale" priority="145">
      <colorScale>
        <cfvo type="min"/>
        <cfvo type="max"/>
        <color rgb="FFCBC2DF"/>
        <color theme="0"/>
      </colorScale>
    </cfRule>
    <cfRule type="colorScale" priority="146">
      <colorScale>
        <cfvo type="min"/>
        <cfvo type="max"/>
        <color rgb="FF6A51A3"/>
        <color rgb="FFCBC2DF"/>
      </colorScale>
    </cfRule>
    <cfRule type="colorScale" priority="147">
      <colorScale>
        <cfvo type="min"/>
        <cfvo type="max"/>
        <color rgb="FFFCFCFF"/>
        <color rgb="FFF8696B"/>
      </colorScale>
    </cfRule>
  </conditionalFormatting>
  <conditionalFormatting sqref="O14:T14">
    <cfRule type="colorScale" priority="135">
      <colorScale>
        <cfvo type="min"/>
        <cfvo type="max"/>
        <color rgb="FFCBC2DF"/>
        <color theme="0"/>
      </colorScale>
    </cfRule>
    <cfRule type="colorScale" priority="136">
      <colorScale>
        <cfvo type="min"/>
        <cfvo type="max"/>
        <color rgb="FF6A51A3"/>
        <color rgb="FFCBC2DF"/>
      </colorScale>
    </cfRule>
    <cfRule type="colorScale" priority="137">
      <colorScale>
        <cfvo type="min"/>
        <cfvo type="max"/>
        <color rgb="FFFCFCFF"/>
        <color rgb="FFF8696B"/>
      </colorScale>
    </cfRule>
  </conditionalFormatting>
  <conditionalFormatting sqref="O15:T15">
    <cfRule type="colorScale" priority="125">
      <colorScale>
        <cfvo type="min"/>
        <cfvo type="max"/>
        <color rgb="FFCBC2DF"/>
        <color theme="0"/>
      </colorScale>
    </cfRule>
    <cfRule type="colorScale" priority="126">
      <colorScale>
        <cfvo type="min"/>
        <cfvo type="max"/>
        <color rgb="FF6A51A3"/>
        <color rgb="FFCBC2DF"/>
      </colorScale>
    </cfRule>
    <cfRule type="colorScale" priority="127">
      <colorScale>
        <cfvo type="min"/>
        <cfvo type="max"/>
        <color rgb="FFFCFCFF"/>
        <color rgb="FFF8696B"/>
      </colorScale>
    </cfRule>
  </conditionalFormatting>
  <conditionalFormatting sqref="O16:T16">
    <cfRule type="colorScale" priority="115">
      <colorScale>
        <cfvo type="min"/>
        <cfvo type="max"/>
        <color rgb="FFCBC2DF"/>
        <color theme="0"/>
      </colorScale>
    </cfRule>
    <cfRule type="colorScale" priority="116">
      <colorScale>
        <cfvo type="min"/>
        <cfvo type="max"/>
        <color rgb="FF6A51A3"/>
        <color rgb="FFCBC2DF"/>
      </colorScale>
    </cfRule>
    <cfRule type="colorScale" priority="117">
      <colorScale>
        <cfvo type="min"/>
        <cfvo type="max"/>
        <color rgb="FFFCFCFF"/>
        <color rgb="FFF8696B"/>
      </colorScale>
    </cfRule>
  </conditionalFormatting>
  <conditionalFormatting sqref="O17:T17">
    <cfRule type="colorScale" priority="105">
      <colorScale>
        <cfvo type="min"/>
        <cfvo type="max"/>
        <color rgb="FFCBC2DF"/>
        <color theme="0"/>
      </colorScale>
    </cfRule>
    <cfRule type="colorScale" priority="106">
      <colorScale>
        <cfvo type="min"/>
        <cfvo type="max"/>
        <color rgb="FF6A51A3"/>
        <color rgb="FFCBC2DF"/>
      </colorScale>
    </cfRule>
    <cfRule type="colorScale" priority="107">
      <colorScale>
        <cfvo type="min"/>
        <cfvo type="max"/>
        <color rgb="FFFCFCFF"/>
        <color rgb="FFF8696B"/>
      </colorScale>
    </cfRule>
  </conditionalFormatting>
  <conditionalFormatting sqref="O18:T18">
    <cfRule type="colorScale" priority="95">
      <colorScale>
        <cfvo type="min"/>
        <cfvo type="max"/>
        <color rgb="FFCBC2DF"/>
        <color theme="0"/>
      </colorScale>
    </cfRule>
    <cfRule type="colorScale" priority="96">
      <colorScale>
        <cfvo type="min"/>
        <cfvo type="max"/>
        <color rgb="FF6A51A3"/>
        <color rgb="FFCBC2DF"/>
      </colorScale>
    </cfRule>
    <cfRule type="colorScale" priority="97">
      <colorScale>
        <cfvo type="min"/>
        <cfvo type="max"/>
        <color rgb="FFFCFCFF"/>
        <color rgb="FFF8696B"/>
      </colorScale>
    </cfRule>
  </conditionalFormatting>
  <conditionalFormatting sqref="O19:T19">
    <cfRule type="colorScale" priority="85">
      <colorScale>
        <cfvo type="min"/>
        <cfvo type="max"/>
        <color rgb="FFCBC2DF"/>
        <color theme="0"/>
      </colorScale>
    </cfRule>
    <cfRule type="colorScale" priority="86">
      <colorScale>
        <cfvo type="min"/>
        <cfvo type="max"/>
        <color rgb="FF6A51A3"/>
        <color rgb="FFCBC2DF"/>
      </colorScale>
    </cfRule>
    <cfRule type="colorScale" priority="87">
      <colorScale>
        <cfvo type="min"/>
        <cfvo type="max"/>
        <color rgb="FFFCFCFF"/>
        <color rgb="FFF8696B"/>
      </colorScale>
    </cfRule>
  </conditionalFormatting>
  <conditionalFormatting sqref="O20:T20">
    <cfRule type="colorScale" priority="75">
      <colorScale>
        <cfvo type="min"/>
        <cfvo type="max"/>
        <color rgb="FFCBC2DF"/>
        <color theme="0"/>
      </colorScale>
    </cfRule>
    <cfRule type="colorScale" priority="76">
      <colorScale>
        <cfvo type="min"/>
        <cfvo type="max"/>
        <color rgb="FF6A51A3"/>
        <color rgb="FFCBC2DF"/>
      </colorScale>
    </cfRule>
    <cfRule type="colorScale" priority="77">
      <colorScale>
        <cfvo type="min"/>
        <cfvo type="max"/>
        <color rgb="FFFCFCFF"/>
        <color rgb="FFF8696B"/>
      </colorScale>
    </cfRule>
  </conditionalFormatting>
  <conditionalFormatting sqref="O21:T21">
    <cfRule type="colorScale" priority="65">
      <colorScale>
        <cfvo type="min"/>
        <cfvo type="max"/>
        <color rgb="FFCBC2DF"/>
        <color theme="0"/>
      </colorScale>
    </cfRule>
    <cfRule type="colorScale" priority="66">
      <colorScale>
        <cfvo type="min"/>
        <cfvo type="max"/>
        <color rgb="FF6A51A3"/>
        <color rgb="FFCBC2DF"/>
      </colorScale>
    </cfRule>
    <cfRule type="colorScale" priority="67">
      <colorScale>
        <cfvo type="min"/>
        <cfvo type="max"/>
        <color rgb="FFFCFCFF"/>
        <color rgb="FFF8696B"/>
      </colorScale>
    </cfRule>
  </conditionalFormatting>
  <conditionalFormatting sqref="O22:T22">
    <cfRule type="colorScale" priority="55">
      <colorScale>
        <cfvo type="min"/>
        <cfvo type="max"/>
        <color rgb="FFCBC2DF"/>
        <color theme="0"/>
      </colorScale>
    </cfRule>
    <cfRule type="colorScale" priority="56">
      <colorScale>
        <cfvo type="min"/>
        <cfvo type="max"/>
        <color rgb="FF6A51A3"/>
        <color rgb="FFCBC2DF"/>
      </colorScale>
    </cfRule>
    <cfRule type="colorScale" priority="57">
      <colorScale>
        <cfvo type="min"/>
        <cfvo type="max"/>
        <color rgb="FFFCFCFF"/>
        <color rgb="FFF8696B"/>
      </colorScale>
    </cfRule>
  </conditionalFormatting>
  <conditionalFormatting sqref="O23:T23">
    <cfRule type="colorScale" priority="45">
      <colorScale>
        <cfvo type="min"/>
        <cfvo type="max"/>
        <color rgb="FFCBC2DF"/>
        <color theme="0"/>
      </colorScale>
    </cfRule>
    <cfRule type="colorScale" priority="46">
      <colorScale>
        <cfvo type="min"/>
        <cfvo type="max"/>
        <color rgb="FF6A51A3"/>
        <color rgb="FFCBC2DF"/>
      </colorScale>
    </cfRule>
    <cfRule type="colorScale" priority="47">
      <colorScale>
        <cfvo type="min"/>
        <cfvo type="max"/>
        <color rgb="FFFCFCFF"/>
        <color rgb="FFF8696B"/>
      </colorScale>
    </cfRule>
  </conditionalFormatting>
  <conditionalFormatting sqref="O24:T24">
    <cfRule type="colorScale" priority="35">
      <colorScale>
        <cfvo type="min"/>
        <cfvo type="max"/>
        <color rgb="FFCBC2DF"/>
        <color theme="0"/>
      </colorScale>
    </cfRule>
    <cfRule type="colorScale" priority="36">
      <colorScale>
        <cfvo type="min"/>
        <cfvo type="max"/>
        <color rgb="FF6A51A3"/>
        <color rgb="FFCBC2DF"/>
      </colorScale>
    </cfRule>
    <cfRule type="colorScale" priority="37">
      <colorScale>
        <cfvo type="min"/>
        <cfvo type="max"/>
        <color rgb="FFFCFCFF"/>
        <color rgb="FFF8696B"/>
      </colorScale>
    </cfRule>
  </conditionalFormatting>
  <conditionalFormatting sqref="O25:T25">
    <cfRule type="colorScale" priority="25">
      <colorScale>
        <cfvo type="min"/>
        <cfvo type="max"/>
        <color rgb="FFCBC2DF"/>
        <color theme="0"/>
      </colorScale>
    </cfRule>
    <cfRule type="colorScale" priority="26">
      <colorScale>
        <cfvo type="min"/>
        <cfvo type="max"/>
        <color rgb="FF6A51A3"/>
        <color rgb="FFCBC2DF"/>
      </colorScale>
    </cfRule>
    <cfRule type="colorScale" priority="27">
      <colorScale>
        <cfvo type="min"/>
        <cfvo type="max"/>
        <color rgb="FFFCFCFF"/>
        <color rgb="FFF8696B"/>
      </colorScale>
    </cfRule>
  </conditionalFormatting>
  <conditionalFormatting sqref="O26:T26">
    <cfRule type="colorScale" priority="15">
      <colorScale>
        <cfvo type="min"/>
        <cfvo type="max"/>
        <color rgb="FFCBC2DF"/>
        <color theme="0"/>
      </colorScale>
    </cfRule>
    <cfRule type="colorScale" priority="16">
      <colorScale>
        <cfvo type="min"/>
        <cfvo type="max"/>
        <color rgb="FF6A51A3"/>
        <color rgb="FFCBC2DF"/>
      </colorScale>
    </cfRule>
    <cfRule type="colorScale" priority="17">
      <colorScale>
        <cfvo type="min"/>
        <cfvo type="max"/>
        <color rgb="FFFCFCFF"/>
        <color rgb="FFF8696B"/>
      </colorScale>
    </cfRule>
  </conditionalFormatting>
  <conditionalFormatting sqref="O2:U2 W2:Z2">
    <cfRule type="colorScale" priority="444">
      <colorScale>
        <cfvo type="min"/>
        <cfvo type="max"/>
        <color rgb="FFCBC2DF"/>
        <color theme="0"/>
      </colorScale>
    </cfRule>
    <cfRule type="colorScale" priority="445">
      <colorScale>
        <cfvo type="min"/>
        <cfvo type="max"/>
        <color rgb="FF6A51A3"/>
        <color rgb="FFCBC2DF"/>
      </colorScale>
    </cfRule>
    <cfRule type="colorScale" priority="446">
      <colorScale>
        <cfvo type="min"/>
        <cfvo type="max"/>
        <color rgb="FFFCFCFF"/>
        <color rgb="FFF8696B"/>
      </colorScale>
    </cfRule>
  </conditionalFormatting>
  <conditionalFormatting sqref="V28:X28">
    <cfRule type="colorScale" priority="8">
      <colorScale>
        <cfvo type="min"/>
        <cfvo type="max"/>
        <color rgb="FFCBC2DF"/>
        <color theme="0"/>
      </colorScale>
    </cfRule>
    <cfRule type="colorScale" priority="9">
      <colorScale>
        <cfvo type="min"/>
        <cfvo type="max"/>
        <color rgb="FF6A51A3"/>
        <color rgb="FFCBC2DF"/>
      </colorScale>
    </cfRule>
    <cfRule type="colorScale" priority="10">
      <colorScale>
        <cfvo type="min"/>
        <cfvo type="max"/>
        <color rgb="FFFCFCFF"/>
        <color rgb="FFF8696B"/>
      </colorScale>
    </cfRule>
  </conditionalFormatting>
  <conditionalFormatting sqref="V28:AD28">
    <cfRule type="colorScale" priority="1">
      <colorScale>
        <cfvo type="min"/>
        <cfvo type="max"/>
        <color theme="0" tint="-4.9989318521683403E-2"/>
        <color rgb="FFCBC2DF"/>
      </colorScale>
    </cfRule>
    <cfRule type="colorScale" priority="2">
      <colorScale>
        <cfvo type="min"/>
        <cfvo type="max"/>
        <color theme="0" tint="-0.14999847407452621"/>
        <color rgb="FF6A51A3"/>
      </colorScale>
    </cfRule>
    <cfRule type="colorScale" priority="3">
      <colorScale>
        <cfvo type="min"/>
        <cfvo type="max"/>
        <color rgb="FFCBC2DF"/>
        <color rgb="FF6A51A3"/>
      </colorScale>
    </cfRule>
    <cfRule type="colorScale" priority="4">
      <colorScale>
        <cfvo type="min"/>
        <cfvo type="max"/>
        <color theme="0"/>
        <color rgb="FFCBC2DF"/>
      </colorScale>
    </cfRule>
  </conditionalFormatting>
  <conditionalFormatting sqref="W10:AA10 U10">
    <cfRule type="colorScale" priority="441">
      <colorScale>
        <cfvo type="min"/>
        <cfvo type="max"/>
        <color rgb="FFCBC2DF"/>
        <color theme="0"/>
      </colorScale>
    </cfRule>
    <cfRule type="colorScale" priority="442">
      <colorScale>
        <cfvo type="min"/>
        <cfvo type="max"/>
        <color rgb="FF6A51A3"/>
        <color rgb="FFCBC2DF"/>
      </colorScale>
    </cfRule>
    <cfRule type="colorScale" priority="443">
      <colorScale>
        <cfvo type="min"/>
        <cfvo type="max"/>
        <color rgb="FFFCFCFF"/>
        <color rgb="FFF8696B"/>
      </colorScale>
    </cfRule>
  </conditionalFormatting>
  <conditionalFormatting sqref="Y28:AD28">
    <cfRule type="colorScale" priority="5">
      <colorScale>
        <cfvo type="min"/>
        <cfvo type="max"/>
        <color rgb="FFCBC2DF"/>
        <color theme="0"/>
      </colorScale>
    </cfRule>
    <cfRule type="colorScale" priority="6">
      <colorScale>
        <cfvo type="min"/>
        <cfvo type="max"/>
        <color rgb="FF6A51A3"/>
        <color rgb="FFCBC2DF"/>
      </colorScale>
    </cfRule>
    <cfRule type="colorScale" priority="7">
      <colorScale>
        <cfvo type="min"/>
        <cfvo type="max"/>
        <color rgb="FFFCFCFF"/>
        <color rgb="FFF8696B"/>
      </colorScale>
    </cfRule>
  </conditionalFormatting>
  <conditionalFormatting sqref="Z3:AK3">
    <cfRule type="colorScale" priority="447">
      <colorScale>
        <cfvo type="min"/>
        <cfvo type="max"/>
        <color rgb="FFCBC2DF"/>
        <color theme="0"/>
      </colorScale>
    </cfRule>
    <cfRule type="colorScale" priority="448">
      <colorScale>
        <cfvo type="min"/>
        <cfvo type="max"/>
        <color rgb="FF6A51A3"/>
        <color rgb="FFCBC2DF"/>
      </colorScale>
    </cfRule>
    <cfRule type="colorScale" priority="449">
      <colorScale>
        <cfvo type="min"/>
        <cfvo type="max"/>
        <color rgb="FFFCFCFF"/>
        <color rgb="FFF8696B"/>
      </colorScale>
    </cfRule>
  </conditionalFormatting>
  <conditionalFormatting sqref="Z29:AK29">
    <cfRule type="colorScale" priority="423">
      <colorScale>
        <cfvo type="min"/>
        <cfvo type="max"/>
        <color rgb="FFCBC2DF"/>
        <color theme="0"/>
      </colorScale>
    </cfRule>
    <cfRule type="colorScale" priority="424">
      <colorScale>
        <cfvo type="min"/>
        <cfvo type="max"/>
        <color rgb="FF6A51A3"/>
        <color rgb="FFCBC2DF"/>
      </colorScale>
    </cfRule>
    <cfRule type="colorScale" priority="42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B52F-DB52-45D4-B55B-AACF358DD7DB}">
  <dimension ref="A1:G128"/>
  <sheetViews>
    <sheetView topLeftCell="D28" zoomScaleNormal="100" workbookViewId="0">
      <selection activeCell="F11" sqref="F11"/>
    </sheetView>
  </sheetViews>
  <sheetFormatPr defaultRowHeight="14.25"/>
  <cols>
    <col min="2" max="2" width="23.9296875" bestFit="1" customWidth="1"/>
    <col min="5" max="5" width="22.53125" bestFit="1" customWidth="1"/>
  </cols>
  <sheetData>
    <row r="1" spans="1:7">
      <c r="A1" t="s">
        <v>59</v>
      </c>
      <c r="B1" t="s">
        <v>86</v>
      </c>
      <c r="C1" t="s">
        <v>100</v>
      </c>
      <c r="D1" t="s">
        <v>89</v>
      </c>
      <c r="E1" t="s">
        <v>98</v>
      </c>
      <c r="F1" t="s">
        <v>99</v>
      </c>
      <c r="G1" t="s">
        <v>62</v>
      </c>
    </row>
    <row r="2" spans="1:7">
      <c r="A2" t="s">
        <v>63</v>
      </c>
      <c r="B2">
        <v>1</v>
      </c>
      <c r="C2">
        <v>1</v>
      </c>
      <c r="D2">
        <v>706016</v>
      </c>
      <c r="E2" t="s">
        <v>66</v>
      </c>
      <c r="F2">
        <v>670</v>
      </c>
      <c r="G2">
        <v>2246.3372373953503</v>
      </c>
    </row>
    <row r="3" spans="1:7">
      <c r="A3" t="s">
        <v>63</v>
      </c>
      <c r="B3">
        <v>1</v>
      </c>
      <c r="C3">
        <v>2</v>
      </c>
      <c r="D3">
        <v>689109</v>
      </c>
      <c r="E3" t="s">
        <v>64</v>
      </c>
      <c r="F3">
        <v>540</v>
      </c>
      <c r="G3">
        <v>907.95758264139295</v>
      </c>
    </row>
    <row r="4" spans="1:7">
      <c r="A4" t="s">
        <v>63</v>
      </c>
      <c r="B4">
        <v>1</v>
      </c>
      <c r="C4">
        <v>3</v>
      </c>
      <c r="D4">
        <v>562245</v>
      </c>
      <c r="E4" t="s">
        <v>91</v>
      </c>
      <c r="F4">
        <v>466</v>
      </c>
      <c r="G4">
        <v>1310.9152163378899</v>
      </c>
    </row>
    <row r="5" spans="1:7">
      <c r="A5" t="s">
        <v>65</v>
      </c>
      <c r="B5">
        <v>2</v>
      </c>
      <c r="C5">
        <v>1</v>
      </c>
      <c r="D5">
        <v>706016</v>
      </c>
      <c r="E5" t="s">
        <v>66</v>
      </c>
      <c r="F5">
        <v>640</v>
      </c>
      <c r="G5">
        <v>2087.9152063280303</v>
      </c>
    </row>
    <row r="6" spans="1:7">
      <c r="A6" t="s">
        <v>65</v>
      </c>
      <c r="B6">
        <v>2</v>
      </c>
      <c r="C6">
        <v>2</v>
      </c>
      <c r="D6">
        <v>610776</v>
      </c>
      <c r="E6" t="s">
        <v>92</v>
      </c>
      <c r="F6">
        <v>511</v>
      </c>
      <c r="G6">
        <v>412.10678275674599</v>
      </c>
    </row>
    <row r="7" spans="1:7">
      <c r="A7" t="s">
        <v>65</v>
      </c>
      <c r="B7">
        <v>2</v>
      </c>
      <c r="C7">
        <v>3</v>
      </c>
      <c r="D7">
        <v>680262</v>
      </c>
      <c r="E7" t="s">
        <v>93</v>
      </c>
      <c r="F7">
        <v>402</v>
      </c>
      <c r="G7">
        <v>1292.49997287989</v>
      </c>
    </row>
    <row r="8" spans="1:7">
      <c r="A8" t="s">
        <v>67</v>
      </c>
      <c r="B8">
        <v>3</v>
      </c>
      <c r="C8">
        <v>1</v>
      </c>
      <c r="D8">
        <v>706016</v>
      </c>
      <c r="E8" t="s">
        <v>66</v>
      </c>
      <c r="F8">
        <v>565</v>
      </c>
      <c r="G8">
        <v>1879.8372475430401</v>
      </c>
    </row>
    <row r="9" spans="1:7">
      <c r="A9" t="s">
        <v>67</v>
      </c>
      <c r="B9">
        <v>3</v>
      </c>
      <c r="C9">
        <v>2</v>
      </c>
      <c r="D9">
        <v>610776</v>
      </c>
      <c r="E9" t="s">
        <v>92</v>
      </c>
      <c r="F9">
        <v>557</v>
      </c>
      <c r="G9">
        <v>464.29660953581299</v>
      </c>
    </row>
    <row r="10" spans="1:7">
      <c r="A10" t="s">
        <v>67</v>
      </c>
      <c r="B10">
        <v>3</v>
      </c>
      <c r="C10">
        <v>3</v>
      </c>
      <c r="D10">
        <v>562245</v>
      </c>
      <c r="E10" t="s">
        <v>91</v>
      </c>
      <c r="F10">
        <v>428</v>
      </c>
      <c r="G10">
        <v>1228.8220061920599</v>
      </c>
    </row>
    <row r="11" spans="1:7">
      <c r="A11" t="s">
        <v>68</v>
      </c>
      <c r="B11">
        <v>4</v>
      </c>
      <c r="C11">
        <v>1</v>
      </c>
      <c r="D11">
        <v>573716</v>
      </c>
      <c r="E11" t="s">
        <v>69</v>
      </c>
      <c r="F11">
        <v>729</v>
      </c>
      <c r="G11">
        <v>1783.65932442248</v>
      </c>
    </row>
    <row r="12" spans="1:7">
      <c r="A12" t="s">
        <v>68</v>
      </c>
      <c r="B12">
        <v>4</v>
      </c>
      <c r="C12">
        <v>2</v>
      </c>
      <c r="D12">
        <v>610776</v>
      </c>
      <c r="E12" t="s">
        <v>92</v>
      </c>
      <c r="F12">
        <v>656</v>
      </c>
      <c r="G12">
        <v>529.53389734029793</v>
      </c>
    </row>
    <row r="13" spans="1:7">
      <c r="A13" t="s">
        <v>68</v>
      </c>
      <c r="B13">
        <v>4</v>
      </c>
      <c r="C13">
        <v>3</v>
      </c>
      <c r="D13">
        <v>599580</v>
      </c>
      <c r="E13" t="s">
        <v>76</v>
      </c>
      <c r="F13">
        <v>588</v>
      </c>
      <c r="G13">
        <v>962.86775642074588</v>
      </c>
    </row>
    <row r="14" spans="1:7">
      <c r="A14" t="s">
        <v>70</v>
      </c>
      <c r="B14">
        <v>5</v>
      </c>
      <c r="C14">
        <v>1</v>
      </c>
      <c r="D14">
        <v>684209</v>
      </c>
      <c r="E14" t="s">
        <v>72</v>
      </c>
      <c r="F14">
        <v>620</v>
      </c>
      <c r="G14">
        <v>1499.0881404839502</v>
      </c>
    </row>
    <row r="15" spans="1:7">
      <c r="A15" t="s">
        <v>70</v>
      </c>
      <c r="B15">
        <v>5</v>
      </c>
      <c r="C15">
        <v>2</v>
      </c>
      <c r="D15">
        <v>720137</v>
      </c>
      <c r="E15" t="s">
        <v>71</v>
      </c>
      <c r="F15">
        <v>611</v>
      </c>
      <c r="G15">
        <v>198.80168185336501</v>
      </c>
    </row>
    <row r="16" spans="1:7">
      <c r="A16" t="s">
        <v>70</v>
      </c>
      <c r="B16">
        <v>5</v>
      </c>
      <c r="C16">
        <v>3</v>
      </c>
      <c r="D16">
        <v>739144</v>
      </c>
      <c r="E16" t="s">
        <v>94</v>
      </c>
      <c r="F16">
        <v>559</v>
      </c>
      <c r="G16">
        <v>913.87284426018596</v>
      </c>
    </row>
    <row r="17" spans="1:7">
      <c r="A17" t="s">
        <v>73</v>
      </c>
      <c r="B17">
        <v>6</v>
      </c>
      <c r="C17">
        <v>1</v>
      </c>
      <c r="D17">
        <v>739144</v>
      </c>
      <c r="E17" t="s">
        <v>94</v>
      </c>
      <c r="F17">
        <v>674</v>
      </c>
      <c r="G17">
        <v>1106.31859758869</v>
      </c>
    </row>
    <row r="18" spans="1:7">
      <c r="A18" t="s">
        <v>73</v>
      </c>
      <c r="B18">
        <v>6</v>
      </c>
      <c r="C18">
        <v>2</v>
      </c>
      <c r="D18">
        <v>610776</v>
      </c>
      <c r="E18" t="s">
        <v>92</v>
      </c>
      <c r="F18">
        <v>636</v>
      </c>
      <c r="G18">
        <v>520.167794986628</v>
      </c>
    </row>
    <row r="19" spans="1:7">
      <c r="A19" t="s">
        <v>73</v>
      </c>
      <c r="B19">
        <v>6</v>
      </c>
      <c r="C19">
        <v>3</v>
      </c>
      <c r="D19">
        <v>684209</v>
      </c>
      <c r="E19" t="s">
        <v>72</v>
      </c>
      <c r="F19">
        <v>504</v>
      </c>
      <c r="G19">
        <v>1248.1016978621501</v>
      </c>
    </row>
    <row r="20" spans="1:7">
      <c r="A20" t="s">
        <v>74</v>
      </c>
      <c r="B20">
        <v>7</v>
      </c>
      <c r="C20">
        <v>1</v>
      </c>
      <c r="D20">
        <v>717490</v>
      </c>
      <c r="E20" t="s">
        <v>75</v>
      </c>
      <c r="F20">
        <v>710</v>
      </c>
      <c r="G20">
        <v>563.69999857852201</v>
      </c>
    </row>
    <row r="21" spans="1:7">
      <c r="A21" t="s">
        <v>74</v>
      </c>
      <c r="B21">
        <v>7</v>
      </c>
      <c r="C21">
        <v>2</v>
      </c>
      <c r="D21">
        <v>589599</v>
      </c>
      <c r="E21" t="s">
        <v>95</v>
      </c>
      <c r="F21">
        <v>528</v>
      </c>
      <c r="G21">
        <v>1016.66609668173</v>
      </c>
    </row>
    <row r="22" spans="1:7">
      <c r="A22" t="s">
        <v>74</v>
      </c>
      <c r="B22">
        <v>7</v>
      </c>
      <c r="C22">
        <v>3</v>
      </c>
      <c r="D22">
        <v>739144</v>
      </c>
      <c r="E22" t="s">
        <v>94</v>
      </c>
      <c r="F22">
        <v>453</v>
      </c>
      <c r="G22">
        <v>659.49828403536208</v>
      </c>
    </row>
    <row r="23" spans="1:7">
      <c r="A23" t="s">
        <v>77</v>
      </c>
      <c r="B23">
        <v>8</v>
      </c>
      <c r="C23">
        <v>1</v>
      </c>
      <c r="D23">
        <v>706016</v>
      </c>
      <c r="E23" t="s">
        <v>66</v>
      </c>
      <c r="F23">
        <v>471</v>
      </c>
      <c r="G23">
        <v>1512.8270930610602</v>
      </c>
    </row>
    <row r="24" spans="1:7">
      <c r="A24" t="s">
        <v>77</v>
      </c>
      <c r="B24">
        <v>8</v>
      </c>
      <c r="C24">
        <v>2</v>
      </c>
      <c r="D24">
        <v>760123</v>
      </c>
      <c r="E24" t="s">
        <v>80</v>
      </c>
      <c r="F24">
        <v>413</v>
      </c>
      <c r="G24">
        <v>670.67285552620899</v>
      </c>
    </row>
    <row r="25" spans="1:7">
      <c r="A25" t="s">
        <v>77</v>
      </c>
      <c r="B25">
        <v>8</v>
      </c>
      <c r="C25">
        <v>3</v>
      </c>
      <c r="D25">
        <v>799190</v>
      </c>
      <c r="E25" t="s">
        <v>78</v>
      </c>
      <c r="F25">
        <v>411</v>
      </c>
      <c r="G25">
        <v>763.45590613782394</v>
      </c>
    </row>
    <row r="26" spans="1:7">
      <c r="A26" t="s">
        <v>81</v>
      </c>
      <c r="B26">
        <v>9</v>
      </c>
      <c r="C26">
        <v>1</v>
      </c>
      <c r="D26">
        <v>706016</v>
      </c>
      <c r="E26" t="s">
        <v>66</v>
      </c>
      <c r="F26">
        <v>784</v>
      </c>
      <c r="G26">
        <v>2487.6796268858002</v>
      </c>
    </row>
    <row r="27" spans="1:7">
      <c r="A27" t="s">
        <v>81</v>
      </c>
      <c r="B27">
        <v>9</v>
      </c>
      <c r="C27">
        <v>2</v>
      </c>
      <c r="D27">
        <v>660599</v>
      </c>
      <c r="E27" t="s">
        <v>96</v>
      </c>
      <c r="F27">
        <v>531</v>
      </c>
      <c r="G27">
        <v>1636.1186254303898</v>
      </c>
    </row>
    <row r="28" spans="1:7">
      <c r="A28" t="s">
        <v>81</v>
      </c>
      <c r="B28">
        <v>9</v>
      </c>
      <c r="C28">
        <v>3</v>
      </c>
      <c r="D28">
        <v>673677</v>
      </c>
      <c r="E28" t="s">
        <v>82</v>
      </c>
      <c r="F28">
        <v>525</v>
      </c>
      <c r="G28">
        <v>1233.2101744599599</v>
      </c>
    </row>
    <row r="29" spans="1:7">
      <c r="A29" t="s">
        <v>83</v>
      </c>
      <c r="B29">
        <v>10</v>
      </c>
      <c r="C29">
        <v>1</v>
      </c>
      <c r="D29">
        <v>706016</v>
      </c>
      <c r="E29" t="s">
        <v>66</v>
      </c>
      <c r="F29">
        <v>645</v>
      </c>
      <c r="G29">
        <v>2113.74233551323</v>
      </c>
    </row>
    <row r="30" spans="1:7">
      <c r="A30" t="s">
        <v>83</v>
      </c>
      <c r="B30">
        <v>10</v>
      </c>
      <c r="C30">
        <v>2</v>
      </c>
      <c r="D30">
        <v>562245</v>
      </c>
      <c r="E30" t="s">
        <v>91</v>
      </c>
      <c r="F30">
        <v>578</v>
      </c>
      <c r="G30">
        <v>1716.3423410616801</v>
      </c>
    </row>
    <row r="31" spans="1:7">
      <c r="A31" t="s">
        <v>83</v>
      </c>
      <c r="B31">
        <v>10</v>
      </c>
      <c r="C31">
        <v>3</v>
      </c>
      <c r="D31">
        <v>673677</v>
      </c>
      <c r="E31" t="s">
        <v>82</v>
      </c>
      <c r="F31">
        <v>518</v>
      </c>
      <c r="G31">
        <v>1266.99491608888</v>
      </c>
    </row>
    <row r="32" spans="1:7">
      <c r="A32" t="s">
        <v>84</v>
      </c>
      <c r="B32">
        <v>11</v>
      </c>
      <c r="C32">
        <v>1</v>
      </c>
      <c r="D32">
        <v>706016</v>
      </c>
      <c r="E32" t="s">
        <v>66</v>
      </c>
      <c r="F32">
        <v>992</v>
      </c>
      <c r="G32">
        <v>2974.0762609988501</v>
      </c>
    </row>
    <row r="33" spans="1:7">
      <c r="A33" t="s">
        <v>84</v>
      </c>
      <c r="B33">
        <v>11</v>
      </c>
      <c r="C33">
        <v>2</v>
      </c>
      <c r="D33">
        <v>562245</v>
      </c>
      <c r="E33" t="s">
        <v>91</v>
      </c>
      <c r="F33">
        <v>526</v>
      </c>
      <c r="G33">
        <v>1546.88473325223</v>
      </c>
    </row>
    <row r="34" spans="1:7">
      <c r="A34" t="s">
        <v>84</v>
      </c>
      <c r="B34">
        <v>11</v>
      </c>
      <c r="C34">
        <v>3</v>
      </c>
      <c r="D34">
        <v>673677</v>
      </c>
      <c r="E34" t="s">
        <v>82</v>
      </c>
      <c r="F34">
        <v>447</v>
      </c>
      <c r="G34">
        <v>1045.6966130062901</v>
      </c>
    </row>
    <row r="35" spans="1:7">
      <c r="A35" t="s">
        <v>85</v>
      </c>
      <c r="B35">
        <v>12</v>
      </c>
      <c r="C35">
        <v>1</v>
      </c>
      <c r="D35">
        <v>562245</v>
      </c>
      <c r="E35" t="s">
        <v>91</v>
      </c>
      <c r="F35">
        <v>613</v>
      </c>
      <c r="G35">
        <v>1545.8694512024501</v>
      </c>
    </row>
    <row r="36" spans="1:7">
      <c r="A36" t="s">
        <v>85</v>
      </c>
      <c r="B36">
        <v>12</v>
      </c>
      <c r="C36">
        <v>2</v>
      </c>
      <c r="D36">
        <v>706016</v>
      </c>
      <c r="E36" t="s">
        <v>66</v>
      </c>
      <c r="F36">
        <v>540</v>
      </c>
      <c r="G36">
        <v>1740.6457317061702</v>
      </c>
    </row>
    <row r="37" spans="1:7">
      <c r="A37" t="s">
        <v>85</v>
      </c>
      <c r="B37">
        <v>12</v>
      </c>
      <c r="C37">
        <v>3</v>
      </c>
      <c r="D37">
        <v>573085</v>
      </c>
      <c r="E37" t="s">
        <v>97</v>
      </c>
      <c r="F37">
        <v>449</v>
      </c>
      <c r="G37">
        <v>1193.9677735790599</v>
      </c>
    </row>
    <row r="39" spans="1:7">
      <c r="A39" s="4" t="s">
        <v>86</v>
      </c>
      <c r="B39" s="4" t="s">
        <v>113</v>
      </c>
      <c r="C39" s="4">
        <v>1</v>
      </c>
      <c r="D39" s="4">
        <v>2</v>
      </c>
      <c r="E39" s="4">
        <v>3</v>
      </c>
      <c r="F39" s="4" t="s">
        <v>87</v>
      </c>
    </row>
    <row r="40" spans="1:7">
      <c r="C40" s="7"/>
      <c r="D40" s="7"/>
      <c r="E40" s="7"/>
      <c r="F40" s="7">
        <v>1676</v>
      </c>
    </row>
    <row r="41" spans="1:7">
      <c r="A41" s="6" t="s">
        <v>101</v>
      </c>
      <c r="B41" s="5" t="s">
        <v>66</v>
      </c>
      <c r="C41">
        <v>670</v>
      </c>
      <c r="F41">
        <v>670</v>
      </c>
    </row>
    <row r="42" spans="1:7">
      <c r="B42" s="5" t="s">
        <v>64</v>
      </c>
      <c r="D42">
        <v>540</v>
      </c>
      <c r="F42">
        <v>466</v>
      </c>
    </row>
    <row r="43" spans="1:7">
      <c r="B43" s="5" t="s">
        <v>91</v>
      </c>
      <c r="E43">
        <v>466</v>
      </c>
      <c r="F43">
        <v>540</v>
      </c>
    </row>
    <row r="44" spans="1:7">
      <c r="C44" s="7"/>
      <c r="D44" s="7"/>
      <c r="E44" s="7"/>
      <c r="F44" s="7">
        <v>1553</v>
      </c>
    </row>
    <row r="45" spans="1:7">
      <c r="A45" s="6" t="s">
        <v>102</v>
      </c>
      <c r="B45" s="5" t="s">
        <v>66</v>
      </c>
      <c r="C45">
        <v>640</v>
      </c>
      <c r="F45">
        <v>640</v>
      </c>
    </row>
    <row r="46" spans="1:7">
      <c r="B46" s="5" t="s">
        <v>92</v>
      </c>
      <c r="D46">
        <v>511</v>
      </c>
      <c r="F46">
        <v>402</v>
      </c>
    </row>
    <row r="47" spans="1:7">
      <c r="B47" s="5" t="s">
        <v>93</v>
      </c>
      <c r="E47">
        <v>402</v>
      </c>
      <c r="F47">
        <v>511</v>
      </c>
    </row>
    <row r="48" spans="1:7">
      <c r="C48" s="7"/>
      <c r="D48" s="7"/>
      <c r="E48" s="7"/>
      <c r="F48" s="7">
        <v>1550</v>
      </c>
    </row>
    <row r="49" spans="1:6">
      <c r="A49" s="6" t="s">
        <v>103</v>
      </c>
      <c r="B49" s="5" t="s">
        <v>66</v>
      </c>
      <c r="C49">
        <v>565</v>
      </c>
      <c r="F49">
        <v>565</v>
      </c>
    </row>
    <row r="50" spans="1:6">
      <c r="B50" s="5" t="s">
        <v>92</v>
      </c>
      <c r="D50">
        <v>428</v>
      </c>
      <c r="F50">
        <v>428</v>
      </c>
    </row>
    <row r="51" spans="1:6">
      <c r="B51" s="5" t="s">
        <v>91</v>
      </c>
      <c r="E51">
        <v>557</v>
      </c>
      <c r="F51">
        <v>557</v>
      </c>
    </row>
    <row r="52" spans="1:6">
      <c r="C52" s="7"/>
      <c r="D52" s="7"/>
      <c r="E52" s="7"/>
      <c r="F52" s="7">
        <v>1973</v>
      </c>
    </row>
    <row r="53" spans="1:6">
      <c r="A53" s="6" t="s">
        <v>104</v>
      </c>
      <c r="B53" s="5" t="s">
        <v>69</v>
      </c>
      <c r="C53">
        <v>729</v>
      </c>
      <c r="F53">
        <v>729</v>
      </c>
    </row>
    <row r="54" spans="1:6">
      <c r="B54" s="5" t="s">
        <v>92</v>
      </c>
      <c r="D54">
        <v>656</v>
      </c>
      <c r="F54">
        <v>656</v>
      </c>
    </row>
    <row r="55" spans="1:6">
      <c r="B55" s="5" t="s">
        <v>76</v>
      </c>
      <c r="E55">
        <v>588</v>
      </c>
      <c r="F55">
        <v>588</v>
      </c>
    </row>
    <row r="56" spans="1:6">
      <c r="C56" s="7"/>
      <c r="D56" s="7"/>
      <c r="E56" s="7"/>
      <c r="F56" s="7">
        <v>1790</v>
      </c>
    </row>
    <row r="57" spans="1:6">
      <c r="A57" s="6" t="s">
        <v>105</v>
      </c>
      <c r="B57" s="5" t="s">
        <v>72</v>
      </c>
      <c r="C57">
        <v>620</v>
      </c>
      <c r="F57">
        <v>611</v>
      </c>
    </row>
    <row r="58" spans="1:6">
      <c r="B58" s="5" t="s">
        <v>71</v>
      </c>
      <c r="D58">
        <v>611</v>
      </c>
      <c r="F58">
        <v>559</v>
      </c>
    </row>
    <row r="59" spans="1:6">
      <c r="B59" s="5" t="s">
        <v>94</v>
      </c>
      <c r="E59">
        <v>559</v>
      </c>
      <c r="F59">
        <v>620</v>
      </c>
    </row>
    <row r="60" spans="1:6">
      <c r="C60" s="7"/>
      <c r="D60" s="7"/>
      <c r="E60" s="7"/>
      <c r="F60" s="7">
        <v>1814</v>
      </c>
    </row>
    <row r="61" spans="1:6">
      <c r="A61" s="6" t="s">
        <v>106</v>
      </c>
      <c r="B61" s="5" t="s">
        <v>94</v>
      </c>
      <c r="C61">
        <v>674</v>
      </c>
      <c r="F61">
        <v>674</v>
      </c>
    </row>
    <row r="62" spans="1:6">
      <c r="B62" s="5" t="s">
        <v>92</v>
      </c>
      <c r="D62">
        <v>636</v>
      </c>
      <c r="F62">
        <v>504</v>
      </c>
    </row>
    <row r="63" spans="1:6">
      <c r="B63" s="5" t="s">
        <v>72</v>
      </c>
      <c r="E63">
        <v>504</v>
      </c>
      <c r="F63">
        <v>636</v>
      </c>
    </row>
    <row r="64" spans="1:6">
      <c r="C64" s="7"/>
      <c r="D64" s="7"/>
      <c r="E64" s="7"/>
      <c r="F64" s="7">
        <v>1691</v>
      </c>
    </row>
    <row r="65" spans="1:6">
      <c r="A65" s="6" t="s">
        <v>107</v>
      </c>
      <c r="B65" s="5" t="s">
        <v>75</v>
      </c>
      <c r="C65">
        <v>710</v>
      </c>
      <c r="F65">
        <v>710</v>
      </c>
    </row>
    <row r="66" spans="1:6">
      <c r="B66" s="5" t="s">
        <v>95</v>
      </c>
      <c r="D66">
        <v>528</v>
      </c>
      <c r="F66">
        <v>453</v>
      </c>
    </row>
    <row r="67" spans="1:6">
      <c r="B67" s="5" t="s">
        <v>94</v>
      </c>
      <c r="E67">
        <v>453</v>
      </c>
      <c r="F67">
        <v>528</v>
      </c>
    </row>
    <row r="68" spans="1:6">
      <c r="C68" s="7"/>
      <c r="D68" s="7"/>
      <c r="E68" s="7"/>
      <c r="F68" s="7">
        <v>1295</v>
      </c>
    </row>
    <row r="69" spans="1:6">
      <c r="A69" s="6" t="s">
        <v>108</v>
      </c>
      <c r="B69" s="5" t="s">
        <v>66</v>
      </c>
      <c r="C69">
        <v>471</v>
      </c>
      <c r="F69">
        <v>411</v>
      </c>
    </row>
    <row r="70" spans="1:6">
      <c r="B70" s="5" t="s">
        <v>80</v>
      </c>
      <c r="D70">
        <v>413</v>
      </c>
      <c r="F70">
        <v>471</v>
      </c>
    </row>
    <row r="71" spans="1:6">
      <c r="B71" s="5" t="s">
        <v>78</v>
      </c>
      <c r="E71">
        <v>411</v>
      </c>
      <c r="F71">
        <v>413</v>
      </c>
    </row>
    <row r="72" spans="1:6">
      <c r="C72" s="7"/>
      <c r="D72" s="7"/>
      <c r="E72" s="7"/>
      <c r="F72" s="7">
        <v>1840</v>
      </c>
    </row>
    <row r="73" spans="1:6">
      <c r="A73" s="6" t="s">
        <v>109</v>
      </c>
      <c r="B73" s="5" t="s">
        <v>66</v>
      </c>
      <c r="C73">
        <v>784</v>
      </c>
      <c r="F73">
        <v>531</v>
      </c>
    </row>
    <row r="74" spans="1:6">
      <c r="B74" s="5" t="s">
        <v>96</v>
      </c>
      <c r="D74">
        <v>531</v>
      </c>
      <c r="F74">
        <v>525</v>
      </c>
    </row>
    <row r="75" spans="1:6">
      <c r="B75" s="5" t="s">
        <v>82</v>
      </c>
      <c r="E75">
        <v>525</v>
      </c>
      <c r="F75">
        <v>784</v>
      </c>
    </row>
    <row r="76" spans="1:6">
      <c r="C76" s="7"/>
      <c r="D76" s="7"/>
      <c r="E76" s="7"/>
      <c r="F76" s="7">
        <v>1741</v>
      </c>
    </row>
    <row r="77" spans="1:6">
      <c r="A77" s="6" t="s">
        <v>110</v>
      </c>
      <c r="B77" s="5" t="s">
        <v>66</v>
      </c>
      <c r="C77">
        <v>645</v>
      </c>
      <c r="F77">
        <v>518</v>
      </c>
    </row>
    <row r="78" spans="1:6">
      <c r="B78" s="5" t="s">
        <v>91</v>
      </c>
      <c r="D78">
        <v>578</v>
      </c>
      <c r="F78">
        <v>645</v>
      </c>
    </row>
    <row r="79" spans="1:6">
      <c r="B79" s="5" t="s">
        <v>82</v>
      </c>
      <c r="E79">
        <v>518</v>
      </c>
      <c r="F79">
        <v>578</v>
      </c>
    </row>
    <row r="80" spans="1:6">
      <c r="C80" s="7"/>
      <c r="D80" s="7"/>
      <c r="E80" s="7"/>
      <c r="F80" s="7">
        <v>1965</v>
      </c>
    </row>
    <row r="81" spans="1:6">
      <c r="A81" s="6" t="s">
        <v>111</v>
      </c>
      <c r="B81" s="5" t="s">
        <v>66</v>
      </c>
      <c r="C81">
        <v>992</v>
      </c>
      <c r="F81">
        <v>447</v>
      </c>
    </row>
    <row r="82" spans="1:6">
      <c r="B82" s="5" t="s">
        <v>91</v>
      </c>
      <c r="D82">
        <v>526</v>
      </c>
      <c r="F82">
        <v>992</v>
      </c>
    </row>
    <row r="83" spans="1:6">
      <c r="B83" s="5" t="s">
        <v>82</v>
      </c>
      <c r="E83">
        <v>447</v>
      </c>
      <c r="F83">
        <v>526</v>
      </c>
    </row>
    <row r="84" spans="1:6">
      <c r="C84" s="7"/>
      <c r="D84" s="7"/>
      <c r="E84" s="7"/>
      <c r="F84" s="7">
        <v>1602</v>
      </c>
    </row>
    <row r="85" spans="1:6">
      <c r="A85" s="6" t="s">
        <v>112</v>
      </c>
      <c r="B85" s="5" t="s">
        <v>91</v>
      </c>
      <c r="C85">
        <v>613</v>
      </c>
      <c r="F85">
        <v>540</v>
      </c>
    </row>
    <row r="86" spans="1:6">
      <c r="B86" s="5" t="s">
        <v>66</v>
      </c>
      <c r="D86">
        <v>540</v>
      </c>
      <c r="F86">
        <v>613</v>
      </c>
    </row>
    <row r="87" spans="1:6">
      <c r="B87" s="5" t="s">
        <v>97</v>
      </c>
      <c r="E87">
        <v>449</v>
      </c>
      <c r="F87">
        <v>449</v>
      </c>
    </row>
    <row r="88" spans="1:6">
      <c r="A88" s="8" t="s">
        <v>87</v>
      </c>
      <c r="B88" s="8"/>
      <c r="C88" s="9">
        <v>8113</v>
      </c>
      <c r="D88" s="9">
        <v>6627</v>
      </c>
      <c r="E88" s="9">
        <v>5750</v>
      </c>
      <c r="F88" s="9">
        <v>20490</v>
      </c>
    </row>
    <row r="92" spans="1:6">
      <c r="A92" s="10"/>
    </row>
    <row r="93" spans="1:6">
      <c r="A93" s="10"/>
    </row>
    <row r="94" spans="1:6">
      <c r="A94" s="10"/>
    </row>
    <row r="95" spans="1:6">
      <c r="A95" s="10"/>
    </row>
    <row r="96" spans="1:6">
      <c r="A96" s="10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36BA-4CD7-42F7-98A2-72E3E7AE7EF9}">
  <dimension ref="A1:G106"/>
  <sheetViews>
    <sheetView topLeftCell="A22" workbookViewId="0">
      <selection activeCell="F48" sqref="F48"/>
    </sheetView>
  </sheetViews>
  <sheetFormatPr defaultRowHeight="14.25"/>
  <cols>
    <col min="1" max="1" width="22.53125" bestFit="1" customWidth="1"/>
  </cols>
  <sheetData>
    <row r="1" spans="1:7">
      <c r="A1" t="s">
        <v>59</v>
      </c>
      <c r="B1" t="s">
        <v>86</v>
      </c>
      <c r="C1" t="s">
        <v>60</v>
      </c>
      <c r="D1" t="s">
        <v>89</v>
      </c>
      <c r="E1" t="s">
        <v>90</v>
      </c>
      <c r="F1" t="s">
        <v>62</v>
      </c>
      <c r="G1" t="s">
        <v>61</v>
      </c>
    </row>
    <row r="2" spans="1:7">
      <c r="A2" t="s">
        <v>63</v>
      </c>
      <c r="B2" t="s">
        <v>101</v>
      </c>
      <c r="C2">
        <v>1</v>
      </c>
      <c r="D2">
        <v>706016</v>
      </c>
      <c r="E2" t="s">
        <v>66</v>
      </c>
      <c r="F2">
        <v>2246.3372373953498</v>
      </c>
      <c r="G2">
        <v>670</v>
      </c>
    </row>
    <row r="3" spans="1:7">
      <c r="A3" t="s">
        <v>63</v>
      </c>
      <c r="B3" t="s">
        <v>101</v>
      </c>
      <c r="C3">
        <v>2</v>
      </c>
      <c r="D3">
        <v>399201</v>
      </c>
      <c r="E3" t="s">
        <v>114</v>
      </c>
      <c r="F3">
        <v>1476.79493017495</v>
      </c>
      <c r="G3">
        <v>190</v>
      </c>
    </row>
    <row r="4" spans="1:7">
      <c r="A4" t="s">
        <v>63</v>
      </c>
      <c r="B4" t="s">
        <v>101</v>
      </c>
      <c r="C4">
        <v>3</v>
      </c>
      <c r="D4">
        <v>562245</v>
      </c>
      <c r="E4" t="s">
        <v>91</v>
      </c>
      <c r="F4">
        <v>1310.9152163378899</v>
      </c>
      <c r="G4">
        <v>466</v>
      </c>
    </row>
    <row r="5" spans="1:7">
      <c r="A5" t="s">
        <v>65</v>
      </c>
      <c r="B5" t="s">
        <v>102</v>
      </c>
      <c r="C5">
        <v>1</v>
      </c>
      <c r="D5">
        <v>706016</v>
      </c>
      <c r="E5" t="s">
        <v>66</v>
      </c>
      <c r="F5">
        <v>2087.9152063280299</v>
      </c>
      <c r="G5">
        <v>640</v>
      </c>
    </row>
    <row r="6" spans="1:7">
      <c r="A6" t="s">
        <v>65</v>
      </c>
      <c r="B6" t="s">
        <v>102</v>
      </c>
      <c r="C6">
        <v>2</v>
      </c>
      <c r="D6">
        <v>680262</v>
      </c>
      <c r="E6" t="s">
        <v>93</v>
      </c>
      <c r="F6">
        <v>1292.49997287989</v>
      </c>
      <c r="G6">
        <v>402</v>
      </c>
    </row>
    <row r="7" spans="1:7">
      <c r="A7" t="s">
        <v>65</v>
      </c>
      <c r="B7" t="s">
        <v>102</v>
      </c>
      <c r="C7">
        <v>3</v>
      </c>
      <c r="D7">
        <v>399201</v>
      </c>
      <c r="E7" t="s">
        <v>114</v>
      </c>
      <c r="F7">
        <v>1170.6254232674801</v>
      </c>
      <c r="G7">
        <v>150</v>
      </c>
    </row>
    <row r="8" spans="1:7">
      <c r="A8" t="s">
        <v>67</v>
      </c>
      <c r="B8" t="s">
        <v>103</v>
      </c>
      <c r="C8">
        <v>1</v>
      </c>
      <c r="D8">
        <v>706016</v>
      </c>
      <c r="E8" t="s">
        <v>66</v>
      </c>
      <c r="F8">
        <v>1879.8372475430399</v>
      </c>
      <c r="G8">
        <v>565</v>
      </c>
    </row>
    <row r="9" spans="1:7">
      <c r="A9" t="s">
        <v>67</v>
      </c>
      <c r="B9" t="s">
        <v>103</v>
      </c>
      <c r="C9">
        <v>2</v>
      </c>
      <c r="D9">
        <v>695632</v>
      </c>
      <c r="E9" t="s">
        <v>115</v>
      </c>
      <c r="F9">
        <v>1351.77115909755</v>
      </c>
      <c r="G9">
        <v>410</v>
      </c>
    </row>
    <row r="10" spans="1:7">
      <c r="A10" t="s">
        <v>67</v>
      </c>
      <c r="B10" t="s">
        <v>103</v>
      </c>
      <c r="C10">
        <v>3</v>
      </c>
      <c r="D10">
        <v>562245</v>
      </c>
      <c r="E10" t="s">
        <v>91</v>
      </c>
      <c r="F10">
        <v>1228.8220061920599</v>
      </c>
      <c r="G10">
        <v>428</v>
      </c>
    </row>
    <row r="11" spans="1:7">
      <c r="A11" t="s">
        <v>68</v>
      </c>
      <c r="B11" t="s">
        <v>104</v>
      </c>
      <c r="C11">
        <v>1</v>
      </c>
      <c r="D11">
        <v>573716</v>
      </c>
      <c r="E11" t="s">
        <v>69</v>
      </c>
      <c r="F11">
        <v>1783.65932442248</v>
      </c>
      <c r="G11">
        <v>729</v>
      </c>
    </row>
    <row r="12" spans="1:7">
      <c r="A12" t="s">
        <v>68</v>
      </c>
      <c r="B12" t="s">
        <v>104</v>
      </c>
      <c r="C12">
        <v>2</v>
      </c>
      <c r="D12">
        <v>706016</v>
      </c>
      <c r="E12" t="s">
        <v>66</v>
      </c>
      <c r="F12">
        <v>1361.4677730947701</v>
      </c>
      <c r="G12">
        <v>418</v>
      </c>
    </row>
    <row r="13" spans="1:7">
      <c r="A13" t="s">
        <v>68</v>
      </c>
      <c r="B13" t="s">
        <v>104</v>
      </c>
      <c r="C13">
        <v>3</v>
      </c>
      <c r="D13">
        <v>684209</v>
      </c>
      <c r="E13" t="s">
        <v>72</v>
      </c>
      <c r="F13">
        <v>1287.2881392017</v>
      </c>
      <c r="G13">
        <v>523</v>
      </c>
    </row>
    <row r="14" spans="1:7">
      <c r="A14" t="s">
        <v>70</v>
      </c>
      <c r="B14" t="s">
        <v>105</v>
      </c>
      <c r="C14">
        <v>1</v>
      </c>
      <c r="D14">
        <v>745475</v>
      </c>
      <c r="E14" t="s">
        <v>116</v>
      </c>
      <c r="F14">
        <v>1631.1525151133501</v>
      </c>
      <c r="G14">
        <v>500</v>
      </c>
    </row>
    <row r="15" spans="1:7">
      <c r="A15" t="s">
        <v>70</v>
      </c>
      <c r="B15" t="s">
        <v>105</v>
      </c>
      <c r="C15">
        <v>2</v>
      </c>
      <c r="D15">
        <v>684209</v>
      </c>
      <c r="E15" t="s">
        <v>72</v>
      </c>
      <c r="F15">
        <v>1499.0881404839499</v>
      </c>
      <c r="G15">
        <v>620</v>
      </c>
    </row>
    <row r="16" spans="1:7">
      <c r="A16" t="s">
        <v>70</v>
      </c>
      <c r="B16" t="s">
        <v>105</v>
      </c>
      <c r="C16">
        <v>3</v>
      </c>
      <c r="D16">
        <v>573716</v>
      </c>
      <c r="E16" t="s">
        <v>69</v>
      </c>
      <c r="F16">
        <v>1319.5915274322001</v>
      </c>
      <c r="G16">
        <v>540</v>
      </c>
    </row>
    <row r="17" spans="1:7">
      <c r="A17" t="s">
        <v>73</v>
      </c>
      <c r="B17" t="s">
        <v>106</v>
      </c>
      <c r="C17">
        <v>1</v>
      </c>
      <c r="D17">
        <v>745475</v>
      </c>
      <c r="E17" t="s">
        <v>116</v>
      </c>
      <c r="F17">
        <v>1515.6796328723401</v>
      </c>
      <c r="G17">
        <v>463</v>
      </c>
    </row>
    <row r="18" spans="1:7">
      <c r="A18" t="s">
        <v>73</v>
      </c>
      <c r="B18" t="s">
        <v>106</v>
      </c>
      <c r="C18">
        <v>2</v>
      </c>
      <c r="D18">
        <v>690936</v>
      </c>
      <c r="E18" t="s">
        <v>117</v>
      </c>
      <c r="F18">
        <v>1461.34917810559</v>
      </c>
      <c r="G18">
        <v>296</v>
      </c>
    </row>
    <row r="19" spans="1:7">
      <c r="A19" t="s">
        <v>73</v>
      </c>
      <c r="B19" t="s">
        <v>106</v>
      </c>
      <c r="C19">
        <v>3</v>
      </c>
      <c r="D19">
        <v>684209</v>
      </c>
      <c r="E19" t="s">
        <v>72</v>
      </c>
      <c r="F19">
        <v>1248.1016978621501</v>
      </c>
      <c r="G19">
        <v>504</v>
      </c>
    </row>
    <row r="20" spans="1:7">
      <c r="A20" t="s">
        <v>74</v>
      </c>
      <c r="B20" t="s">
        <v>107</v>
      </c>
      <c r="C20">
        <v>1</v>
      </c>
      <c r="D20">
        <v>706016</v>
      </c>
      <c r="E20" t="s">
        <v>66</v>
      </c>
      <c r="F20">
        <v>1122.7762497961501</v>
      </c>
      <c r="G20">
        <v>359</v>
      </c>
    </row>
    <row r="21" spans="1:7">
      <c r="A21" t="s">
        <v>74</v>
      </c>
      <c r="B21" t="s">
        <v>107</v>
      </c>
      <c r="C21">
        <v>2</v>
      </c>
      <c r="D21">
        <v>589599</v>
      </c>
      <c r="E21" t="s">
        <v>95</v>
      </c>
      <c r="F21">
        <v>1016.66609668173</v>
      </c>
      <c r="G21">
        <v>528</v>
      </c>
    </row>
    <row r="22" spans="1:7">
      <c r="A22" t="s">
        <v>74</v>
      </c>
      <c r="B22" t="s">
        <v>107</v>
      </c>
      <c r="C22">
        <v>3</v>
      </c>
      <c r="D22">
        <v>684209</v>
      </c>
      <c r="E22" t="s">
        <v>72</v>
      </c>
      <c r="F22">
        <v>839.60000057704701</v>
      </c>
      <c r="G22">
        <v>344</v>
      </c>
    </row>
    <row r="23" spans="1:7">
      <c r="A23" t="s">
        <v>77</v>
      </c>
      <c r="B23" t="s">
        <v>108</v>
      </c>
      <c r="C23">
        <v>1</v>
      </c>
      <c r="D23">
        <v>706016</v>
      </c>
      <c r="E23" t="s">
        <v>66</v>
      </c>
      <c r="F23">
        <v>1512.8270930610599</v>
      </c>
      <c r="G23">
        <v>471</v>
      </c>
    </row>
    <row r="24" spans="1:7">
      <c r="A24" t="s">
        <v>77</v>
      </c>
      <c r="B24" t="s">
        <v>108</v>
      </c>
      <c r="C24">
        <v>2</v>
      </c>
      <c r="D24">
        <v>751471</v>
      </c>
      <c r="E24" t="s">
        <v>79</v>
      </c>
      <c r="F24">
        <v>1310.53387764841</v>
      </c>
      <c r="G24">
        <v>401</v>
      </c>
    </row>
    <row r="25" spans="1:7">
      <c r="A25" t="s">
        <v>77</v>
      </c>
      <c r="B25" t="s">
        <v>108</v>
      </c>
      <c r="C25">
        <v>3</v>
      </c>
      <c r="D25">
        <v>568601</v>
      </c>
      <c r="E25" t="s">
        <v>118</v>
      </c>
      <c r="F25">
        <v>1293.6288313940199</v>
      </c>
      <c r="G25">
        <v>266</v>
      </c>
    </row>
    <row r="26" spans="1:7">
      <c r="A26" t="s">
        <v>81</v>
      </c>
      <c r="B26" t="s">
        <v>109</v>
      </c>
      <c r="C26">
        <v>1</v>
      </c>
      <c r="D26">
        <v>706016</v>
      </c>
      <c r="E26" t="s">
        <v>66</v>
      </c>
      <c r="F26">
        <v>2487.6796268858002</v>
      </c>
      <c r="G26">
        <v>784</v>
      </c>
    </row>
    <row r="27" spans="1:7">
      <c r="A27" t="s">
        <v>81</v>
      </c>
      <c r="B27" t="s">
        <v>109</v>
      </c>
      <c r="C27">
        <v>2</v>
      </c>
      <c r="D27">
        <v>568601</v>
      </c>
      <c r="E27" t="s">
        <v>118</v>
      </c>
      <c r="F27">
        <v>1746.0339287295899</v>
      </c>
      <c r="G27">
        <v>362</v>
      </c>
    </row>
    <row r="28" spans="1:7">
      <c r="A28" t="s">
        <v>81</v>
      </c>
      <c r="B28" t="s">
        <v>109</v>
      </c>
      <c r="C28">
        <v>3</v>
      </c>
      <c r="D28">
        <v>790006</v>
      </c>
      <c r="E28" t="s">
        <v>119</v>
      </c>
      <c r="F28">
        <v>1654.76608425379</v>
      </c>
      <c r="G28">
        <v>148</v>
      </c>
    </row>
    <row r="29" spans="1:7">
      <c r="A29" t="s">
        <v>83</v>
      </c>
      <c r="B29" t="s">
        <v>110</v>
      </c>
      <c r="C29">
        <v>1</v>
      </c>
      <c r="D29">
        <v>706016</v>
      </c>
      <c r="E29" t="s">
        <v>66</v>
      </c>
      <c r="F29">
        <v>2113.74233551323</v>
      </c>
      <c r="G29">
        <v>645</v>
      </c>
    </row>
    <row r="30" spans="1:7">
      <c r="A30" t="s">
        <v>83</v>
      </c>
      <c r="B30" t="s">
        <v>110</v>
      </c>
      <c r="C30">
        <v>2</v>
      </c>
      <c r="D30">
        <v>562245</v>
      </c>
      <c r="E30" t="s">
        <v>91</v>
      </c>
      <c r="F30">
        <v>1716.3423410616799</v>
      </c>
      <c r="G30">
        <v>578</v>
      </c>
    </row>
    <row r="31" spans="1:7">
      <c r="A31" t="s">
        <v>83</v>
      </c>
      <c r="B31" t="s">
        <v>110</v>
      </c>
      <c r="C31">
        <v>3</v>
      </c>
      <c r="D31">
        <v>695632</v>
      </c>
      <c r="E31" t="s">
        <v>115</v>
      </c>
      <c r="F31">
        <v>1436.90166994929</v>
      </c>
      <c r="G31">
        <v>449</v>
      </c>
    </row>
    <row r="32" spans="1:7">
      <c r="A32" t="s">
        <v>84</v>
      </c>
      <c r="B32" t="s">
        <v>111</v>
      </c>
      <c r="C32">
        <v>1</v>
      </c>
      <c r="D32">
        <v>706016</v>
      </c>
      <c r="E32" t="s">
        <v>66</v>
      </c>
      <c r="F32">
        <v>2974.0762609988501</v>
      </c>
      <c r="G32">
        <v>992</v>
      </c>
    </row>
    <row r="33" spans="1:7">
      <c r="A33" t="s">
        <v>84</v>
      </c>
      <c r="B33" t="s">
        <v>111</v>
      </c>
      <c r="C33">
        <v>2</v>
      </c>
      <c r="D33">
        <v>534181</v>
      </c>
      <c r="E33" t="s">
        <v>120</v>
      </c>
      <c r="F33">
        <v>1704.87118810415</v>
      </c>
      <c r="G33">
        <v>127</v>
      </c>
    </row>
    <row r="34" spans="1:7">
      <c r="A34" t="s">
        <v>84</v>
      </c>
      <c r="B34" t="s">
        <v>111</v>
      </c>
      <c r="C34">
        <v>3</v>
      </c>
      <c r="D34">
        <v>562245</v>
      </c>
      <c r="E34" t="s">
        <v>91</v>
      </c>
      <c r="F34">
        <v>1546.88473325223</v>
      </c>
      <c r="G34">
        <v>526</v>
      </c>
    </row>
    <row r="35" spans="1:7">
      <c r="A35" t="s">
        <v>85</v>
      </c>
      <c r="B35" t="s">
        <v>112</v>
      </c>
      <c r="C35">
        <v>1</v>
      </c>
      <c r="D35">
        <v>706016</v>
      </c>
      <c r="E35" t="s">
        <v>66</v>
      </c>
      <c r="F35">
        <v>1740.64573170617</v>
      </c>
      <c r="G35">
        <v>540</v>
      </c>
    </row>
    <row r="36" spans="1:7">
      <c r="A36" t="s">
        <v>85</v>
      </c>
      <c r="B36" t="s">
        <v>112</v>
      </c>
      <c r="C36">
        <v>2</v>
      </c>
      <c r="D36">
        <v>562245</v>
      </c>
      <c r="E36" t="s">
        <v>91</v>
      </c>
      <c r="F36">
        <v>1545.8694512024499</v>
      </c>
      <c r="G36">
        <v>613</v>
      </c>
    </row>
    <row r="37" spans="1:7">
      <c r="A37" t="s">
        <v>85</v>
      </c>
      <c r="B37" t="s">
        <v>112</v>
      </c>
      <c r="C37">
        <v>3</v>
      </c>
      <c r="D37">
        <v>573085</v>
      </c>
      <c r="E37" t="s">
        <v>97</v>
      </c>
      <c r="F37">
        <v>1193.9677735790599</v>
      </c>
      <c r="G37">
        <v>449</v>
      </c>
    </row>
    <row r="39" spans="1:7">
      <c r="B39" s="4" t="s">
        <v>88</v>
      </c>
      <c r="C39" s="4">
        <v>1</v>
      </c>
      <c r="D39" s="4">
        <v>2</v>
      </c>
      <c r="E39" s="4">
        <v>3</v>
      </c>
      <c r="F39" s="4" t="s">
        <v>87</v>
      </c>
    </row>
    <row r="40" spans="1:7">
      <c r="C40" s="7"/>
      <c r="D40" s="7"/>
      <c r="E40" s="7"/>
      <c r="F40" s="7">
        <v>5034.0473839081897</v>
      </c>
    </row>
    <row r="41" spans="1:7">
      <c r="A41" s="6" t="s">
        <v>101</v>
      </c>
      <c r="B41" s="5" t="s">
        <v>66</v>
      </c>
      <c r="C41">
        <v>2246.3372373953498</v>
      </c>
      <c r="F41">
        <v>2246.3372373953498</v>
      </c>
    </row>
    <row r="42" spans="1:7">
      <c r="B42" s="5" t="s">
        <v>114</v>
      </c>
      <c r="D42">
        <v>1476.79493017495</v>
      </c>
      <c r="F42">
        <v>1310.9152163378899</v>
      </c>
    </row>
    <row r="43" spans="1:7">
      <c r="B43" s="5" t="s">
        <v>91</v>
      </c>
      <c r="E43">
        <v>1310.9152163378899</v>
      </c>
      <c r="F43">
        <v>1476.79493017495</v>
      </c>
    </row>
    <row r="44" spans="1:7">
      <c r="C44" s="7"/>
      <c r="D44" s="7"/>
      <c r="E44" s="7"/>
      <c r="F44" s="7">
        <v>4551.0406024754002</v>
      </c>
    </row>
    <row r="45" spans="1:7">
      <c r="A45" s="6" t="s">
        <v>102</v>
      </c>
      <c r="B45" s="5" t="s">
        <v>66</v>
      </c>
      <c r="C45">
        <v>2087.9152063280299</v>
      </c>
      <c r="F45">
        <v>2087.9152063280299</v>
      </c>
    </row>
    <row r="46" spans="1:7">
      <c r="B46" s="5" t="s">
        <v>93</v>
      </c>
      <c r="D46">
        <v>1292.49997287989</v>
      </c>
      <c r="F46">
        <v>1170.6254232674801</v>
      </c>
    </row>
    <row r="47" spans="1:7">
      <c r="B47" s="5" t="s">
        <v>114</v>
      </c>
      <c r="E47">
        <v>1170.6254232674801</v>
      </c>
      <c r="F47">
        <v>1292.49997287989</v>
      </c>
    </row>
    <row r="48" spans="1:7">
      <c r="C48" s="7"/>
      <c r="D48" s="7"/>
      <c r="E48" s="7"/>
      <c r="F48" s="7">
        <v>4460.4304128326503</v>
      </c>
    </row>
    <row r="49" spans="1:6">
      <c r="A49" s="6" t="s">
        <v>103</v>
      </c>
      <c r="B49" s="5" t="s">
        <v>66</v>
      </c>
      <c r="C49">
        <v>1879.8372475430399</v>
      </c>
      <c r="F49">
        <v>1351.77115909755</v>
      </c>
    </row>
    <row r="50" spans="1:6">
      <c r="B50" s="5" t="s">
        <v>115</v>
      </c>
      <c r="D50">
        <v>1351.77115909755</v>
      </c>
      <c r="F50">
        <v>1879.8372475430399</v>
      </c>
    </row>
    <row r="51" spans="1:6">
      <c r="B51" s="5" t="s">
        <v>91</v>
      </c>
      <c r="E51">
        <v>1228.8220061920599</v>
      </c>
      <c r="F51">
        <v>1228.8220061920599</v>
      </c>
    </row>
    <row r="52" spans="1:6">
      <c r="C52" s="7"/>
      <c r="D52" s="7"/>
      <c r="E52" s="7"/>
      <c r="F52" s="7">
        <v>4432.4152367189499</v>
      </c>
    </row>
    <row r="53" spans="1:6">
      <c r="A53" s="6" t="s">
        <v>104</v>
      </c>
      <c r="B53" s="5" t="s">
        <v>69</v>
      </c>
      <c r="C53">
        <v>1783.65932442248</v>
      </c>
      <c r="F53">
        <v>1361.4677730947701</v>
      </c>
    </row>
    <row r="54" spans="1:6">
      <c r="B54" s="5" t="s">
        <v>66</v>
      </c>
      <c r="D54">
        <v>1361.4677730947701</v>
      </c>
      <c r="F54">
        <v>1783.65932442248</v>
      </c>
    </row>
    <row r="55" spans="1:6">
      <c r="B55" s="5" t="s">
        <v>72</v>
      </c>
      <c r="E55">
        <v>1287.2881392017</v>
      </c>
      <c r="F55">
        <v>1287.2881392017</v>
      </c>
    </row>
    <row r="56" spans="1:6">
      <c r="C56" s="7"/>
      <c r="D56" s="7"/>
      <c r="E56" s="7"/>
      <c r="F56" s="7">
        <v>4449.8321830294999</v>
      </c>
    </row>
    <row r="57" spans="1:6">
      <c r="A57" s="6" t="s">
        <v>105</v>
      </c>
      <c r="B57" s="5" t="s">
        <v>116</v>
      </c>
      <c r="C57">
        <v>1631.1525151133501</v>
      </c>
      <c r="F57">
        <v>1319.5915274322001</v>
      </c>
    </row>
    <row r="58" spans="1:6">
      <c r="B58" s="5" t="s">
        <v>72</v>
      </c>
      <c r="D58">
        <v>1499.0881404839499</v>
      </c>
      <c r="F58">
        <v>1499.0881404839499</v>
      </c>
    </row>
    <row r="59" spans="1:6">
      <c r="B59" s="5" t="s">
        <v>69</v>
      </c>
      <c r="E59">
        <v>1319.5915274322001</v>
      </c>
      <c r="F59">
        <v>1631.1525151133501</v>
      </c>
    </row>
    <row r="60" spans="1:6">
      <c r="C60" s="7"/>
      <c r="D60" s="7"/>
      <c r="E60" s="7"/>
      <c r="F60" s="7">
        <v>4225.1305088400804</v>
      </c>
    </row>
    <row r="61" spans="1:6">
      <c r="A61" s="6" t="s">
        <v>106</v>
      </c>
      <c r="B61" s="5" t="s">
        <v>116</v>
      </c>
      <c r="C61">
        <v>1515.6796328723401</v>
      </c>
      <c r="F61">
        <v>1461.34917810559</v>
      </c>
    </row>
    <row r="62" spans="1:6">
      <c r="B62" s="5" t="s">
        <v>117</v>
      </c>
      <c r="D62">
        <v>1461.34917810559</v>
      </c>
      <c r="F62">
        <v>1248.1016978621501</v>
      </c>
    </row>
    <row r="63" spans="1:6">
      <c r="B63" s="5" t="s">
        <v>72</v>
      </c>
      <c r="E63">
        <v>1248.1016978621501</v>
      </c>
      <c r="F63">
        <v>1515.6796328723401</v>
      </c>
    </row>
    <row r="64" spans="1:6">
      <c r="C64" s="7"/>
      <c r="D64" s="7"/>
      <c r="E64" s="7"/>
      <c r="F64" s="7">
        <v>2979.0423470549272</v>
      </c>
    </row>
    <row r="65" spans="1:6">
      <c r="A65" s="6" t="s">
        <v>107</v>
      </c>
      <c r="B65" s="5" t="s">
        <v>66</v>
      </c>
      <c r="C65">
        <v>1122.7762497961501</v>
      </c>
      <c r="F65">
        <v>1122.7762497961501</v>
      </c>
    </row>
    <row r="66" spans="1:6">
      <c r="B66" s="5" t="s">
        <v>95</v>
      </c>
      <c r="D66">
        <v>1016.66609668173</v>
      </c>
      <c r="F66">
        <v>1016.66609668173</v>
      </c>
    </row>
    <row r="67" spans="1:6">
      <c r="B67" s="5" t="s">
        <v>72</v>
      </c>
      <c r="E67">
        <v>839.60000057704701</v>
      </c>
      <c r="F67">
        <v>839.60000057704701</v>
      </c>
    </row>
    <row r="68" spans="1:6">
      <c r="C68" s="7"/>
      <c r="D68" s="7"/>
      <c r="E68" s="7"/>
      <c r="F68" s="7">
        <v>4116.9898021034896</v>
      </c>
    </row>
    <row r="69" spans="1:6">
      <c r="A69" s="6" t="s">
        <v>108</v>
      </c>
      <c r="B69" s="5" t="s">
        <v>66</v>
      </c>
      <c r="C69">
        <v>1512.8270930610599</v>
      </c>
      <c r="F69">
        <v>1512.8270930610599</v>
      </c>
    </row>
    <row r="70" spans="1:6">
      <c r="B70" s="5" t="s">
        <v>79</v>
      </c>
      <c r="D70">
        <v>1310.53387764841</v>
      </c>
      <c r="F70">
        <v>1293.6288313940199</v>
      </c>
    </row>
    <row r="71" spans="1:6">
      <c r="B71" s="5" t="s">
        <v>118</v>
      </c>
      <c r="E71">
        <v>1293.6288313940199</v>
      </c>
      <c r="F71">
        <v>1310.53387764841</v>
      </c>
    </row>
    <row r="72" spans="1:6">
      <c r="C72" s="7"/>
      <c r="D72" s="7"/>
      <c r="E72" s="7"/>
      <c r="F72" s="7">
        <v>5888.4796398691806</v>
      </c>
    </row>
    <row r="73" spans="1:6">
      <c r="A73" s="6" t="s">
        <v>109</v>
      </c>
      <c r="B73" s="5" t="s">
        <v>66</v>
      </c>
      <c r="C73">
        <v>2487.6796268858002</v>
      </c>
      <c r="F73">
        <v>2487.6796268858002</v>
      </c>
    </row>
    <row r="74" spans="1:6">
      <c r="B74" s="5" t="s">
        <v>118</v>
      </c>
      <c r="D74">
        <v>1746.0339287295899</v>
      </c>
      <c r="F74">
        <v>1654.76608425379</v>
      </c>
    </row>
    <row r="75" spans="1:6">
      <c r="B75" s="5" t="s">
        <v>119</v>
      </c>
      <c r="E75">
        <v>1654.76608425379</v>
      </c>
      <c r="F75">
        <v>1746.0339287295899</v>
      </c>
    </row>
    <row r="76" spans="1:6">
      <c r="C76" s="7"/>
      <c r="D76" s="7"/>
      <c r="E76" s="7"/>
      <c r="F76" s="7">
        <v>5266.9863465241997</v>
      </c>
    </row>
    <row r="77" spans="1:6">
      <c r="A77" s="6" t="s">
        <v>110</v>
      </c>
      <c r="B77" s="5" t="s">
        <v>66</v>
      </c>
      <c r="C77">
        <v>2113.74233551323</v>
      </c>
      <c r="F77">
        <v>1436.90166994929</v>
      </c>
    </row>
    <row r="78" spans="1:6">
      <c r="B78" s="5" t="s">
        <v>91</v>
      </c>
      <c r="D78">
        <v>1716.3423410616799</v>
      </c>
      <c r="F78">
        <v>2113.74233551323</v>
      </c>
    </row>
    <row r="79" spans="1:6">
      <c r="B79" s="5" t="s">
        <v>115</v>
      </c>
      <c r="E79">
        <v>1436.90166994929</v>
      </c>
      <c r="F79">
        <v>1716.3423410616799</v>
      </c>
    </row>
    <row r="80" spans="1:6">
      <c r="C80" s="7"/>
      <c r="D80" s="7"/>
      <c r="E80" s="7"/>
      <c r="F80" s="7">
        <v>6225.8321823552296</v>
      </c>
    </row>
    <row r="81" spans="1:6">
      <c r="A81" s="6" t="s">
        <v>111</v>
      </c>
      <c r="B81" s="5" t="s">
        <v>66</v>
      </c>
      <c r="C81">
        <v>2974.0762609988501</v>
      </c>
      <c r="F81">
        <v>1704.87118810415</v>
      </c>
    </row>
    <row r="82" spans="1:6">
      <c r="B82" s="5" t="s">
        <v>120</v>
      </c>
      <c r="D82">
        <v>1704.87118810415</v>
      </c>
      <c r="F82">
        <v>2974.0762609988501</v>
      </c>
    </row>
    <row r="83" spans="1:6">
      <c r="B83" s="5" t="s">
        <v>91</v>
      </c>
      <c r="E83">
        <v>1546.88473325223</v>
      </c>
      <c r="F83">
        <v>1546.88473325223</v>
      </c>
    </row>
    <row r="84" spans="1:6">
      <c r="C84" s="7"/>
      <c r="D84" s="7"/>
      <c r="E84" s="7"/>
      <c r="F84" s="7">
        <v>4480.48295648768</v>
      </c>
    </row>
    <row r="85" spans="1:6">
      <c r="A85" s="6" t="s">
        <v>112</v>
      </c>
      <c r="B85" s="5" t="s">
        <v>66</v>
      </c>
      <c r="C85">
        <v>1740.64573170617</v>
      </c>
      <c r="F85">
        <v>1740.64573170617</v>
      </c>
    </row>
    <row r="86" spans="1:6">
      <c r="B86" s="5" t="s">
        <v>91</v>
      </c>
      <c r="D86">
        <v>1545.8694512024499</v>
      </c>
      <c r="F86">
        <v>1545.8694512024499</v>
      </c>
    </row>
    <row r="87" spans="1:6">
      <c r="B87" s="5" t="s">
        <v>97</v>
      </c>
      <c r="E87">
        <v>1193.9677735790599</v>
      </c>
      <c r="F87">
        <v>1193.9677735790599</v>
      </c>
    </row>
    <row r="88" spans="1:6">
      <c r="B88" s="8" t="s">
        <v>87</v>
      </c>
      <c r="C88" s="9">
        <v>23096.328461635847</v>
      </c>
      <c r="D88" s="9">
        <v>17483.288037264709</v>
      </c>
      <c r="E88" s="9">
        <v>15531.093103298916</v>
      </c>
      <c r="F88" s="9">
        <v>56110.70960219948</v>
      </c>
    </row>
    <row r="92" spans="1:6">
      <c r="A92" s="10"/>
    </row>
    <row r="93" spans="1:6">
      <c r="A93" s="10"/>
    </row>
    <row r="94" spans="1:6">
      <c r="A94" s="10"/>
    </row>
    <row r="95" spans="1:6">
      <c r="A95" s="10"/>
    </row>
    <row r="96" spans="1:6">
      <c r="A96" s="10"/>
    </row>
    <row r="97" spans="1:1">
      <c r="A97" s="10"/>
    </row>
    <row r="98" spans="1:1">
      <c r="A98" s="10"/>
    </row>
    <row r="99" spans="1:1">
      <c r="A99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52A3-00D2-43D4-ADA4-CDD822F917DE}">
  <dimension ref="A1:J5318"/>
  <sheetViews>
    <sheetView topLeftCell="A2587" workbookViewId="0">
      <selection activeCell="D40" sqref="D40"/>
    </sheetView>
  </sheetViews>
  <sheetFormatPr defaultRowHeight="14.25"/>
  <cols>
    <col min="2" max="2" width="23.06640625" customWidth="1"/>
  </cols>
  <sheetData>
    <row r="1" spans="1:10">
      <c r="A1" t="s">
        <v>89</v>
      </c>
      <c r="B1" t="s">
        <v>121</v>
      </c>
      <c r="C1" t="s">
        <v>61</v>
      </c>
      <c r="D1" t="s">
        <v>5277</v>
      </c>
      <c r="E1" t="s">
        <v>62</v>
      </c>
      <c r="F1" t="s">
        <v>5275</v>
      </c>
      <c r="G1" t="s">
        <v>5276</v>
      </c>
      <c r="H1" t="s">
        <v>5278</v>
      </c>
    </row>
    <row r="2" spans="1:10">
      <c r="A2">
        <v>706016</v>
      </c>
      <c r="B2" t="s">
        <v>66</v>
      </c>
      <c r="C2">
        <v>5985</v>
      </c>
      <c r="D2">
        <v>3.2341743656959299</v>
      </c>
      <c r="E2">
        <v>19356.533578690101</v>
      </c>
      <c r="F2">
        <v>1</v>
      </c>
      <c r="G2">
        <v>1</v>
      </c>
      <c r="H2" t="str">
        <f>IF(C2&gt;$J$2,
   IF(D2&gt;$J$3,"Q1","Q2"),
   IF(D2&gt;$J$3,"Q3","Q4"))</f>
        <v>Q2</v>
      </c>
      <c r="J2">
        <f>_xlfn.PERCENTILE.INC(C2:C5318,0.75)</f>
        <v>168</v>
      </c>
    </row>
    <row r="3" spans="1:10">
      <c r="A3">
        <v>562245</v>
      </c>
      <c r="B3" t="s">
        <v>91</v>
      </c>
      <c r="C3">
        <v>4603</v>
      </c>
      <c r="D3">
        <v>2.9296692477062898</v>
      </c>
      <c r="E3">
        <v>13485.267547192099</v>
      </c>
      <c r="F3">
        <v>0.99996237914299702</v>
      </c>
      <c r="G3">
        <v>0.99996237914299702</v>
      </c>
      <c r="H3" t="str">
        <f t="shared" ref="H3:H66" si="0">IF(C3&gt;$J$2,
   IF(D3&gt;$J$3,"Q1","Q2"),
   IF(D3&gt;$J$3,"Q3","Q4"))</f>
        <v>Q2</v>
      </c>
      <c r="J3">
        <f>_xlfn.PERCENTILE.INC(D2:D5319,0.75)</f>
        <v>4.8983758043808203</v>
      </c>
    </row>
    <row r="4" spans="1:10">
      <c r="A4">
        <v>399201</v>
      </c>
      <c r="B4" t="s">
        <v>114</v>
      </c>
      <c r="C4">
        <v>1466</v>
      </c>
      <c r="D4">
        <v>6.9469952074071397</v>
      </c>
      <c r="E4">
        <v>10184.294974058899</v>
      </c>
      <c r="F4">
        <v>0.99883375343290304</v>
      </c>
      <c r="G4">
        <v>0.99992475828599403</v>
      </c>
      <c r="H4" t="str">
        <f t="shared" si="0"/>
        <v>Q1</v>
      </c>
    </row>
    <row r="5" spans="1:10">
      <c r="A5">
        <v>687704</v>
      </c>
      <c r="B5" t="s">
        <v>1593</v>
      </c>
      <c r="C5">
        <v>1222</v>
      </c>
      <c r="D5">
        <v>6.3096312828874099</v>
      </c>
      <c r="E5">
        <v>7710.3694276884198</v>
      </c>
      <c r="F5">
        <v>0.99808133629284101</v>
      </c>
      <c r="G5">
        <v>0.99988713742899105</v>
      </c>
      <c r="H5" t="str">
        <f t="shared" si="0"/>
        <v>Q1</v>
      </c>
    </row>
    <row r="6" spans="1:10">
      <c r="A6">
        <v>658030</v>
      </c>
      <c r="B6" t="s">
        <v>3963</v>
      </c>
      <c r="C6">
        <v>1542</v>
      </c>
      <c r="D6">
        <v>4.7861890515237704</v>
      </c>
      <c r="E6">
        <v>7380.3035174496499</v>
      </c>
      <c r="F6">
        <v>0.99905947857492206</v>
      </c>
      <c r="G6">
        <v>0.99984951657198795</v>
      </c>
      <c r="H6" t="str">
        <f t="shared" si="0"/>
        <v>Q2</v>
      </c>
    </row>
    <row r="7" spans="1:10">
      <c r="A7">
        <v>568601</v>
      </c>
      <c r="B7" t="s">
        <v>118</v>
      </c>
      <c r="C7">
        <v>1441</v>
      </c>
      <c r="D7">
        <v>4.7423517924140803</v>
      </c>
      <c r="E7">
        <v>6833.7289328686902</v>
      </c>
      <c r="F7">
        <v>0.99872089086189397</v>
      </c>
      <c r="G7">
        <v>0.99981189571498397</v>
      </c>
      <c r="H7" t="str">
        <f t="shared" si="0"/>
        <v>Q2</v>
      </c>
    </row>
    <row r="8" spans="1:10">
      <c r="A8">
        <v>534181</v>
      </c>
      <c r="B8" t="s">
        <v>120</v>
      </c>
      <c r="C8">
        <v>480</v>
      </c>
      <c r="D8">
        <v>13.1903284570823</v>
      </c>
      <c r="E8">
        <v>6331.3576593995103</v>
      </c>
      <c r="F8">
        <v>0.98777322147398505</v>
      </c>
      <c r="G8">
        <v>0.99977427485798098</v>
      </c>
      <c r="H8" t="str">
        <f t="shared" si="0"/>
        <v>Q1</v>
      </c>
    </row>
    <row r="9" spans="1:10">
      <c r="A9">
        <v>573716</v>
      </c>
      <c r="B9" t="s">
        <v>69</v>
      </c>
      <c r="C9">
        <v>2596</v>
      </c>
      <c r="D9">
        <v>2.40242942681218</v>
      </c>
      <c r="E9">
        <v>6236.7067920044101</v>
      </c>
      <c r="F9">
        <v>0.99984951657198795</v>
      </c>
      <c r="G9">
        <v>0.999736654000978</v>
      </c>
      <c r="H9" t="str">
        <f t="shared" si="0"/>
        <v>Q2</v>
      </c>
    </row>
    <row r="10" spans="1:10">
      <c r="A10">
        <v>684209</v>
      </c>
      <c r="B10" t="s">
        <v>72</v>
      </c>
      <c r="C10">
        <v>2531</v>
      </c>
      <c r="D10">
        <v>2.4168326359180399</v>
      </c>
      <c r="E10">
        <v>6117.0034015085503</v>
      </c>
      <c r="F10">
        <v>0.99981189571498397</v>
      </c>
      <c r="G10">
        <v>0.99969903314397501</v>
      </c>
      <c r="H10" t="str">
        <f t="shared" si="0"/>
        <v>Q2</v>
      </c>
    </row>
    <row r="11" spans="1:10">
      <c r="A11">
        <v>554450</v>
      </c>
      <c r="B11" t="s">
        <v>2419</v>
      </c>
      <c r="C11">
        <v>1863</v>
      </c>
      <c r="D11">
        <v>3.2111838369985701</v>
      </c>
      <c r="E11">
        <v>5982.4354883283404</v>
      </c>
      <c r="F11">
        <v>0.99954854971596296</v>
      </c>
      <c r="G11">
        <v>0.99966141228697203</v>
      </c>
      <c r="H11" t="str">
        <f t="shared" si="0"/>
        <v>Q2</v>
      </c>
    </row>
    <row r="12" spans="1:10">
      <c r="A12">
        <v>448509</v>
      </c>
      <c r="B12" t="s">
        <v>3760</v>
      </c>
      <c r="C12">
        <v>1466</v>
      </c>
      <c r="D12">
        <v>4.00805143082939</v>
      </c>
      <c r="E12">
        <v>5875.8033975958797</v>
      </c>
      <c r="F12">
        <v>0.99883375343290304</v>
      </c>
      <c r="G12">
        <v>0.99962379142996904</v>
      </c>
      <c r="H12" t="str">
        <f t="shared" si="0"/>
        <v>Q2</v>
      </c>
    </row>
    <row r="13" spans="1:10">
      <c r="A13">
        <v>697054</v>
      </c>
      <c r="B13" t="s">
        <v>1304</v>
      </c>
      <c r="C13">
        <v>2441</v>
      </c>
      <c r="D13">
        <v>2.22047507791142</v>
      </c>
      <c r="E13">
        <v>5420.1796651817904</v>
      </c>
      <c r="F13">
        <v>0.999736654000978</v>
      </c>
      <c r="G13">
        <v>0.99958617057296595</v>
      </c>
      <c r="H13" t="str">
        <f t="shared" si="0"/>
        <v>Q2</v>
      </c>
    </row>
    <row r="14" spans="1:10">
      <c r="A14">
        <v>660599</v>
      </c>
      <c r="B14" t="s">
        <v>96</v>
      </c>
      <c r="C14">
        <v>1676</v>
      </c>
      <c r="D14">
        <v>3.1346304251018902</v>
      </c>
      <c r="E14">
        <v>5253.6405924707697</v>
      </c>
      <c r="F14">
        <v>0.99928520371694096</v>
      </c>
      <c r="G14">
        <v>0.99954854971596296</v>
      </c>
      <c r="H14" t="str">
        <f t="shared" si="0"/>
        <v>Q2</v>
      </c>
    </row>
    <row r="15" spans="1:10">
      <c r="A15">
        <v>731160</v>
      </c>
      <c r="B15" t="s">
        <v>4359</v>
      </c>
      <c r="C15">
        <v>670</v>
      </c>
      <c r="D15">
        <v>7.7103794977736104</v>
      </c>
      <c r="E15">
        <v>5165.9542635083199</v>
      </c>
      <c r="F15">
        <v>0.99383017945148799</v>
      </c>
      <c r="G15">
        <v>0.99951092885895898</v>
      </c>
      <c r="H15" t="str">
        <f t="shared" si="0"/>
        <v>Q1</v>
      </c>
    </row>
    <row r="16" spans="1:10">
      <c r="A16">
        <v>589599</v>
      </c>
      <c r="B16" t="s">
        <v>4349</v>
      </c>
      <c r="C16">
        <v>2237</v>
      </c>
      <c r="D16">
        <v>2.2195760043592698</v>
      </c>
      <c r="E16">
        <v>4965.1915217516898</v>
      </c>
      <c r="F16">
        <v>0.99966141228697203</v>
      </c>
      <c r="G16">
        <v>0.999473308001956</v>
      </c>
      <c r="H16" t="str">
        <f t="shared" si="0"/>
        <v>Q2</v>
      </c>
    </row>
    <row r="17" spans="1:8">
      <c r="A17">
        <v>720125</v>
      </c>
      <c r="B17" t="s">
        <v>4746</v>
      </c>
      <c r="C17">
        <v>1538</v>
      </c>
      <c r="D17">
        <v>3.2120671291606699</v>
      </c>
      <c r="E17">
        <v>4940.1592446491104</v>
      </c>
      <c r="F17">
        <v>0.99898423686091598</v>
      </c>
      <c r="G17">
        <v>0.99943568714495301</v>
      </c>
      <c r="H17" t="str">
        <f t="shared" si="0"/>
        <v>Q2</v>
      </c>
    </row>
    <row r="18" spans="1:8">
      <c r="A18">
        <v>680262</v>
      </c>
      <c r="B18" t="s">
        <v>93</v>
      </c>
      <c r="C18">
        <v>1550</v>
      </c>
      <c r="D18">
        <v>3.1635220824410402</v>
      </c>
      <c r="E18">
        <v>4903.45922778361</v>
      </c>
      <c r="F18">
        <v>0.99909709943192504</v>
      </c>
      <c r="G18">
        <v>0.99939806628795003</v>
      </c>
      <c r="H18" t="str">
        <f t="shared" si="0"/>
        <v>Q2</v>
      </c>
    </row>
    <row r="19" spans="1:8">
      <c r="A19">
        <v>599580</v>
      </c>
      <c r="B19" t="s">
        <v>76</v>
      </c>
      <c r="C19">
        <v>2991</v>
      </c>
      <c r="D19">
        <v>1.59526199192078</v>
      </c>
      <c r="E19">
        <v>4771.4286178350403</v>
      </c>
      <c r="F19">
        <v>0.99992475828599403</v>
      </c>
      <c r="G19">
        <v>0.99936044543094704</v>
      </c>
      <c r="H19" t="str">
        <f t="shared" si="0"/>
        <v>Q2</v>
      </c>
    </row>
    <row r="20" spans="1:8">
      <c r="A20">
        <v>573085</v>
      </c>
      <c r="B20" t="s">
        <v>97</v>
      </c>
      <c r="C20">
        <v>1615</v>
      </c>
      <c r="D20">
        <v>2.9274449772533102</v>
      </c>
      <c r="E20">
        <v>4727.8236382640898</v>
      </c>
      <c r="F20">
        <v>0.99920996200293399</v>
      </c>
      <c r="G20">
        <v>0.99932282457394395</v>
      </c>
      <c r="H20" t="str">
        <f t="shared" si="0"/>
        <v>Q2</v>
      </c>
    </row>
    <row r="21" spans="1:8">
      <c r="A21">
        <v>730683</v>
      </c>
      <c r="B21" t="s">
        <v>2048</v>
      </c>
      <c r="C21">
        <v>1159</v>
      </c>
      <c r="D21">
        <v>4.0445957338474399</v>
      </c>
      <c r="E21">
        <v>4687.6864555291804</v>
      </c>
      <c r="F21">
        <v>0.99770512772280995</v>
      </c>
      <c r="G21">
        <v>0.99928520371694096</v>
      </c>
      <c r="H21" t="str">
        <f t="shared" si="0"/>
        <v>Q2</v>
      </c>
    </row>
    <row r="22" spans="1:8">
      <c r="A22">
        <v>685814</v>
      </c>
      <c r="B22" t="s">
        <v>4044</v>
      </c>
      <c r="C22">
        <v>1462</v>
      </c>
      <c r="D22">
        <v>3.18212799050128</v>
      </c>
      <c r="E22">
        <v>4652.2711221128702</v>
      </c>
      <c r="F22">
        <v>0.99875851171889696</v>
      </c>
      <c r="G22">
        <v>0.99924758285993798</v>
      </c>
      <c r="H22" t="str">
        <f t="shared" si="0"/>
        <v>Q2</v>
      </c>
    </row>
    <row r="23" spans="1:8">
      <c r="A23">
        <v>590928</v>
      </c>
      <c r="B23" t="s">
        <v>3403</v>
      </c>
      <c r="C23">
        <v>1574</v>
      </c>
      <c r="D23">
        <v>2.9109275641110299</v>
      </c>
      <c r="E23">
        <v>4581.7999859107704</v>
      </c>
      <c r="F23">
        <v>0.99913472028892802</v>
      </c>
      <c r="G23">
        <v>0.99920996200293399</v>
      </c>
      <c r="H23" t="str">
        <f t="shared" si="0"/>
        <v>Q2</v>
      </c>
    </row>
    <row r="24" spans="1:8">
      <c r="A24">
        <v>738943</v>
      </c>
      <c r="B24" t="s">
        <v>1033</v>
      </c>
      <c r="C24">
        <v>1170</v>
      </c>
      <c r="D24">
        <v>3.7575981504100802</v>
      </c>
      <c r="E24">
        <v>4396.3898359797904</v>
      </c>
      <c r="F24">
        <v>0.99778036943681603</v>
      </c>
      <c r="G24">
        <v>0.99917234114593101</v>
      </c>
      <c r="H24" t="str">
        <f t="shared" si="0"/>
        <v>Q2</v>
      </c>
    </row>
    <row r="25" spans="1:8">
      <c r="A25">
        <v>674606</v>
      </c>
      <c r="B25" t="s">
        <v>942</v>
      </c>
      <c r="C25">
        <v>1464</v>
      </c>
      <c r="D25">
        <v>2.9938327267278102</v>
      </c>
      <c r="E25">
        <v>4382.9711119295098</v>
      </c>
      <c r="F25">
        <v>0.99879613257590005</v>
      </c>
      <c r="G25">
        <v>0.99913472028892802</v>
      </c>
      <c r="H25" t="str">
        <f t="shared" si="0"/>
        <v>Q2</v>
      </c>
    </row>
    <row r="26" spans="1:8">
      <c r="A26">
        <v>732842</v>
      </c>
      <c r="B26" t="s">
        <v>1594</v>
      </c>
      <c r="C26">
        <v>655</v>
      </c>
      <c r="D26">
        <v>6.4407063741947903</v>
      </c>
      <c r="E26">
        <v>4218.6626750975802</v>
      </c>
      <c r="F26">
        <v>0.99356683345246599</v>
      </c>
      <c r="G26">
        <v>0.99909709943192504</v>
      </c>
      <c r="H26" t="str">
        <f t="shared" si="0"/>
        <v>Q1</v>
      </c>
    </row>
    <row r="27" spans="1:8">
      <c r="A27">
        <v>399223</v>
      </c>
      <c r="B27" t="s">
        <v>2324</v>
      </c>
      <c r="C27">
        <v>1398</v>
      </c>
      <c r="D27">
        <v>2.9706662750266002</v>
      </c>
      <c r="E27">
        <v>4152.9914524871901</v>
      </c>
      <c r="F27">
        <v>0.99860802829088402</v>
      </c>
      <c r="G27">
        <v>0.99905947857492206</v>
      </c>
      <c r="H27" t="str">
        <f t="shared" si="0"/>
        <v>Q2</v>
      </c>
    </row>
    <row r="28" spans="1:8">
      <c r="A28">
        <v>790006</v>
      </c>
      <c r="B28" t="s">
        <v>119</v>
      </c>
      <c r="C28">
        <v>391</v>
      </c>
      <c r="D28">
        <v>10.3255189793265</v>
      </c>
      <c r="E28">
        <v>4037.2779209166802</v>
      </c>
      <c r="F28">
        <v>0.98314585606260096</v>
      </c>
      <c r="G28">
        <v>0.99902185771791896</v>
      </c>
      <c r="H28" t="str">
        <f t="shared" si="0"/>
        <v>Q1</v>
      </c>
    </row>
    <row r="29" spans="1:8">
      <c r="A29">
        <v>751471</v>
      </c>
      <c r="B29" t="s">
        <v>79</v>
      </c>
      <c r="C29">
        <v>1230</v>
      </c>
      <c r="D29">
        <v>3.24885484679201</v>
      </c>
      <c r="E29">
        <v>3996.0914615541701</v>
      </c>
      <c r="F29">
        <v>0.99815657800684698</v>
      </c>
      <c r="G29">
        <v>0.99898423686091598</v>
      </c>
      <c r="H29" t="str">
        <f t="shared" si="0"/>
        <v>Q2</v>
      </c>
    </row>
    <row r="30" spans="1:8">
      <c r="A30">
        <v>752814</v>
      </c>
      <c r="B30" t="s">
        <v>3219</v>
      </c>
      <c r="C30">
        <v>1213</v>
      </c>
      <c r="D30">
        <v>3.2187655853738701</v>
      </c>
      <c r="E30">
        <v>3904.3626550585</v>
      </c>
      <c r="F30">
        <v>0.99800609457883405</v>
      </c>
      <c r="G30">
        <v>0.99894661600391299</v>
      </c>
      <c r="H30" t="str">
        <f t="shared" si="0"/>
        <v>Q2</v>
      </c>
    </row>
    <row r="31" spans="1:8">
      <c r="A31">
        <v>695632</v>
      </c>
      <c r="B31" t="s">
        <v>1999</v>
      </c>
      <c r="C31">
        <v>1244</v>
      </c>
      <c r="D31">
        <v>3.10748537674462</v>
      </c>
      <c r="E31">
        <v>3865.7118086703099</v>
      </c>
      <c r="F31">
        <v>0.99823181972085295</v>
      </c>
      <c r="G31">
        <v>0.99890899514690901</v>
      </c>
      <c r="H31" t="str">
        <f t="shared" si="0"/>
        <v>Q2</v>
      </c>
    </row>
    <row r="32" spans="1:8">
      <c r="A32">
        <v>745475</v>
      </c>
      <c r="B32" t="s">
        <v>116</v>
      </c>
      <c r="C32">
        <v>1182</v>
      </c>
      <c r="D32">
        <v>3.2381154616503598</v>
      </c>
      <c r="E32">
        <v>3827.4524756707301</v>
      </c>
      <c r="F32">
        <v>0.99781799029381901</v>
      </c>
      <c r="G32">
        <v>0.99887137428990602</v>
      </c>
      <c r="H32" t="str">
        <f t="shared" si="0"/>
        <v>Q2</v>
      </c>
    </row>
    <row r="33" spans="1:8">
      <c r="A33">
        <v>661794</v>
      </c>
      <c r="B33" t="s">
        <v>1742</v>
      </c>
      <c r="C33">
        <v>319</v>
      </c>
      <c r="D33">
        <v>11.914935514190701</v>
      </c>
      <c r="E33">
        <v>3800.8644290268398</v>
      </c>
      <c r="F33">
        <v>0.97810466122418305</v>
      </c>
      <c r="G33">
        <v>0.99883375343290304</v>
      </c>
      <c r="H33" t="str">
        <f t="shared" si="0"/>
        <v>Q1</v>
      </c>
    </row>
    <row r="34" spans="1:8">
      <c r="A34">
        <v>399256</v>
      </c>
      <c r="B34" t="s">
        <v>4455</v>
      </c>
      <c r="C34">
        <v>2467</v>
      </c>
      <c r="D34">
        <v>1.5393258231462901</v>
      </c>
      <c r="E34">
        <v>3797.51680570189</v>
      </c>
      <c r="F34">
        <v>0.99977427485798098</v>
      </c>
      <c r="G34">
        <v>0.99879613257590005</v>
      </c>
      <c r="H34" t="str">
        <f t="shared" si="0"/>
        <v>Q2</v>
      </c>
    </row>
    <row r="35" spans="1:8">
      <c r="A35">
        <v>399087</v>
      </c>
      <c r="B35" t="s">
        <v>4190</v>
      </c>
      <c r="C35">
        <v>1277</v>
      </c>
      <c r="D35">
        <v>2.9560131163787799</v>
      </c>
      <c r="E35">
        <v>3774.8287496157</v>
      </c>
      <c r="F35">
        <v>0.99834468229186302</v>
      </c>
      <c r="G35">
        <v>0.99875851171889696</v>
      </c>
      <c r="H35" t="str">
        <f t="shared" si="0"/>
        <v>Q2</v>
      </c>
    </row>
    <row r="36" spans="1:8">
      <c r="A36">
        <v>695632</v>
      </c>
      <c r="B36" t="s">
        <v>1998</v>
      </c>
      <c r="C36">
        <v>1199</v>
      </c>
      <c r="D36">
        <v>3.13303453270641</v>
      </c>
      <c r="E36">
        <v>3756.5084047149899</v>
      </c>
      <c r="F36">
        <v>0.997855611150822</v>
      </c>
      <c r="G36">
        <v>0.99872089086189397</v>
      </c>
      <c r="H36" t="str">
        <f t="shared" si="0"/>
        <v>Q2</v>
      </c>
    </row>
    <row r="37" spans="1:8">
      <c r="A37">
        <v>708311</v>
      </c>
      <c r="B37" t="s">
        <v>5060</v>
      </c>
      <c r="C37">
        <v>820</v>
      </c>
      <c r="D37">
        <v>4.57784009609008</v>
      </c>
      <c r="E37">
        <v>3753.82887879387</v>
      </c>
      <c r="F37">
        <v>0.99586170572965604</v>
      </c>
      <c r="G37">
        <v>0.99868327000489099</v>
      </c>
      <c r="H37" t="str">
        <f t="shared" si="0"/>
        <v>Q2</v>
      </c>
    </row>
    <row r="38" spans="1:8">
      <c r="A38">
        <v>399136</v>
      </c>
      <c r="B38" t="s">
        <v>4360</v>
      </c>
      <c r="C38">
        <v>612</v>
      </c>
      <c r="D38">
        <v>5.9936994910422801</v>
      </c>
      <c r="E38">
        <v>3668.1440885178699</v>
      </c>
      <c r="F38">
        <v>0.99258869117038495</v>
      </c>
      <c r="G38">
        <v>0.998645649147888</v>
      </c>
      <c r="H38" t="str">
        <f t="shared" si="0"/>
        <v>Q1</v>
      </c>
    </row>
    <row r="39" spans="1:8">
      <c r="A39">
        <v>351484</v>
      </c>
      <c r="B39" t="s">
        <v>2663</v>
      </c>
      <c r="C39">
        <v>1775</v>
      </c>
      <c r="D39">
        <v>2.0445126816368</v>
      </c>
      <c r="E39">
        <v>3629.0100099053202</v>
      </c>
      <c r="F39">
        <v>0.99939806628795003</v>
      </c>
      <c r="G39">
        <v>0.99860802829088402</v>
      </c>
      <c r="H39" t="str">
        <f t="shared" si="0"/>
        <v>Q2</v>
      </c>
    </row>
    <row r="40" spans="1:8">
      <c r="A40">
        <v>554479</v>
      </c>
      <c r="B40" t="s">
        <v>3609</v>
      </c>
      <c r="C40">
        <v>1484</v>
      </c>
      <c r="D40">
        <v>2.4169708548158901</v>
      </c>
      <c r="E40">
        <v>3586.7847485467801</v>
      </c>
      <c r="F40">
        <v>0.99890899514690901</v>
      </c>
      <c r="G40">
        <v>0.99857040743388104</v>
      </c>
      <c r="H40" t="str">
        <f t="shared" si="0"/>
        <v>Q2</v>
      </c>
    </row>
    <row r="41" spans="1:8">
      <c r="A41">
        <v>781613</v>
      </c>
      <c r="B41" t="s">
        <v>2332</v>
      </c>
      <c r="C41">
        <v>785</v>
      </c>
      <c r="D41">
        <v>4.55532772288581</v>
      </c>
      <c r="E41">
        <v>3575.9322624653601</v>
      </c>
      <c r="F41">
        <v>0.99537263458861602</v>
      </c>
      <c r="G41">
        <v>0.99853278657687805</v>
      </c>
      <c r="H41" t="str">
        <f t="shared" si="0"/>
        <v>Q2</v>
      </c>
    </row>
    <row r="42" spans="1:8">
      <c r="A42">
        <v>763280</v>
      </c>
      <c r="B42" t="s">
        <v>3729</v>
      </c>
      <c r="C42">
        <v>1209</v>
      </c>
      <c r="D42">
        <v>2.8915085525516102</v>
      </c>
      <c r="E42">
        <v>3495.8338400348998</v>
      </c>
      <c r="F42">
        <v>0.99793085286482797</v>
      </c>
      <c r="G42">
        <v>0.99849516571987496</v>
      </c>
      <c r="H42" t="str">
        <f t="shared" si="0"/>
        <v>Q2</v>
      </c>
    </row>
    <row r="43" spans="1:8">
      <c r="A43">
        <v>399223</v>
      </c>
      <c r="B43" t="s">
        <v>1203</v>
      </c>
      <c r="C43">
        <v>1093</v>
      </c>
      <c r="D43">
        <v>3.1909407578725699</v>
      </c>
      <c r="E43">
        <v>3487.6982483547199</v>
      </c>
      <c r="F43">
        <v>0.9975922651518</v>
      </c>
      <c r="G43">
        <v>0.99845754486287197</v>
      </c>
      <c r="H43" t="str">
        <f t="shared" si="0"/>
        <v>Q2</v>
      </c>
    </row>
    <row r="44" spans="1:8">
      <c r="A44">
        <v>664319</v>
      </c>
      <c r="B44" t="s">
        <v>4868</v>
      </c>
      <c r="C44">
        <v>1541</v>
      </c>
      <c r="D44">
        <v>2.2573092509221899</v>
      </c>
      <c r="E44">
        <v>3478.5135556710902</v>
      </c>
      <c r="F44">
        <v>0.99902185771791896</v>
      </c>
      <c r="G44">
        <v>0.99841992400586899</v>
      </c>
      <c r="H44" t="str">
        <f t="shared" si="0"/>
        <v>Q2</v>
      </c>
    </row>
    <row r="45" spans="1:8">
      <c r="A45">
        <v>712587</v>
      </c>
      <c r="B45" t="s">
        <v>677</v>
      </c>
      <c r="C45">
        <v>1161</v>
      </c>
      <c r="D45">
        <v>2.9601789142978201</v>
      </c>
      <c r="E45">
        <v>3436.76771949977</v>
      </c>
      <c r="F45">
        <v>0.99774274857981304</v>
      </c>
      <c r="G45">
        <v>0.998382303148866</v>
      </c>
      <c r="H45" t="str">
        <f t="shared" si="0"/>
        <v>Q2</v>
      </c>
    </row>
    <row r="46" spans="1:8">
      <c r="A46">
        <v>715624</v>
      </c>
      <c r="B46" t="s">
        <v>507</v>
      </c>
      <c r="C46">
        <v>1435</v>
      </c>
      <c r="D46">
        <v>2.3620835118294301</v>
      </c>
      <c r="E46">
        <v>3389.5898394752298</v>
      </c>
      <c r="F46">
        <v>0.99868327000489099</v>
      </c>
      <c r="G46">
        <v>0.99834468229186302</v>
      </c>
      <c r="H46" t="str">
        <f t="shared" si="0"/>
        <v>Q2</v>
      </c>
    </row>
    <row r="47" spans="1:8">
      <c r="A47">
        <v>695632</v>
      </c>
      <c r="B47" t="s">
        <v>115</v>
      </c>
      <c r="C47">
        <v>1053</v>
      </c>
      <c r="D47">
        <v>3.1966101206619699</v>
      </c>
      <c r="E47">
        <v>3366.0304570570602</v>
      </c>
      <c r="F47">
        <v>0.99740416086678496</v>
      </c>
      <c r="G47">
        <v>0.99830706143485903</v>
      </c>
      <c r="H47" t="str">
        <f t="shared" si="0"/>
        <v>Q2</v>
      </c>
    </row>
    <row r="48" spans="1:8">
      <c r="A48">
        <v>688537</v>
      </c>
      <c r="B48" t="s">
        <v>4429</v>
      </c>
      <c r="C48">
        <v>2116</v>
      </c>
      <c r="D48">
        <v>1.5838205446079801</v>
      </c>
      <c r="E48">
        <v>3351.36427239049</v>
      </c>
      <c r="F48">
        <v>0.99962379142996904</v>
      </c>
      <c r="G48">
        <v>0.99826944057785605</v>
      </c>
      <c r="H48" t="str">
        <f t="shared" si="0"/>
        <v>Q2</v>
      </c>
    </row>
    <row r="49" spans="1:8">
      <c r="A49">
        <v>188183</v>
      </c>
      <c r="B49" t="s">
        <v>4583</v>
      </c>
      <c r="C49">
        <v>691</v>
      </c>
      <c r="D49">
        <v>4.7924894743832196</v>
      </c>
      <c r="E49">
        <v>3311.6102267987999</v>
      </c>
      <c r="F49">
        <v>0.99416876716451597</v>
      </c>
      <c r="G49">
        <v>0.99823181972085295</v>
      </c>
      <c r="H49" t="str">
        <f t="shared" si="0"/>
        <v>Q2</v>
      </c>
    </row>
    <row r="50" spans="1:8">
      <c r="A50">
        <v>399061</v>
      </c>
      <c r="B50" t="s">
        <v>2255</v>
      </c>
      <c r="C50">
        <v>625</v>
      </c>
      <c r="D50">
        <v>5.2822672329843003</v>
      </c>
      <c r="E50">
        <v>3301.4170206151898</v>
      </c>
      <c r="F50">
        <v>0.99292727888341303</v>
      </c>
      <c r="G50">
        <v>0.99819419886384997</v>
      </c>
      <c r="H50" t="str">
        <f t="shared" si="0"/>
        <v>Q1</v>
      </c>
    </row>
    <row r="51" spans="1:8">
      <c r="A51">
        <v>695545</v>
      </c>
      <c r="B51" t="s">
        <v>3220</v>
      </c>
      <c r="C51">
        <v>1043</v>
      </c>
      <c r="D51">
        <v>2.9878608938681599</v>
      </c>
      <c r="E51">
        <v>3116.3389123044899</v>
      </c>
      <c r="F51">
        <v>0.99736654000978098</v>
      </c>
      <c r="G51">
        <v>0.99815657800684698</v>
      </c>
      <c r="H51" t="str">
        <f t="shared" si="0"/>
        <v>Q2</v>
      </c>
    </row>
    <row r="52" spans="1:8">
      <c r="A52">
        <v>777070</v>
      </c>
      <c r="B52" t="s">
        <v>1031</v>
      </c>
      <c r="C52">
        <v>803</v>
      </c>
      <c r="D52">
        <v>3.8380036792795602</v>
      </c>
      <c r="E52">
        <v>3081.9169544614901</v>
      </c>
      <c r="F52">
        <v>0.99567360144464101</v>
      </c>
      <c r="G52">
        <v>0.998118957149844</v>
      </c>
      <c r="H52" t="str">
        <f t="shared" si="0"/>
        <v>Q2</v>
      </c>
    </row>
    <row r="53" spans="1:8">
      <c r="A53">
        <v>600886</v>
      </c>
      <c r="B53" t="s">
        <v>4889</v>
      </c>
      <c r="C53">
        <v>1240</v>
      </c>
      <c r="D53">
        <v>2.4185743610019701</v>
      </c>
      <c r="E53">
        <v>2999.03220764245</v>
      </c>
      <c r="F53">
        <v>0.99819419886384997</v>
      </c>
      <c r="G53">
        <v>0.99808133629284101</v>
      </c>
      <c r="H53" t="str">
        <f t="shared" si="0"/>
        <v>Q2</v>
      </c>
    </row>
    <row r="54" spans="1:8">
      <c r="A54">
        <v>636455</v>
      </c>
      <c r="B54" t="s">
        <v>2333</v>
      </c>
      <c r="C54">
        <v>643</v>
      </c>
      <c r="D54">
        <v>4.6147323956547996</v>
      </c>
      <c r="E54">
        <v>2967.2729304060299</v>
      </c>
      <c r="F54">
        <v>0.99334110831044697</v>
      </c>
      <c r="G54">
        <v>0.99804371543583803</v>
      </c>
      <c r="H54" t="str">
        <f t="shared" si="0"/>
        <v>Q2</v>
      </c>
    </row>
    <row r="55" spans="1:8">
      <c r="A55">
        <v>739144</v>
      </c>
      <c r="B55" t="s">
        <v>94</v>
      </c>
      <c r="C55">
        <v>1916</v>
      </c>
      <c r="D55">
        <v>1.5418730176244499</v>
      </c>
      <c r="E55">
        <v>2954.2287017684398</v>
      </c>
      <c r="F55">
        <v>0.99958617057296595</v>
      </c>
      <c r="G55">
        <v>0.99800609457883405</v>
      </c>
      <c r="H55" t="str">
        <f t="shared" si="0"/>
        <v>Q2</v>
      </c>
    </row>
    <row r="56" spans="1:8">
      <c r="A56">
        <v>559634</v>
      </c>
      <c r="B56" t="s">
        <v>4894</v>
      </c>
      <c r="C56">
        <v>922</v>
      </c>
      <c r="D56">
        <v>3.1929096064597</v>
      </c>
      <c r="E56">
        <v>2943.8626571558402</v>
      </c>
      <c r="F56">
        <v>0.99668936458372503</v>
      </c>
      <c r="G56">
        <v>0.99796847372183095</v>
      </c>
      <c r="H56" t="str">
        <f t="shared" si="0"/>
        <v>Q2</v>
      </c>
    </row>
    <row r="57" spans="1:8">
      <c r="A57">
        <v>640021</v>
      </c>
      <c r="B57" t="s">
        <v>3761</v>
      </c>
      <c r="C57">
        <v>606</v>
      </c>
      <c r="D57">
        <v>4.8507888068325196</v>
      </c>
      <c r="E57">
        <v>2939.5780169405002</v>
      </c>
      <c r="F57">
        <v>0.99236296602836604</v>
      </c>
      <c r="G57">
        <v>0.99793085286482797</v>
      </c>
      <c r="H57" t="str">
        <f t="shared" si="0"/>
        <v>Q2</v>
      </c>
    </row>
    <row r="58" spans="1:8">
      <c r="A58">
        <v>554598</v>
      </c>
      <c r="B58" t="s">
        <v>3464</v>
      </c>
      <c r="C58">
        <v>1843</v>
      </c>
      <c r="D58">
        <v>1.5836356828652201</v>
      </c>
      <c r="E58">
        <v>2918.6405635206002</v>
      </c>
      <c r="F58">
        <v>0.99951092885895898</v>
      </c>
      <c r="G58">
        <v>0.99789323200782498</v>
      </c>
      <c r="H58" t="str">
        <f t="shared" si="0"/>
        <v>Q2</v>
      </c>
    </row>
    <row r="59" spans="1:8">
      <c r="A59">
        <v>673677</v>
      </c>
      <c r="B59" t="s">
        <v>2085</v>
      </c>
      <c r="C59">
        <v>1253</v>
      </c>
      <c r="D59">
        <v>2.3249516427867798</v>
      </c>
      <c r="E59">
        <v>2913.1644084118302</v>
      </c>
      <c r="F59">
        <v>0.99826944057785605</v>
      </c>
      <c r="G59">
        <v>0.997855611150822</v>
      </c>
      <c r="H59" t="str">
        <f t="shared" si="0"/>
        <v>Q2</v>
      </c>
    </row>
    <row r="60" spans="1:8">
      <c r="A60">
        <v>559630</v>
      </c>
      <c r="B60" t="s">
        <v>4904</v>
      </c>
      <c r="C60">
        <v>1217</v>
      </c>
      <c r="D60">
        <v>2.3024037958642398</v>
      </c>
      <c r="E60">
        <v>2802.0254195667799</v>
      </c>
      <c r="F60">
        <v>0.99804371543583803</v>
      </c>
      <c r="G60">
        <v>0.99781799029381901</v>
      </c>
      <c r="H60" t="str">
        <f t="shared" si="0"/>
        <v>Q2</v>
      </c>
    </row>
    <row r="61" spans="1:8">
      <c r="A61">
        <v>693243</v>
      </c>
      <c r="B61" t="s">
        <v>3128</v>
      </c>
      <c r="C61">
        <v>865</v>
      </c>
      <c r="D61">
        <v>3.2056313875868798</v>
      </c>
      <c r="E61">
        <v>2772.8711502626502</v>
      </c>
      <c r="F61">
        <v>0.99631315601369397</v>
      </c>
      <c r="G61">
        <v>0.99778036943681603</v>
      </c>
      <c r="H61" t="str">
        <f t="shared" si="0"/>
        <v>Q2</v>
      </c>
    </row>
    <row r="62" spans="1:8">
      <c r="A62">
        <v>783346</v>
      </c>
      <c r="B62" t="s">
        <v>3942</v>
      </c>
      <c r="C62">
        <v>1131</v>
      </c>
      <c r="D62">
        <v>2.4180626156587599</v>
      </c>
      <c r="E62">
        <v>2734.8288183100499</v>
      </c>
      <c r="F62">
        <v>0.99762988600880298</v>
      </c>
      <c r="G62">
        <v>0.99774274857981304</v>
      </c>
      <c r="H62" t="str">
        <f t="shared" si="0"/>
        <v>Q2</v>
      </c>
    </row>
    <row r="63" spans="1:8">
      <c r="A63">
        <v>568597</v>
      </c>
      <c r="B63" t="s">
        <v>2055</v>
      </c>
      <c r="C63">
        <v>679</v>
      </c>
      <c r="D63">
        <v>4.0155862418273598</v>
      </c>
      <c r="E63">
        <v>2726.5830582007802</v>
      </c>
      <c r="F63">
        <v>0.99398066287950004</v>
      </c>
      <c r="G63">
        <v>0.99770512772280995</v>
      </c>
      <c r="H63" t="str">
        <f t="shared" si="0"/>
        <v>Q2</v>
      </c>
    </row>
    <row r="64" spans="1:8">
      <c r="A64">
        <v>618800</v>
      </c>
      <c r="B64" t="s">
        <v>2702</v>
      </c>
      <c r="C64">
        <v>883</v>
      </c>
      <c r="D64">
        <v>3.0521411353791801</v>
      </c>
      <c r="E64">
        <v>2695.0406225398201</v>
      </c>
      <c r="F64">
        <v>0.99642601858470303</v>
      </c>
      <c r="G64">
        <v>0.99766750686580596</v>
      </c>
      <c r="H64" t="str">
        <f t="shared" si="0"/>
        <v>Q2</v>
      </c>
    </row>
    <row r="65" spans="1:8">
      <c r="A65">
        <v>699075</v>
      </c>
      <c r="B65" t="s">
        <v>4763</v>
      </c>
      <c r="C65">
        <v>893</v>
      </c>
      <c r="D65">
        <v>2.9457759891176698</v>
      </c>
      <c r="E65">
        <v>2630.5779582820801</v>
      </c>
      <c r="F65">
        <v>0.99646363944170602</v>
      </c>
      <c r="G65">
        <v>0.99762988600880298</v>
      </c>
      <c r="H65" t="str">
        <f t="shared" si="0"/>
        <v>Q2</v>
      </c>
    </row>
    <row r="66" spans="1:8">
      <c r="A66">
        <v>749699</v>
      </c>
      <c r="B66" t="s">
        <v>988</v>
      </c>
      <c r="C66">
        <v>1070</v>
      </c>
      <c r="D66">
        <v>2.4426928607781799</v>
      </c>
      <c r="E66">
        <v>2613.6813610326499</v>
      </c>
      <c r="F66">
        <v>0.99751702343779403</v>
      </c>
      <c r="G66">
        <v>0.9975922651518</v>
      </c>
      <c r="H66" t="str">
        <f t="shared" si="0"/>
        <v>Q2</v>
      </c>
    </row>
    <row r="67" spans="1:8">
      <c r="A67">
        <v>579302</v>
      </c>
      <c r="B67" t="s">
        <v>1049</v>
      </c>
      <c r="C67">
        <v>803</v>
      </c>
      <c r="D67">
        <v>3.2474069132969499</v>
      </c>
      <c r="E67">
        <v>2607.6677513774498</v>
      </c>
      <c r="F67">
        <v>0.99567360144464101</v>
      </c>
      <c r="G67">
        <v>0.99755464429479701</v>
      </c>
      <c r="H67" t="str">
        <f t="shared" ref="H67:H130" si="1">IF(C67&gt;$J$2,
   IF(D67&gt;$J$3,"Q1","Q2"),
   IF(D67&gt;$J$3,"Q3","Q4"))</f>
        <v>Q2</v>
      </c>
    </row>
    <row r="68" spans="1:8">
      <c r="A68">
        <v>621381</v>
      </c>
      <c r="B68" t="s">
        <v>2273</v>
      </c>
      <c r="C68">
        <v>802</v>
      </c>
      <c r="D68">
        <v>3.21585860421551</v>
      </c>
      <c r="E68">
        <v>2579.1186005808399</v>
      </c>
      <c r="F68">
        <v>0.99559835973063504</v>
      </c>
      <c r="G68">
        <v>0.99751702343779403</v>
      </c>
      <c r="H68" t="str">
        <f t="shared" si="1"/>
        <v>Q2</v>
      </c>
    </row>
    <row r="69" spans="1:8">
      <c r="A69">
        <v>690936</v>
      </c>
      <c r="B69" t="s">
        <v>117</v>
      </c>
      <c r="C69">
        <v>522</v>
      </c>
      <c r="D69">
        <v>4.7826547982078402</v>
      </c>
      <c r="E69">
        <v>2496.5458046644899</v>
      </c>
      <c r="F69">
        <v>0.98957902261013497</v>
      </c>
      <c r="G69">
        <v>0.99747940258079104</v>
      </c>
      <c r="H69" t="str">
        <f t="shared" si="1"/>
        <v>Q2</v>
      </c>
    </row>
    <row r="70" spans="1:8">
      <c r="A70">
        <v>568601</v>
      </c>
      <c r="B70" t="s">
        <v>3078</v>
      </c>
      <c r="C70">
        <v>534</v>
      </c>
      <c r="D70">
        <v>4.6686282824404</v>
      </c>
      <c r="E70">
        <v>2493.0475028231699</v>
      </c>
      <c r="F70">
        <v>0.99033143975019799</v>
      </c>
      <c r="G70">
        <v>0.99744178172378795</v>
      </c>
      <c r="H70" t="str">
        <f t="shared" si="1"/>
        <v>Q2</v>
      </c>
    </row>
    <row r="71" spans="1:8">
      <c r="A71">
        <v>708705</v>
      </c>
      <c r="B71" t="s">
        <v>1646</v>
      </c>
      <c r="C71">
        <v>259</v>
      </c>
      <c r="D71">
        <v>9.6243638013090393</v>
      </c>
      <c r="E71">
        <v>2492.7102245390402</v>
      </c>
      <c r="F71">
        <v>0.97027952296753295</v>
      </c>
      <c r="G71">
        <v>0.99740416086678496</v>
      </c>
      <c r="H71" t="str">
        <f t="shared" si="1"/>
        <v>Q1</v>
      </c>
    </row>
    <row r="72" spans="1:8">
      <c r="A72">
        <v>693242</v>
      </c>
      <c r="B72" t="s">
        <v>440</v>
      </c>
      <c r="C72">
        <v>831</v>
      </c>
      <c r="D72">
        <v>2.9750290206856498</v>
      </c>
      <c r="E72">
        <v>2472.2491161897801</v>
      </c>
      <c r="F72">
        <v>0.99601218915766898</v>
      </c>
      <c r="G72">
        <v>0.99736654000978098</v>
      </c>
      <c r="H72" t="str">
        <f t="shared" si="1"/>
        <v>Q2</v>
      </c>
    </row>
    <row r="73" spans="1:8">
      <c r="A73">
        <v>664074</v>
      </c>
      <c r="B73" t="s">
        <v>944</v>
      </c>
      <c r="C73">
        <v>1536</v>
      </c>
      <c r="D73">
        <v>1.59524291839261</v>
      </c>
      <c r="E73">
        <v>2450.29312265106</v>
      </c>
      <c r="F73">
        <v>0.99894661600391299</v>
      </c>
      <c r="G73">
        <v>0.99732891915277799</v>
      </c>
      <c r="H73" t="str">
        <f t="shared" si="1"/>
        <v>Q2</v>
      </c>
    </row>
    <row r="74" spans="1:8">
      <c r="A74">
        <v>756633</v>
      </c>
      <c r="B74" t="s">
        <v>4833</v>
      </c>
      <c r="C74">
        <v>980</v>
      </c>
      <c r="D74">
        <v>2.4642372939127402</v>
      </c>
      <c r="E74">
        <v>2414.9525480344901</v>
      </c>
      <c r="F74">
        <v>0.99710319401075997</v>
      </c>
      <c r="G74">
        <v>0.99729129829577501</v>
      </c>
      <c r="H74" t="str">
        <f t="shared" si="1"/>
        <v>Q2</v>
      </c>
    </row>
    <row r="75" spans="1:8">
      <c r="A75">
        <v>679853</v>
      </c>
      <c r="B75" t="s">
        <v>4440</v>
      </c>
      <c r="C75">
        <v>1602</v>
      </c>
      <c r="D75">
        <v>1.4929409733724599</v>
      </c>
      <c r="E75">
        <v>2391.69143934269</v>
      </c>
      <c r="F75">
        <v>0.99917234114593101</v>
      </c>
      <c r="G75">
        <v>0.99725367743877202</v>
      </c>
      <c r="H75" t="str">
        <f t="shared" si="1"/>
        <v>Q2</v>
      </c>
    </row>
    <row r="76" spans="1:8">
      <c r="A76">
        <v>762205</v>
      </c>
      <c r="B76" t="s">
        <v>2276</v>
      </c>
      <c r="C76">
        <v>758</v>
      </c>
      <c r="D76">
        <v>3.1280912970018302</v>
      </c>
      <c r="E76">
        <v>2371.0932031273801</v>
      </c>
      <c r="F76">
        <v>0.99510928858959402</v>
      </c>
      <c r="G76">
        <v>0.99721605658176904</v>
      </c>
      <c r="H76" t="str">
        <f t="shared" si="1"/>
        <v>Q2</v>
      </c>
    </row>
    <row r="77" spans="1:8">
      <c r="A77">
        <v>401044</v>
      </c>
      <c r="B77" t="s">
        <v>1129</v>
      </c>
      <c r="C77">
        <v>603</v>
      </c>
      <c r="D77">
        <v>3.92048514261224</v>
      </c>
      <c r="E77">
        <v>2364.0525409951802</v>
      </c>
      <c r="F77">
        <v>0.99232534517136295</v>
      </c>
      <c r="G77">
        <v>0.99717843572476605</v>
      </c>
      <c r="H77" t="str">
        <f t="shared" si="1"/>
        <v>Q2</v>
      </c>
    </row>
    <row r="78" spans="1:8">
      <c r="A78">
        <v>429313</v>
      </c>
      <c r="B78" t="s">
        <v>965</v>
      </c>
      <c r="C78">
        <v>845</v>
      </c>
      <c r="D78">
        <v>2.79509777611</v>
      </c>
      <c r="E78">
        <v>2361.8576208129498</v>
      </c>
      <c r="F78">
        <v>0.99620029344268501</v>
      </c>
      <c r="G78">
        <v>0.99714081486776296</v>
      </c>
      <c r="H78" t="str">
        <f t="shared" si="1"/>
        <v>Q2</v>
      </c>
    </row>
    <row r="79" spans="1:8">
      <c r="A79">
        <v>656763</v>
      </c>
      <c r="B79" t="s">
        <v>2449</v>
      </c>
      <c r="C79">
        <v>994</v>
      </c>
      <c r="D79">
        <v>2.37349691600267</v>
      </c>
      <c r="E79">
        <v>2359.2559345066502</v>
      </c>
      <c r="F79">
        <v>0.99714081486776296</v>
      </c>
      <c r="G79">
        <v>0.99710319401075997</v>
      </c>
      <c r="H79" t="str">
        <f t="shared" si="1"/>
        <v>Q2</v>
      </c>
    </row>
    <row r="80" spans="1:8">
      <c r="A80">
        <v>519583</v>
      </c>
      <c r="B80" t="s">
        <v>4480</v>
      </c>
      <c r="C80">
        <v>1036</v>
      </c>
      <c r="D80">
        <v>2.2684902357725001</v>
      </c>
      <c r="E80">
        <v>2350.1558842603099</v>
      </c>
      <c r="F80">
        <v>0.99721605658176904</v>
      </c>
      <c r="G80">
        <v>0.99706557315375599</v>
      </c>
      <c r="H80" t="str">
        <f t="shared" si="1"/>
        <v>Q2</v>
      </c>
    </row>
    <row r="81" spans="1:8">
      <c r="A81">
        <v>603584</v>
      </c>
      <c r="B81" t="s">
        <v>2541</v>
      </c>
      <c r="C81">
        <v>820</v>
      </c>
      <c r="D81">
        <v>2.83761677258398</v>
      </c>
      <c r="E81">
        <v>2326.84575351886</v>
      </c>
      <c r="F81">
        <v>0.99586170572965604</v>
      </c>
      <c r="G81">
        <v>0.99702795229675301</v>
      </c>
      <c r="H81" t="str">
        <f t="shared" si="1"/>
        <v>Q2</v>
      </c>
    </row>
    <row r="82" spans="1:8">
      <c r="A82">
        <v>529008</v>
      </c>
      <c r="B82" t="s">
        <v>2064</v>
      </c>
      <c r="C82">
        <v>1036</v>
      </c>
      <c r="D82">
        <v>2.24285059654366</v>
      </c>
      <c r="E82">
        <v>2323.5932180192299</v>
      </c>
      <c r="F82">
        <v>0.99721605658176904</v>
      </c>
      <c r="G82">
        <v>0.99699033143975002</v>
      </c>
      <c r="H82" t="str">
        <f t="shared" si="1"/>
        <v>Q2</v>
      </c>
    </row>
    <row r="83" spans="1:8">
      <c r="A83">
        <v>801309</v>
      </c>
      <c r="B83" t="s">
        <v>3597</v>
      </c>
      <c r="C83">
        <v>550</v>
      </c>
      <c r="D83">
        <v>4.2103297859430304</v>
      </c>
      <c r="E83">
        <v>2315.6813822686699</v>
      </c>
      <c r="F83">
        <v>0.99074526917723205</v>
      </c>
      <c r="G83">
        <v>0.99695271058274704</v>
      </c>
      <c r="H83" t="str">
        <f t="shared" si="1"/>
        <v>Q2</v>
      </c>
    </row>
    <row r="84" spans="1:8">
      <c r="A84">
        <v>680263</v>
      </c>
      <c r="B84" t="s">
        <v>2049</v>
      </c>
      <c r="C84">
        <v>610</v>
      </c>
      <c r="D84">
        <v>3.78645457594549</v>
      </c>
      <c r="E84">
        <v>2309.73729132675</v>
      </c>
      <c r="F84">
        <v>0.99251344945637898</v>
      </c>
      <c r="G84">
        <v>0.99691508972574405</v>
      </c>
      <c r="H84" t="str">
        <f t="shared" si="1"/>
        <v>Q2</v>
      </c>
    </row>
    <row r="85" spans="1:8">
      <c r="A85">
        <v>799365</v>
      </c>
      <c r="B85" t="s">
        <v>5094</v>
      </c>
      <c r="C85">
        <v>482</v>
      </c>
      <c r="D85">
        <v>4.7866833983646098</v>
      </c>
      <c r="E85">
        <v>2307.1813980117399</v>
      </c>
      <c r="F85">
        <v>0.98803656747300705</v>
      </c>
      <c r="G85">
        <v>0.99687746886874096</v>
      </c>
      <c r="H85" t="str">
        <f t="shared" si="1"/>
        <v>Q2</v>
      </c>
    </row>
    <row r="86" spans="1:8">
      <c r="A86">
        <v>678696</v>
      </c>
      <c r="B86" t="s">
        <v>2221</v>
      </c>
      <c r="C86">
        <v>958</v>
      </c>
      <c r="D86">
        <v>2.3924065026647101</v>
      </c>
      <c r="E86">
        <v>2291.9254295527899</v>
      </c>
      <c r="F86">
        <v>0.99695271058274704</v>
      </c>
      <c r="G86">
        <v>0.99683984801173797</v>
      </c>
      <c r="H86" t="str">
        <f t="shared" si="1"/>
        <v>Q2</v>
      </c>
    </row>
    <row r="87" spans="1:8">
      <c r="A87">
        <v>741356</v>
      </c>
      <c r="B87" t="s">
        <v>3627</v>
      </c>
      <c r="C87">
        <v>738</v>
      </c>
      <c r="D87">
        <v>3.08978681649437</v>
      </c>
      <c r="E87">
        <v>2280.2626705728499</v>
      </c>
      <c r="F87">
        <v>0.99484594259057202</v>
      </c>
      <c r="G87">
        <v>0.99680222715473499</v>
      </c>
      <c r="H87" t="str">
        <f t="shared" si="1"/>
        <v>Q2</v>
      </c>
    </row>
    <row r="88" spans="1:8">
      <c r="A88">
        <v>399136</v>
      </c>
      <c r="B88" t="s">
        <v>4359</v>
      </c>
      <c r="C88">
        <v>384</v>
      </c>
      <c r="D88">
        <v>5.8801068449004896</v>
      </c>
      <c r="E88">
        <v>2257.9610284417899</v>
      </c>
      <c r="F88">
        <v>0.98265678492155994</v>
      </c>
      <c r="G88">
        <v>0.996764606297731</v>
      </c>
      <c r="H88" t="str">
        <f t="shared" si="1"/>
        <v>Q1</v>
      </c>
    </row>
    <row r="89" spans="1:8">
      <c r="A89">
        <v>714824</v>
      </c>
      <c r="B89" t="s">
        <v>1645</v>
      </c>
      <c r="C89">
        <v>685</v>
      </c>
      <c r="D89">
        <v>3.2492267178629901</v>
      </c>
      <c r="E89">
        <v>2225.7203017361498</v>
      </c>
      <c r="F89">
        <v>0.99409352545051</v>
      </c>
      <c r="G89">
        <v>0.99672698544072802</v>
      </c>
      <c r="H89" t="str">
        <f t="shared" si="1"/>
        <v>Q2</v>
      </c>
    </row>
    <row r="90" spans="1:8">
      <c r="A90">
        <v>717727</v>
      </c>
      <c r="B90" t="s">
        <v>3176</v>
      </c>
      <c r="C90">
        <v>749</v>
      </c>
      <c r="D90">
        <v>2.9697743301044799</v>
      </c>
      <c r="E90">
        <v>2224.3609732482601</v>
      </c>
      <c r="F90">
        <v>0.99499642601858496</v>
      </c>
      <c r="G90">
        <v>0.99668936458372503</v>
      </c>
      <c r="H90" t="str">
        <f t="shared" si="1"/>
        <v>Q2</v>
      </c>
    </row>
    <row r="91" spans="1:8">
      <c r="A91">
        <v>464297</v>
      </c>
      <c r="B91" t="s">
        <v>1984</v>
      </c>
      <c r="C91">
        <v>1411</v>
      </c>
      <c r="D91">
        <v>1.5752897310730101</v>
      </c>
      <c r="E91">
        <v>2222.7338105440099</v>
      </c>
      <c r="F91">
        <v>0.998645649147888</v>
      </c>
      <c r="G91">
        <v>0.99665174372672205</v>
      </c>
      <c r="H91" t="str">
        <f t="shared" si="1"/>
        <v>Q2</v>
      </c>
    </row>
    <row r="92" spans="1:8">
      <c r="A92">
        <v>507909</v>
      </c>
      <c r="B92" t="s">
        <v>4016</v>
      </c>
      <c r="C92">
        <v>915</v>
      </c>
      <c r="D92">
        <v>2.4245271876026901</v>
      </c>
      <c r="E92">
        <v>2218.4423766564601</v>
      </c>
      <c r="F92">
        <v>0.99657650201271597</v>
      </c>
      <c r="G92">
        <v>0.99661412286971895</v>
      </c>
      <c r="H92" t="str">
        <f t="shared" si="1"/>
        <v>Q2</v>
      </c>
    </row>
    <row r="93" spans="1:8">
      <c r="A93">
        <v>624486</v>
      </c>
      <c r="B93" t="s">
        <v>724</v>
      </c>
      <c r="C93">
        <v>1743</v>
      </c>
      <c r="D93">
        <v>1.26520706397042</v>
      </c>
      <c r="E93">
        <v>2205.25591250043</v>
      </c>
      <c r="F93">
        <v>0.99936044543094704</v>
      </c>
      <c r="G93">
        <v>0.99657650201271597</v>
      </c>
      <c r="H93" t="str">
        <f t="shared" si="1"/>
        <v>Q2</v>
      </c>
    </row>
    <row r="94" spans="1:8">
      <c r="A94">
        <v>612481</v>
      </c>
      <c r="B94" t="s">
        <v>1502</v>
      </c>
      <c r="C94">
        <v>930</v>
      </c>
      <c r="D94">
        <v>2.35756692226215</v>
      </c>
      <c r="E94">
        <v>2192.5372377038002</v>
      </c>
      <c r="F94">
        <v>0.99680222715473499</v>
      </c>
      <c r="G94">
        <v>0.99653888115571299</v>
      </c>
      <c r="H94" t="str">
        <f t="shared" si="1"/>
        <v>Q2</v>
      </c>
    </row>
    <row r="95" spans="1:8">
      <c r="A95">
        <v>685429</v>
      </c>
      <c r="B95" t="s">
        <v>4129</v>
      </c>
      <c r="C95">
        <v>718</v>
      </c>
      <c r="D95">
        <v>3.0186227681686</v>
      </c>
      <c r="E95">
        <v>2167.37114754505</v>
      </c>
      <c r="F95">
        <v>0.99454497573454703</v>
      </c>
      <c r="G95">
        <v>0.99650126029871</v>
      </c>
      <c r="H95" t="str">
        <f t="shared" si="1"/>
        <v>Q2</v>
      </c>
    </row>
    <row r="96" spans="1:8">
      <c r="A96">
        <v>733267</v>
      </c>
      <c r="B96" t="s">
        <v>4403</v>
      </c>
      <c r="C96">
        <v>778</v>
      </c>
      <c r="D96">
        <v>2.7547361342665</v>
      </c>
      <c r="E96">
        <v>2143.1847124593301</v>
      </c>
      <c r="F96">
        <v>0.99529739287461005</v>
      </c>
      <c r="G96">
        <v>0.99646363944170602</v>
      </c>
      <c r="H96" t="str">
        <f t="shared" si="1"/>
        <v>Q2</v>
      </c>
    </row>
    <row r="97" spans="1:8">
      <c r="A97">
        <v>717879</v>
      </c>
      <c r="B97" t="s">
        <v>1247</v>
      </c>
      <c r="C97">
        <v>452</v>
      </c>
      <c r="D97">
        <v>4.7368607400356098</v>
      </c>
      <c r="E97">
        <v>2141.06105449609</v>
      </c>
      <c r="F97">
        <v>0.98679507919190401</v>
      </c>
      <c r="G97">
        <v>0.99642601858470303</v>
      </c>
      <c r="H97" t="str">
        <f t="shared" si="1"/>
        <v>Q2</v>
      </c>
    </row>
    <row r="98" spans="1:8">
      <c r="A98">
        <v>702790</v>
      </c>
      <c r="B98" t="s">
        <v>3866</v>
      </c>
      <c r="C98">
        <v>475</v>
      </c>
      <c r="D98">
        <v>4.49558971096811</v>
      </c>
      <c r="E98">
        <v>2135.4051127098501</v>
      </c>
      <c r="F98">
        <v>0.987622738045973</v>
      </c>
      <c r="G98">
        <v>0.99638839772770005</v>
      </c>
      <c r="H98" t="str">
        <f t="shared" si="1"/>
        <v>Q2</v>
      </c>
    </row>
    <row r="99" spans="1:8">
      <c r="A99">
        <v>684824</v>
      </c>
      <c r="B99" t="s">
        <v>5154</v>
      </c>
      <c r="C99">
        <v>474</v>
      </c>
      <c r="D99">
        <v>4.5024208709271401</v>
      </c>
      <c r="E99">
        <v>2134.1474928194698</v>
      </c>
      <c r="F99">
        <v>0.98754749633196603</v>
      </c>
      <c r="G99">
        <v>0.99635077687069695</v>
      </c>
      <c r="H99" t="str">
        <f t="shared" si="1"/>
        <v>Q2</v>
      </c>
    </row>
    <row r="100" spans="1:8">
      <c r="A100">
        <v>717490</v>
      </c>
      <c r="B100" t="s">
        <v>75</v>
      </c>
      <c r="C100">
        <v>2661</v>
      </c>
      <c r="D100">
        <v>0.80114204380279797</v>
      </c>
      <c r="E100">
        <v>2131.8389785592399</v>
      </c>
      <c r="F100">
        <v>0.99988713742899105</v>
      </c>
      <c r="G100">
        <v>0.99631315601369397</v>
      </c>
      <c r="H100" t="str">
        <f t="shared" si="1"/>
        <v>Q2</v>
      </c>
    </row>
    <row r="101" spans="1:8">
      <c r="A101">
        <v>736530</v>
      </c>
      <c r="B101" t="s">
        <v>2064</v>
      </c>
      <c r="C101">
        <v>903</v>
      </c>
      <c r="D101">
        <v>2.3546614909002099</v>
      </c>
      <c r="E101">
        <v>2126.25932628289</v>
      </c>
      <c r="F101">
        <v>0.99650126029871</v>
      </c>
      <c r="G101">
        <v>0.99627553515669098</v>
      </c>
      <c r="H101" t="str">
        <f t="shared" si="1"/>
        <v>Q2</v>
      </c>
    </row>
    <row r="102" spans="1:8">
      <c r="A102">
        <v>753737</v>
      </c>
      <c r="B102" t="s">
        <v>4993</v>
      </c>
      <c r="C102">
        <v>564</v>
      </c>
      <c r="D102">
        <v>3.7624744551441198</v>
      </c>
      <c r="E102">
        <v>2122.0355927012902</v>
      </c>
      <c r="F102">
        <v>0.99123434031827196</v>
      </c>
      <c r="G102">
        <v>0.996237914299688</v>
      </c>
      <c r="H102" t="str">
        <f t="shared" si="1"/>
        <v>Q2</v>
      </c>
    </row>
    <row r="103" spans="1:8">
      <c r="A103">
        <v>775996</v>
      </c>
      <c r="B103" t="s">
        <v>213</v>
      </c>
      <c r="C103">
        <v>706</v>
      </c>
      <c r="D103">
        <v>3.0000383680733802</v>
      </c>
      <c r="E103">
        <v>2118.0270878598099</v>
      </c>
      <c r="F103">
        <v>0.99439449230653498</v>
      </c>
      <c r="G103">
        <v>0.99620029344268501</v>
      </c>
      <c r="H103" t="str">
        <f t="shared" si="1"/>
        <v>Q2</v>
      </c>
    </row>
    <row r="104" spans="1:8">
      <c r="A104">
        <v>695544</v>
      </c>
      <c r="B104" t="s">
        <v>3845</v>
      </c>
      <c r="C104">
        <v>650</v>
      </c>
      <c r="D104">
        <v>3.2509073701042399</v>
      </c>
      <c r="E104">
        <v>2113.0897905677598</v>
      </c>
      <c r="F104">
        <v>0.99337872916744996</v>
      </c>
      <c r="G104">
        <v>0.99616267258568103</v>
      </c>
      <c r="H104" t="str">
        <f t="shared" si="1"/>
        <v>Q2</v>
      </c>
    </row>
    <row r="105" spans="1:8">
      <c r="A105">
        <v>708428</v>
      </c>
      <c r="B105" t="s">
        <v>520</v>
      </c>
      <c r="C105">
        <v>960</v>
      </c>
      <c r="D105">
        <v>2.17851871915627</v>
      </c>
      <c r="E105">
        <v>2091.37797039002</v>
      </c>
      <c r="F105">
        <v>0.99699033143975002</v>
      </c>
      <c r="G105">
        <v>0.99612505172867805</v>
      </c>
      <c r="H105" t="str">
        <f t="shared" si="1"/>
        <v>Q2</v>
      </c>
    </row>
    <row r="106" spans="1:8">
      <c r="A106">
        <v>372860</v>
      </c>
      <c r="B106" t="s">
        <v>158</v>
      </c>
      <c r="C106">
        <v>1682</v>
      </c>
      <c r="D106">
        <v>1.2385426821988901</v>
      </c>
      <c r="E106">
        <v>2083.2287914585299</v>
      </c>
      <c r="F106">
        <v>0.99932282457394395</v>
      </c>
      <c r="G106">
        <v>0.99608743087167495</v>
      </c>
      <c r="H106" t="str">
        <f t="shared" si="1"/>
        <v>Q2</v>
      </c>
    </row>
    <row r="107" spans="1:8">
      <c r="A107">
        <v>636323</v>
      </c>
      <c r="B107" t="s">
        <v>4467</v>
      </c>
      <c r="C107">
        <v>1293</v>
      </c>
      <c r="D107">
        <v>1.6096398482504</v>
      </c>
      <c r="E107">
        <v>2081.2643237877601</v>
      </c>
      <c r="F107">
        <v>0.99841992400586899</v>
      </c>
      <c r="G107">
        <v>0.99604981001467197</v>
      </c>
      <c r="H107" t="str">
        <f t="shared" si="1"/>
        <v>Q2</v>
      </c>
    </row>
    <row r="108" spans="1:8">
      <c r="A108">
        <v>456163</v>
      </c>
      <c r="B108" t="s">
        <v>5205</v>
      </c>
      <c r="C108">
        <v>657</v>
      </c>
      <c r="D108">
        <v>3.16598813632103</v>
      </c>
      <c r="E108">
        <v>2080.0542055629198</v>
      </c>
      <c r="F108">
        <v>0.99360445430946898</v>
      </c>
      <c r="G108">
        <v>0.99601218915766898</v>
      </c>
      <c r="H108" t="str">
        <f t="shared" si="1"/>
        <v>Q2</v>
      </c>
    </row>
    <row r="109" spans="1:8">
      <c r="A109">
        <v>675068</v>
      </c>
      <c r="B109" t="s">
        <v>3184</v>
      </c>
      <c r="C109">
        <v>929</v>
      </c>
      <c r="D109">
        <v>2.2318458019688601</v>
      </c>
      <c r="E109">
        <v>2073.3847500290699</v>
      </c>
      <c r="F109">
        <v>0.996764606297731</v>
      </c>
      <c r="G109">
        <v>0.995974568300666</v>
      </c>
      <c r="H109" t="str">
        <f t="shared" si="1"/>
        <v>Q2</v>
      </c>
    </row>
    <row r="110" spans="1:8">
      <c r="A110">
        <v>608007</v>
      </c>
      <c r="B110" t="s">
        <v>3170</v>
      </c>
      <c r="C110">
        <v>303</v>
      </c>
      <c r="D110">
        <v>6.82134028376624</v>
      </c>
      <c r="E110">
        <v>2066.8661059811702</v>
      </c>
      <c r="F110">
        <v>0.976336480945036</v>
      </c>
      <c r="G110">
        <v>0.99593694744366301</v>
      </c>
      <c r="H110" t="str">
        <f t="shared" si="1"/>
        <v>Q1</v>
      </c>
    </row>
    <row r="111" spans="1:8">
      <c r="A111">
        <v>574109</v>
      </c>
      <c r="B111" t="s">
        <v>3981</v>
      </c>
      <c r="C111">
        <v>858</v>
      </c>
      <c r="D111">
        <v>2.4001935970185801</v>
      </c>
      <c r="E111">
        <v>2059.3661062419401</v>
      </c>
      <c r="F111">
        <v>0.99627553515669098</v>
      </c>
      <c r="G111">
        <v>0.99589932658666003</v>
      </c>
      <c r="H111" t="str">
        <f t="shared" si="1"/>
        <v>Q2</v>
      </c>
    </row>
    <row r="112" spans="1:8">
      <c r="A112">
        <v>697031</v>
      </c>
      <c r="B112" t="s">
        <v>4972</v>
      </c>
      <c r="C112">
        <v>223</v>
      </c>
      <c r="D112">
        <v>9.1220188727226503</v>
      </c>
      <c r="E112">
        <v>2034.2102086171501</v>
      </c>
      <c r="F112">
        <v>0.96410970241902105</v>
      </c>
      <c r="G112">
        <v>0.99586170572965604</v>
      </c>
      <c r="H112" t="str">
        <f t="shared" si="1"/>
        <v>Q1</v>
      </c>
    </row>
    <row r="113" spans="1:8">
      <c r="A113">
        <v>698276</v>
      </c>
      <c r="B113" t="s">
        <v>1621</v>
      </c>
      <c r="C113">
        <v>415</v>
      </c>
      <c r="D113">
        <v>4.8836717242936096</v>
      </c>
      <c r="E113">
        <v>2026.7237655818501</v>
      </c>
      <c r="F113">
        <v>0.98465069034272601</v>
      </c>
      <c r="G113">
        <v>0.99582408487265295</v>
      </c>
      <c r="H113" t="str">
        <f t="shared" si="1"/>
        <v>Q2</v>
      </c>
    </row>
    <row r="114" spans="1:8">
      <c r="A114">
        <v>714828</v>
      </c>
      <c r="B114" t="s">
        <v>1662</v>
      </c>
      <c r="C114">
        <v>566</v>
      </c>
      <c r="D114">
        <v>3.5802060287353599</v>
      </c>
      <c r="E114">
        <v>2026.39661226422</v>
      </c>
      <c r="F114">
        <v>0.99134720288928202</v>
      </c>
      <c r="G114">
        <v>0.99578646401564996</v>
      </c>
      <c r="H114" t="str">
        <f t="shared" si="1"/>
        <v>Q2</v>
      </c>
    </row>
    <row r="115" spans="1:8">
      <c r="A115">
        <v>469562</v>
      </c>
      <c r="B115" t="s">
        <v>4461</v>
      </c>
      <c r="C115">
        <v>329</v>
      </c>
      <c r="D115">
        <v>6.1512698603392</v>
      </c>
      <c r="E115">
        <v>2023.7677840516001</v>
      </c>
      <c r="F115">
        <v>0.97863135322222605</v>
      </c>
      <c r="G115">
        <v>0.99574884315864698</v>
      </c>
      <c r="H115" t="str">
        <f t="shared" si="1"/>
        <v>Q1</v>
      </c>
    </row>
    <row r="116" spans="1:8">
      <c r="A116">
        <v>762846</v>
      </c>
      <c r="B116" t="s">
        <v>2899</v>
      </c>
      <c r="C116">
        <v>840</v>
      </c>
      <c r="D116">
        <v>2.40369451703459</v>
      </c>
      <c r="E116">
        <v>2019.1033943090599</v>
      </c>
      <c r="F116">
        <v>0.99612505172867805</v>
      </c>
      <c r="G116">
        <v>0.99571122230164399</v>
      </c>
      <c r="H116" t="str">
        <f t="shared" si="1"/>
        <v>Q2</v>
      </c>
    </row>
    <row r="117" spans="1:8">
      <c r="A117">
        <v>714790</v>
      </c>
      <c r="B117" t="s">
        <v>3302</v>
      </c>
      <c r="C117">
        <v>411</v>
      </c>
      <c r="D117">
        <v>4.8859252759828804</v>
      </c>
      <c r="E117">
        <v>2008.11528842896</v>
      </c>
      <c r="F117">
        <v>0.98446258605770998</v>
      </c>
      <c r="G117">
        <v>0.99567360144464101</v>
      </c>
      <c r="H117" t="str">
        <f t="shared" si="1"/>
        <v>Q2</v>
      </c>
    </row>
    <row r="118" spans="1:8">
      <c r="A118">
        <v>458543</v>
      </c>
      <c r="B118" t="s">
        <v>2669</v>
      </c>
      <c r="C118">
        <v>722</v>
      </c>
      <c r="D118">
        <v>2.7763157690826201</v>
      </c>
      <c r="E118">
        <v>2004.49998527765</v>
      </c>
      <c r="F118">
        <v>0.994620217448553</v>
      </c>
      <c r="G118">
        <v>0.99563598058763803</v>
      </c>
      <c r="H118" t="str">
        <f t="shared" si="1"/>
        <v>Q2</v>
      </c>
    </row>
    <row r="119" spans="1:8">
      <c r="A119">
        <v>578487</v>
      </c>
      <c r="B119" t="s">
        <v>771</v>
      </c>
      <c r="C119">
        <v>335</v>
      </c>
      <c r="D119">
        <v>5.97499616722118</v>
      </c>
      <c r="E119">
        <v>2001.6237160190899</v>
      </c>
      <c r="F119">
        <v>0.97915804522026995</v>
      </c>
      <c r="G119">
        <v>0.99559835973063504</v>
      </c>
      <c r="H119" t="str">
        <f t="shared" si="1"/>
        <v>Q1</v>
      </c>
    </row>
    <row r="120" spans="1:8">
      <c r="A120">
        <v>689109</v>
      </c>
      <c r="B120" t="s">
        <v>64</v>
      </c>
      <c r="C120">
        <v>1208</v>
      </c>
      <c r="D120">
        <v>1.65522497745589</v>
      </c>
      <c r="E120">
        <v>1999.51177276671</v>
      </c>
      <c r="F120">
        <v>0.99789323200782498</v>
      </c>
      <c r="G120">
        <v>0.99556073887363195</v>
      </c>
      <c r="H120" t="str">
        <f t="shared" si="1"/>
        <v>Q2</v>
      </c>
    </row>
    <row r="121" spans="1:8">
      <c r="A121">
        <v>697992</v>
      </c>
      <c r="B121" t="s">
        <v>4004</v>
      </c>
      <c r="C121">
        <v>594</v>
      </c>
      <c r="D121">
        <v>3.35894823191932</v>
      </c>
      <c r="E121">
        <v>1995.21524976008</v>
      </c>
      <c r="F121">
        <v>0.99198675745833498</v>
      </c>
      <c r="G121">
        <v>0.99552311801662796</v>
      </c>
      <c r="H121" t="str">
        <f t="shared" si="1"/>
        <v>Q2</v>
      </c>
    </row>
    <row r="122" spans="1:8">
      <c r="A122">
        <v>684340</v>
      </c>
      <c r="B122" t="s">
        <v>2849</v>
      </c>
      <c r="C122">
        <v>856</v>
      </c>
      <c r="D122">
        <v>2.3295283313213901</v>
      </c>
      <c r="E122">
        <v>1994.0762516111099</v>
      </c>
      <c r="F122">
        <v>0.996237914299688</v>
      </c>
      <c r="G122">
        <v>0.99548549715962498</v>
      </c>
      <c r="H122" t="str">
        <f t="shared" si="1"/>
        <v>Q2</v>
      </c>
    </row>
    <row r="123" spans="1:8">
      <c r="A123">
        <v>744180</v>
      </c>
      <c r="B123" t="s">
        <v>3103</v>
      </c>
      <c r="C123">
        <v>408</v>
      </c>
      <c r="D123">
        <v>4.8668162917773099</v>
      </c>
      <c r="E123">
        <v>1985.6610470451401</v>
      </c>
      <c r="F123">
        <v>0.98423686091569196</v>
      </c>
      <c r="G123">
        <v>0.99544787630262199</v>
      </c>
      <c r="H123" t="str">
        <f t="shared" si="1"/>
        <v>Q2</v>
      </c>
    </row>
    <row r="124" spans="1:8">
      <c r="A124">
        <v>599502</v>
      </c>
      <c r="B124" t="s">
        <v>2548</v>
      </c>
      <c r="C124">
        <v>457</v>
      </c>
      <c r="D124">
        <v>4.3444164867637198</v>
      </c>
      <c r="E124">
        <v>1985.39833445102</v>
      </c>
      <c r="F124">
        <v>0.98698318347692005</v>
      </c>
      <c r="G124">
        <v>0.99541025544561901</v>
      </c>
      <c r="H124" t="str">
        <f t="shared" si="1"/>
        <v>Q2</v>
      </c>
    </row>
    <row r="125" spans="1:8">
      <c r="A125">
        <v>771829</v>
      </c>
      <c r="B125" t="s">
        <v>3450</v>
      </c>
      <c r="C125">
        <v>316</v>
      </c>
      <c r="D125">
        <v>6.2590484295181801</v>
      </c>
      <c r="E125">
        <v>1977.8593037277501</v>
      </c>
      <c r="F125">
        <v>0.97765321094014501</v>
      </c>
      <c r="G125">
        <v>0.99537263458861602</v>
      </c>
      <c r="H125" t="str">
        <f t="shared" si="1"/>
        <v>Q1</v>
      </c>
    </row>
    <row r="126" spans="1:8">
      <c r="A126">
        <v>632982</v>
      </c>
      <c r="B126" t="s">
        <v>2336</v>
      </c>
      <c r="C126">
        <v>1292</v>
      </c>
      <c r="D126">
        <v>1.52891975996552</v>
      </c>
      <c r="E126">
        <v>1975.36432987545</v>
      </c>
      <c r="F126">
        <v>0.998382303148866</v>
      </c>
      <c r="G126">
        <v>0.99533501373161304</v>
      </c>
      <c r="H126" t="str">
        <f t="shared" si="1"/>
        <v>Q2</v>
      </c>
    </row>
    <row r="127" spans="1:8">
      <c r="A127">
        <v>685813</v>
      </c>
      <c r="B127" t="s">
        <v>3763</v>
      </c>
      <c r="C127">
        <v>1224</v>
      </c>
      <c r="D127">
        <v>1.6012503512909799</v>
      </c>
      <c r="E127">
        <v>1959.9304299801599</v>
      </c>
      <c r="F127">
        <v>0.998118957149844</v>
      </c>
      <c r="G127">
        <v>0.99529739287461005</v>
      </c>
      <c r="H127" t="str">
        <f t="shared" si="1"/>
        <v>Q2</v>
      </c>
    </row>
    <row r="128" spans="1:8">
      <c r="A128">
        <v>572998</v>
      </c>
      <c r="B128" t="s">
        <v>563</v>
      </c>
      <c r="C128">
        <v>402</v>
      </c>
      <c r="D128">
        <v>4.8032507800789004</v>
      </c>
      <c r="E128">
        <v>1930.90681359172</v>
      </c>
      <c r="F128">
        <v>0.98378541063165403</v>
      </c>
      <c r="G128">
        <v>0.99525977201760696</v>
      </c>
      <c r="H128" t="str">
        <f t="shared" si="1"/>
        <v>Q2</v>
      </c>
    </row>
    <row r="129" spans="1:8">
      <c r="A129">
        <v>709269</v>
      </c>
      <c r="B129" t="s">
        <v>5071</v>
      </c>
      <c r="C129">
        <v>472</v>
      </c>
      <c r="D129">
        <v>4.0857189114923802</v>
      </c>
      <c r="E129">
        <v>1928.4593262244</v>
      </c>
      <c r="F129">
        <v>0.98750987547496305</v>
      </c>
      <c r="G129">
        <v>0.99522215116060297</v>
      </c>
      <c r="H129" t="str">
        <f t="shared" si="1"/>
        <v>Q2</v>
      </c>
    </row>
    <row r="130" spans="1:8">
      <c r="A130">
        <v>787237</v>
      </c>
      <c r="B130" t="s">
        <v>4654</v>
      </c>
      <c r="C130">
        <v>418</v>
      </c>
      <c r="D130">
        <v>4.6063255899670397</v>
      </c>
      <c r="E130">
        <v>1925.44409660622</v>
      </c>
      <c r="F130">
        <v>0.98480117377073895</v>
      </c>
      <c r="G130">
        <v>0.99518453030359999</v>
      </c>
      <c r="H130" t="str">
        <f t="shared" si="1"/>
        <v>Q2</v>
      </c>
    </row>
    <row r="131" spans="1:8">
      <c r="A131">
        <v>752512</v>
      </c>
      <c r="B131" t="s">
        <v>5150</v>
      </c>
      <c r="C131">
        <v>599</v>
      </c>
      <c r="D131">
        <v>3.21430061716051</v>
      </c>
      <c r="E131">
        <v>1925.3660696791501</v>
      </c>
      <c r="F131">
        <v>0.99213724088634703</v>
      </c>
      <c r="G131">
        <v>0.99514690944659701</v>
      </c>
      <c r="H131" t="str">
        <f t="shared" ref="H131:H194" si="2">IF(C131&gt;$J$2,
   IF(D131&gt;$J$3,"Q1","Q2"),
   IF(D131&gt;$J$3,"Q3","Q4"))</f>
        <v>Q2</v>
      </c>
    </row>
    <row r="132" spans="1:8">
      <c r="A132">
        <v>772829</v>
      </c>
      <c r="B132" t="s">
        <v>2613</v>
      </c>
      <c r="C132">
        <v>171</v>
      </c>
      <c r="D132">
        <v>11.0952723117774</v>
      </c>
      <c r="E132">
        <v>1897.2915653139401</v>
      </c>
      <c r="F132">
        <v>0.95041571046988405</v>
      </c>
      <c r="G132">
        <v>0.99510928858959402</v>
      </c>
      <c r="H132" t="str">
        <f t="shared" si="2"/>
        <v>Q1</v>
      </c>
    </row>
    <row r="133" spans="1:8">
      <c r="A133">
        <v>777504</v>
      </c>
      <c r="B133" t="s">
        <v>2648</v>
      </c>
      <c r="C133">
        <v>519</v>
      </c>
      <c r="D133">
        <v>3.64548186367819</v>
      </c>
      <c r="E133">
        <v>1892.0050872489801</v>
      </c>
      <c r="F133">
        <v>0.98939091832511905</v>
      </c>
      <c r="G133">
        <v>0.99507166773259104</v>
      </c>
      <c r="H133" t="str">
        <f t="shared" si="2"/>
        <v>Q2</v>
      </c>
    </row>
    <row r="134" spans="1:8">
      <c r="A134">
        <v>772774</v>
      </c>
      <c r="B134" t="s">
        <v>4326</v>
      </c>
      <c r="C134">
        <v>199</v>
      </c>
      <c r="D134">
        <v>9.4789286878839807</v>
      </c>
      <c r="E134">
        <v>1886.3068088889099</v>
      </c>
      <c r="F134">
        <v>0.95872991986757505</v>
      </c>
      <c r="G134">
        <v>0.99503404687558805</v>
      </c>
      <c r="H134" t="str">
        <f t="shared" si="2"/>
        <v>Q1</v>
      </c>
    </row>
    <row r="135" spans="1:8">
      <c r="A135">
        <v>742561</v>
      </c>
      <c r="B135" t="s">
        <v>2681</v>
      </c>
      <c r="C135">
        <v>314</v>
      </c>
      <c r="D135">
        <v>5.9829806173398197</v>
      </c>
      <c r="E135">
        <v>1878.6559138447001</v>
      </c>
      <c r="F135">
        <v>0.97738986494112301</v>
      </c>
      <c r="G135">
        <v>0.99499642601858496</v>
      </c>
      <c r="H135" t="str">
        <f t="shared" si="2"/>
        <v>Q1</v>
      </c>
    </row>
    <row r="136" spans="1:8">
      <c r="A136">
        <v>516903</v>
      </c>
      <c r="B136" t="s">
        <v>4221</v>
      </c>
      <c r="C136">
        <v>600</v>
      </c>
      <c r="D136">
        <v>3.1090027780737701</v>
      </c>
      <c r="E136">
        <v>1865.40166684426</v>
      </c>
      <c r="F136">
        <v>0.992212482600354</v>
      </c>
      <c r="G136">
        <v>0.99495880516158197</v>
      </c>
      <c r="H136" t="str">
        <f t="shared" si="2"/>
        <v>Q2</v>
      </c>
    </row>
    <row r="137" spans="1:8">
      <c r="A137">
        <v>762063</v>
      </c>
      <c r="B137" t="s">
        <v>2047</v>
      </c>
      <c r="C137">
        <v>526</v>
      </c>
      <c r="D137">
        <v>3.5222884650898099</v>
      </c>
      <c r="E137">
        <v>1852.7237326372399</v>
      </c>
      <c r="F137">
        <v>0.98995523118016604</v>
      </c>
      <c r="G137">
        <v>0.99492118430457799</v>
      </c>
      <c r="H137" t="str">
        <f t="shared" si="2"/>
        <v>Q2</v>
      </c>
    </row>
    <row r="138" spans="1:8">
      <c r="A138">
        <v>783384</v>
      </c>
      <c r="B138" t="s">
        <v>3786</v>
      </c>
      <c r="C138">
        <v>302</v>
      </c>
      <c r="D138">
        <v>6.1280389988659199</v>
      </c>
      <c r="E138">
        <v>1850.66777765751</v>
      </c>
      <c r="F138">
        <v>0.97618599751702295</v>
      </c>
      <c r="G138">
        <v>0.994883563447575</v>
      </c>
      <c r="H138" t="str">
        <f t="shared" si="2"/>
        <v>Q1</v>
      </c>
    </row>
    <row r="139" spans="1:8">
      <c r="A139">
        <v>673901</v>
      </c>
      <c r="B139" t="s">
        <v>2270</v>
      </c>
      <c r="C139">
        <v>640</v>
      </c>
      <c r="D139">
        <v>2.8859877603827</v>
      </c>
      <c r="E139">
        <v>1847.0321666449299</v>
      </c>
      <c r="F139">
        <v>0.99330348745344399</v>
      </c>
      <c r="G139">
        <v>0.99484594259057202</v>
      </c>
      <c r="H139" t="str">
        <f t="shared" si="2"/>
        <v>Q2</v>
      </c>
    </row>
    <row r="140" spans="1:8">
      <c r="A140">
        <v>794575</v>
      </c>
      <c r="B140" t="s">
        <v>4266</v>
      </c>
      <c r="C140">
        <v>585</v>
      </c>
      <c r="D140">
        <v>3.15366358297248</v>
      </c>
      <c r="E140">
        <v>1844.8931960389</v>
      </c>
      <c r="F140">
        <v>0.99168579060230999</v>
      </c>
      <c r="G140">
        <v>0.99480832173356903</v>
      </c>
      <c r="H140" t="str">
        <f t="shared" si="2"/>
        <v>Q2</v>
      </c>
    </row>
    <row r="141" spans="1:8">
      <c r="A141">
        <v>708138</v>
      </c>
      <c r="B141" t="s">
        <v>3438</v>
      </c>
      <c r="C141">
        <v>287</v>
      </c>
      <c r="D141">
        <v>6.4108840193119203</v>
      </c>
      <c r="E141">
        <v>1839.9237135425201</v>
      </c>
      <c r="F141">
        <v>0.974192092095858</v>
      </c>
      <c r="G141">
        <v>0.99477070087656605</v>
      </c>
      <c r="H141" t="str">
        <f t="shared" si="2"/>
        <v>Q1</v>
      </c>
    </row>
    <row r="142" spans="1:8">
      <c r="A142">
        <v>610776</v>
      </c>
      <c r="B142" t="s">
        <v>92</v>
      </c>
      <c r="C142">
        <v>2281</v>
      </c>
      <c r="D142">
        <v>0.80186507491299297</v>
      </c>
      <c r="E142">
        <v>1829.0542358765399</v>
      </c>
      <c r="F142">
        <v>0.99969903314397501</v>
      </c>
      <c r="G142">
        <v>0.99473308001956295</v>
      </c>
      <c r="H142" t="str">
        <f t="shared" si="2"/>
        <v>Q2</v>
      </c>
    </row>
    <row r="143" spans="1:8">
      <c r="A143">
        <v>754323</v>
      </c>
      <c r="B143" t="s">
        <v>3330</v>
      </c>
      <c r="C143">
        <v>416</v>
      </c>
      <c r="D143">
        <v>4.37277548816592</v>
      </c>
      <c r="E143">
        <v>1819.0746030770199</v>
      </c>
      <c r="F143">
        <v>0.98472593205673198</v>
      </c>
      <c r="G143">
        <v>0.99469545916255997</v>
      </c>
      <c r="H143" t="str">
        <f t="shared" si="2"/>
        <v>Q2</v>
      </c>
    </row>
    <row r="144" spans="1:8">
      <c r="A144">
        <v>681179</v>
      </c>
      <c r="B144" t="s">
        <v>2562</v>
      </c>
      <c r="C144">
        <v>381</v>
      </c>
      <c r="D144">
        <v>4.7403132679855098</v>
      </c>
      <c r="E144">
        <v>1806.0593551024799</v>
      </c>
      <c r="F144">
        <v>0.98261916406455696</v>
      </c>
      <c r="G144">
        <v>0.99465783830555698</v>
      </c>
      <c r="H144" t="str">
        <f t="shared" si="2"/>
        <v>Q2</v>
      </c>
    </row>
    <row r="145" spans="1:8">
      <c r="A145">
        <v>733935</v>
      </c>
      <c r="B145" t="s">
        <v>3926</v>
      </c>
      <c r="C145">
        <v>616</v>
      </c>
      <c r="D145">
        <v>2.91839367339642</v>
      </c>
      <c r="E145">
        <v>1797.73050281219</v>
      </c>
      <c r="F145">
        <v>0.99262631202738805</v>
      </c>
      <c r="G145">
        <v>0.994620217448553</v>
      </c>
      <c r="H145" t="str">
        <f t="shared" si="2"/>
        <v>Q2</v>
      </c>
    </row>
    <row r="146" spans="1:8">
      <c r="A146">
        <v>652924</v>
      </c>
      <c r="B146" t="s">
        <v>125</v>
      </c>
      <c r="C146">
        <v>456</v>
      </c>
      <c r="D146">
        <v>3.93556720401536</v>
      </c>
      <c r="E146">
        <v>1794.6186450310099</v>
      </c>
      <c r="F146">
        <v>0.98690794176291297</v>
      </c>
      <c r="G146">
        <v>0.99458259659155002</v>
      </c>
      <c r="H146" t="str">
        <f t="shared" si="2"/>
        <v>Q2</v>
      </c>
    </row>
    <row r="147" spans="1:8">
      <c r="A147">
        <v>619884</v>
      </c>
      <c r="B147" t="s">
        <v>4952</v>
      </c>
      <c r="C147">
        <v>488</v>
      </c>
      <c r="D147">
        <v>3.67299945004949</v>
      </c>
      <c r="E147">
        <v>1792.4237316241499</v>
      </c>
      <c r="F147">
        <v>0.98814943004401601</v>
      </c>
      <c r="G147">
        <v>0.99454497573454703</v>
      </c>
      <c r="H147" t="str">
        <f t="shared" si="2"/>
        <v>Q2</v>
      </c>
    </row>
    <row r="148" spans="1:8">
      <c r="A148">
        <v>714807</v>
      </c>
      <c r="B148" t="s">
        <v>3245</v>
      </c>
      <c r="C148">
        <v>557</v>
      </c>
      <c r="D148">
        <v>3.21709210675083</v>
      </c>
      <c r="E148">
        <v>1791.9203034602101</v>
      </c>
      <c r="F148">
        <v>0.99104623603325703</v>
      </c>
      <c r="G148">
        <v>0.99450735487754405</v>
      </c>
      <c r="H148" t="str">
        <f t="shared" si="2"/>
        <v>Q2</v>
      </c>
    </row>
    <row r="149" spans="1:8">
      <c r="A149">
        <v>599719</v>
      </c>
      <c r="B149" t="s">
        <v>2155</v>
      </c>
      <c r="C149">
        <v>711</v>
      </c>
      <c r="D149">
        <v>2.5016185864557299</v>
      </c>
      <c r="E149">
        <v>1778.6508149700201</v>
      </c>
      <c r="F149">
        <v>0.99446973402054095</v>
      </c>
      <c r="G149">
        <v>0.99446973402054095</v>
      </c>
      <c r="H149" t="str">
        <f t="shared" si="2"/>
        <v>Q2</v>
      </c>
    </row>
    <row r="150" spans="1:8">
      <c r="A150">
        <v>763270</v>
      </c>
      <c r="B150" t="s">
        <v>2300</v>
      </c>
      <c r="C150">
        <v>637</v>
      </c>
      <c r="D150">
        <v>2.7866375746623602</v>
      </c>
      <c r="E150">
        <v>1775.08813505992</v>
      </c>
      <c r="F150">
        <v>0.99315300402543205</v>
      </c>
      <c r="G150">
        <v>0.99443211316353797</v>
      </c>
      <c r="H150" t="str">
        <f t="shared" si="2"/>
        <v>Q2</v>
      </c>
    </row>
    <row r="151" spans="1:8">
      <c r="A151">
        <v>787880</v>
      </c>
      <c r="B151" t="s">
        <v>2304</v>
      </c>
      <c r="C151">
        <v>401</v>
      </c>
      <c r="D151">
        <v>4.4222791138061002</v>
      </c>
      <c r="E151">
        <v>1773.33392463624</v>
      </c>
      <c r="F151">
        <v>0.98363492720364198</v>
      </c>
      <c r="G151">
        <v>0.99439449230653498</v>
      </c>
      <c r="H151" t="str">
        <f t="shared" si="2"/>
        <v>Q2</v>
      </c>
    </row>
    <row r="152" spans="1:8">
      <c r="A152">
        <v>688105</v>
      </c>
      <c r="B152" t="s">
        <v>4494</v>
      </c>
      <c r="C152">
        <v>550</v>
      </c>
      <c r="D152">
        <v>3.20998761142519</v>
      </c>
      <c r="E152">
        <v>1765.49318628386</v>
      </c>
      <c r="F152">
        <v>0.99074526917723205</v>
      </c>
      <c r="G152">
        <v>0.994356871449532</v>
      </c>
      <c r="H152" t="str">
        <f t="shared" si="2"/>
        <v>Q2</v>
      </c>
    </row>
    <row r="153" spans="1:8">
      <c r="A153">
        <v>652731</v>
      </c>
      <c r="B153" t="s">
        <v>1773</v>
      </c>
      <c r="C153">
        <v>325</v>
      </c>
      <c r="D153">
        <v>5.4286937404137401</v>
      </c>
      <c r="E153">
        <v>1764.32546563447</v>
      </c>
      <c r="F153">
        <v>0.97840562808020803</v>
      </c>
      <c r="G153">
        <v>0.99431925059252801</v>
      </c>
      <c r="H153" t="str">
        <f t="shared" si="2"/>
        <v>Q1</v>
      </c>
    </row>
    <row r="154" spans="1:8">
      <c r="A154">
        <v>743630</v>
      </c>
      <c r="B154" t="s">
        <v>3244</v>
      </c>
      <c r="C154">
        <v>537</v>
      </c>
      <c r="D154">
        <v>3.2694662180581799</v>
      </c>
      <c r="E154">
        <v>1755.7033590972401</v>
      </c>
      <c r="F154">
        <v>0.99040668146420396</v>
      </c>
      <c r="G154">
        <v>0.99428162973552503</v>
      </c>
      <c r="H154" t="str">
        <f t="shared" si="2"/>
        <v>Q2</v>
      </c>
    </row>
    <row r="155" spans="1:8">
      <c r="A155">
        <v>720504</v>
      </c>
      <c r="B155" t="s">
        <v>4449</v>
      </c>
      <c r="C155">
        <v>539</v>
      </c>
      <c r="D155">
        <v>3.25238823420705</v>
      </c>
      <c r="E155">
        <v>1753.0372582376001</v>
      </c>
      <c r="F155">
        <v>0.99044430232120695</v>
      </c>
      <c r="G155">
        <v>0.99424400887852205</v>
      </c>
      <c r="H155" t="str">
        <f t="shared" si="2"/>
        <v>Q2</v>
      </c>
    </row>
    <row r="156" spans="1:8">
      <c r="A156">
        <v>649397</v>
      </c>
      <c r="B156" t="s">
        <v>370</v>
      </c>
      <c r="C156">
        <v>437</v>
      </c>
      <c r="D156">
        <v>4.0085211227854698</v>
      </c>
      <c r="E156">
        <v>1751.7237306572499</v>
      </c>
      <c r="F156">
        <v>0.98596742033783502</v>
      </c>
      <c r="G156">
        <v>0.99420638802151895</v>
      </c>
      <c r="H156" t="str">
        <f t="shared" si="2"/>
        <v>Q2</v>
      </c>
    </row>
    <row r="157" spans="1:8">
      <c r="A157">
        <v>692930</v>
      </c>
      <c r="B157" t="s">
        <v>4846</v>
      </c>
      <c r="C157">
        <v>1056</v>
      </c>
      <c r="D157">
        <v>1.64449465993323</v>
      </c>
      <c r="E157">
        <v>1736.5863608894899</v>
      </c>
      <c r="F157">
        <v>0.99744178172378795</v>
      </c>
      <c r="G157">
        <v>0.99416876716451597</v>
      </c>
      <c r="H157" t="str">
        <f t="shared" si="2"/>
        <v>Q2</v>
      </c>
    </row>
    <row r="158" spans="1:8">
      <c r="A158">
        <v>160442</v>
      </c>
      <c r="B158" t="s">
        <v>151</v>
      </c>
      <c r="C158">
        <v>1342</v>
      </c>
      <c r="D158">
        <v>1.2872754945593201</v>
      </c>
      <c r="E158">
        <v>1727.52371369861</v>
      </c>
      <c r="F158">
        <v>0.99849516571987496</v>
      </c>
      <c r="G158">
        <v>0.99413114630751298</v>
      </c>
      <c r="H158" t="str">
        <f t="shared" si="2"/>
        <v>Q2</v>
      </c>
    </row>
    <row r="159" spans="1:8">
      <c r="A159">
        <v>673677</v>
      </c>
      <c r="B159" t="s">
        <v>82</v>
      </c>
      <c r="C159">
        <v>786</v>
      </c>
      <c r="D159">
        <v>2.1794690920570798</v>
      </c>
      <c r="E159">
        <v>1713.06270635687</v>
      </c>
      <c r="F159">
        <v>0.99541025544561901</v>
      </c>
      <c r="G159">
        <v>0.99409352545051</v>
      </c>
      <c r="H159" t="str">
        <f t="shared" si="2"/>
        <v>Q2</v>
      </c>
    </row>
    <row r="160" spans="1:8">
      <c r="A160">
        <v>719523</v>
      </c>
      <c r="B160" t="s">
        <v>476</v>
      </c>
      <c r="C160">
        <v>421</v>
      </c>
      <c r="D160">
        <v>4.0658561209760897</v>
      </c>
      <c r="E160">
        <v>1711.7254269309301</v>
      </c>
      <c r="F160">
        <v>0.98510214062676305</v>
      </c>
      <c r="G160">
        <v>0.99405590459350701</v>
      </c>
      <c r="H160" t="str">
        <f t="shared" si="2"/>
        <v>Q2</v>
      </c>
    </row>
    <row r="161" spans="1:8">
      <c r="A161">
        <v>697091</v>
      </c>
      <c r="B161" t="s">
        <v>5108</v>
      </c>
      <c r="C161">
        <v>590</v>
      </c>
      <c r="D161">
        <v>2.8999769708962502</v>
      </c>
      <c r="E161">
        <v>1710.98641282879</v>
      </c>
      <c r="F161">
        <v>0.99183627403032204</v>
      </c>
      <c r="G161">
        <v>0.99401828373650303</v>
      </c>
      <c r="H161" t="str">
        <f t="shared" si="2"/>
        <v>Q2</v>
      </c>
    </row>
    <row r="162" spans="1:8">
      <c r="A162">
        <v>662948</v>
      </c>
      <c r="B162" t="s">
        <v>3596</v>
      </c>
      <c r="C162">
        <v>451</v>
      </c>
      <c r="D162">
        <v>3.7675147533350701</v>
      </c>
      <c r="E162">
        <v>1699.1491537541201</v>
      </c>
      <c r="F162">
        <v>0.98671983747789804</v>
      </c>
      <c r="G162">
        <v>0.99398066287950004</v>
      </c>
      <c r="H162" t="str">
        <f t="shared" si="2"/>
        <v>Q2</v>
      </c>
    </row>
    <row r="163" spans="1:8">
      <c r="A163">
        <v>733419</v>
      </c>
      <c r="B163" t="s">
        <v>3726</v>
      </c>
      <c r="C163">
        <v>528</v>
      </c>
      <c r="D163">
        <v>3.1698798854256802</v>
      </c>
      <c r="E163">
        <v>1673.6965795047599</v>
      </c>
      <c r="F163">
        <v>0.99003047289417301</v>
      </c>
      <c r="G163">
        <v>0.99394304202249695</v>
      </c>
      <c r="H163" t="str">
        <f t="shared" si="2"/>
        <v>Q2</v>
      </c>
    </row>
    <row r="164" spans="1:8">
      <c r="A164">
        <v>504154</v>
      </c>
      <c r="B164" t="s">
        <v>2626</v>
      </c>
      <c r="C164">
        <v>611</v>
      </c>
      <c r="D164">
        <v>2.7103775197643101</v>
      </c>
      <c r="E164">
        <v>1656.0406645759899</v>
      </c>
      <c r="F164">
        <v>0.99255107031338197</v>
      </c>
      <c r="G164">
        <v>0.99390542116549396</v>
      </c>
      <c r="H164" t="str">
        <f t="shared" si="2"/>
        <v>Q2</v>
      </c>
    </row>
    <row r="165" spans="1:8">
      <c r="A165">
        <v>719655</v>
      </c>
      <c r="B165" t="s">
        <v>1976</v>
      </c>
      <c r="C165">
        <v>802</v>
      </c>
      <c r="D165">
        <v>2.06281533081577</v>
      </c>
      <c r="E165">
        <v>1654.3778953142501</v>
      </c>
      <c r="F165">
        <v>0.99559835973063504</v>
      </c>
      <c r="G165">
        <v>0.99386780030849098</v>
      </c>
      <c r="H165" t="str">
        <f t="shared" si="2"/>
        <v>Q2</v>
      </c>
    </row>
    <row r="166" spans="1:8">
      <c r="A166">
        <v>690936</v>
      </c>
      <c r="B166" t="s">
        <v>2189</v>
      </c>
      <c r="C166">
        <v>359</v>
      </c>
      <c r="D166">
        <v>4.6062745584543396</v>
      </c>
      <c r="E166">
        <v>1653.6525664851099</v>
      </c>
      <c r="F166">
        <v>0.98115195064143601</v>
      </c>
      <c r="G166">
        <v>0.99383017945148799</v>
      </c>
      <c r="H166" t="str">
        <f t="shared" si="2"/>
        <v>Q2</v>
      </c>
    </row>
    <row r="167" spans="1:8">
      <c r="A167">
        <v>688558</v>
      </c>
      <c r="B167" t="s">
        <v>727</v>
      </c>
      <c r="C167">
        <v>1037</v>
      </c>
      <c r="D167">
        <v>1.5946422428074101</v>
      </c>
      <c r="E167">
        <v>1653.6440057912801</v>
      </c>
      <c r="F167">
        <v>0.99729129829577501</v>
      </c>
      <c r="G167">
        <v>0.99379255859448501</v>
      </c>
      <c r="H167" t="str">
        <f t="shared" si="2"/>
        <v>Q2</v>
      </c>
    </row>
    <row r="168" spans="1:8">
      <c r="A168">
        <v>735121</v>
      </c>
      <c r="B168" t="s">
        <v>2617</v>
      </c>
      <c r="C168">
        <v>344</v>
      </c>
      <c r="D168">
        <v>4.8056021560156799</v>
      </c>
      <c r="E168">
        <v>1653.1271416693901</v>
      </c>
      <c r="F168">
        <v>0.98002332493134203</v>
      </c>
      <c r="G168">
        <v>0.99375493773748202</v>
      </c>
      <c r="H168" t="str">
        <f t="shared" si="2"/>
        <v>Q2</v>
      </c>
    </row>
    <row r="169" spans="1:8">
      <c r="A169">
        <v>724905</v>
      </c>
      <c r="B169" t="s">
        <v>1917</v>
      </c>
      <c r="C169">
        <v>339</v>
      </c>
      <c r="D169">
        <v>4.8616869990496898</v>
      </c>
      <c r="E169">
        <v>1648.1118926778399</v>
      </c>
      <c r="F169">
        <v>0.97942139121929195</v>
      </c>
      <c r="G169">
        <v>0.99371731688047804</v>
      </c>
      <c r="H169" t="str">
        <f t="shared" si="2"/>
        <v>Q2</v>
      </c>
    </row>
    <row r="170" spans="1:8">
      <c r="A170">
        <v>711053</v>
      </c>
      <c r="B170" t="s">
        <v>4841</v>
      </c>
      <c r="C170">
        <v>1266</v>
      </c>
      <c r="D170">
        <v>1.29329262185094</v>
      </c>
      <c r="E170">
        <v>1637.3084592632899</v>
      </c>
      <c r="F170">
        <v>0.99830706143485903</v>
      </c>
      <c r="G170">
        <v>0.99367969602347495</v>
      </c>
      <c r="H170" t="str">
        <f t="shared" si="2"/>
        <v>Q2</v>
      </c>
    </row>
    <row r="171" spans="1:8">
      <c r="A171">
        <v>681180</v>
      </c>
      <c r="B171" t="s">
        <v>3630</v>
      </c>
      <c r="C171">
        <v>1332</v>
      </c>
      <c r="D171">
        <v>1.22722803703132</v>
      </c>
      <c r="E171">
        <v>1634.66774532571</v>
      </c>
      <c r="F171">
        <v>0.99845754486287197</v>
      </c>
      <c r="G171">
        <v>0.99364207516647196</v>
      </c>
      <c r="H171" t="str">
        <f t="shared" si="2"/>
        <v>Q2</v>
      </c>
    </row>
    <row r="172" spans="1:8">
      <c r="A172">
        <v>746069</v>
      </c>
      <c r="B172" t="s">
        <v>3301</v>
      </c>
      <c r="C172">
        <v>250</v>
      </c>
      <c r="D172">
        <v>6.5326372273266298</v>
      </c>
      <c r="E172">
        <v>1633.1593068316599</v>
      </c>
      <c r="F172">
        <v>0.96903803468643002</v>
      </c>
      <c r="G172">
        <v>0.99360445430946898</v>
      </c>
      <c r="H172" t="str">
        <f t="shared" si="2"/>
        <v>Q1</v>
      </c>
    </row>
    <row r="173" spans="1:8">
      <c r="A173">
        <v>771557</v>
      </c>
      <c r="B173" t="s">
        <v>2644</v>
      </c>
      <c r="C173">
        <v>368</v>
      </c>
      <c r="D173">
        <v>4.4316093164050701</v>
      </c>
      <c r="E173">
        <v>1630.8322284370699</v>
      </c>
      <c r="F173">
        <v>0.981716263496482</v>
      </c>
      <c r="G173">
        <v>0.99356683345246599</v>
      </c>
      <c r="H173" t="str">
        <f t="shared" si="2"/>
        <v>Q2</v>
      </c>
    </row>
    <row r="174" spans="1:8">
      <c r="A174">
        <v>748269</v>
      </c>
      <c r="B174" t="s">
        <v>2651</v>
      </c>
      <c r="C174">
        <v>682</v>
      </c>
      <c r="D174">
        <v>2.3772056323757398</v>
      </c>
      <c r="E174">
        <v>1621.25424128026</v>
      </c>
      <c r="F174">
        <v>0.99405590459350701</v>
      </c>
      <c r="G174">
        <v>0.99352921259546301</v>
      </c>
      <c r="H174" t="str">
        <f t="shared" si="2"/>
        <v>Q2</v>
      </c>
    </row>
    <row r="175" spans="1:8">
      <c r="A175">
        <v>736573</v>
      </c>
      <c r="B175" t="s">
        <v>1299</v>
      </c>
      <c r="C175">
        <v>688</v>
      </c>
      <c r="D175">
        <v>2.3526532277681498</v>
      </c>
      <c r="E175">
        <v>1618.6254207044799</v>
      </c>
      <c r="F175">
        <v>0.99413114630751298</v>
      </c>
      <c r="G175">
        <v>0.99349159173846002</v>
      </c>
      <c r="H175" t="str">
        <f t="shared" si="2"/>
        <v>Q2</v>
      </c>
    </row>
    <row r="176" spans="1:8">
      <c r="A176">
        <v>681181</v>
      </c>
      <c r="B176" t="s">
        <v>2215</v>
      </c>
      <c r="C176">
        <v>765</v>
      </c>
      <c r="D176">
        <v>2.1021468903004998</v>
      </c>
      <c r="E176">
        <v>1608.1423710798799</v>
      </c>
      <c r="F176">
        <v>0.99518453030359999</v>
      </c>
      <c r="G176">
        <v>0.99345397088145704</v>
      </c>
      <c r="H176" t="str">
        <f t="shared" si="2"/>
        <v>Q2</v>
      </c>
    </row>
    <row r="177" spans="1:8">
      <c r="A177">
        <v>799190</v>
      </c>
      <c r="B177" t="s">
        <v>78</v>
      </c>
      <c r="C177">
        <v>738</v>
      </c>
      <c r="D177">
        <v>2.1761494125857901</v>
      </c>
      <c r="E177">
        <v>1605.99826648831</v>
      </c>
      <c r="F177">
        <v>0.99484594259057202</v>
      </c>
      <c r="G177">
        <v>0.99341635002445405</v>
      </c>
      <c r="H177" t="str">
        <f t="shared" si="2"/>
        <v>Q2</v>
      </c>
    </row>
    <row r="178" spans="1:8">
      <c r="A178">
        <v>724906</v>
      </c>
      <c r="B178" t="s">
        <v>689</v>
      </c>
      <c r="C178">
        <v>269</v>
      </c>
      <c r="D178">
        <v>5.9582319629956801</v>
      </c>
      <c r="E178">
        <v>1602.7643980458399</v>
      </c>
      <c r="F178">
        <v>0.97152101124863599</v>
      </c>
      <c r="G178">
        <v>0.99337872916744996</v>
      </c>
      <c r="H178" t="str">
        <f t="shared" si="2"/>
        <v>Q1</v>
      </c>
    </row>
    <row r="179" spans="1:8">
      <c r="A179">
        <v>745475</v>
      </c>
      <c r="B179" t="s">
        <v>4570</v>
      </c>
      <c r="C179">
        <v>491</v>
      </c>
      <c r="D179">
        <v>3.2503157964093901</v>
      </c>
      <c r="E179">
        <v>1595.9050560370099</v>
      </c>
      <c r="F179">
        <v>0.98826229261502596</v>
      </c>
      <c r="G179">
        <v>0.99334110831044697</v>
      </c>
      <c r="H179" t="str">
        <f t="shared" si="2"/>
        <v>Q2</v>
      </c>
    </row>
    <row r="180" spans="1:8">
      <c r="A180">
        <v>689389</v>
      </c>
      <c r="B180" t="s">
        <v>1296</v>
      </c>
      <c r="C180">
        <v>672</v>
      </c>
      <c r="D180">
        <v>2.35827784573693</v>
      </c>
      <c r="E180">
        <v>1584.7627123352099</v>
      </c>
      <c r="F180">
        <v>0.99386780030849098</v>
      </c>
      <c r="G180">
        <v>0.99330348745344399</v>
      </c>
      <c r="H180" t="str">
        <f t="shared" si="2"/>
        <v>Q2</v>
      </c>
    </row>
    <row r="181" spans="1:8">
      <c r="A181">
        <v>744786</v>
      </c>
      <c r="B181" t="s">
        <v>3428</v>
      </c>
      <c r="C181">
        <v>550</v>
      </c>
      <c r="D181">
        <v>2.8610631142827598</v>
      </c>
      <c r="E181">
        <v>1573.5847128555199</v>
      </c>
      <c r="F181">
        <v>0.99074526917723205</v>
      </c>
      <c r="G181">
        <v>0.993265866596441</v>
      </c>
      <c r="H181" t="str">
        <f t="shared" si="2"/>
        <v>Q2</v>
      </c>
    </row>
    <row r="182" spans="1:8">
      <c r="A182">
        <v>714730</v>
      </c>
      <c r="B182" t="s">
        <v>1317</v>
      </c>
      <c r="C182">
        <v>401</v>
      </c>
      <c r="D182">
        <v>3.9126590393632301</v>
      </c>
      <c r="E182">
        <v>1568.9762747846501</v>
      </c>
      <c r="F182">
        <v>0.98363492720364198</v>
      </c>
      <c r="G182">
        <v>0.99322824573943802</v>
      </c>
      <c r="H182" t="str">
        <f t="shared" si="2"/>
        <v>Q2</v>
      </c>
    </row>
    <row r="183" spans="1:8">
      <c r="A183">
        <v>783244</v>
      </c>
      <c r="B183" t="s">
        <v>4255</v>
      </c>
      <c r="C183">
        <v>253</v>
      </c>
      <c r="D183">
        <v>6.1693239824574002</v>
      </c>
      <c r="E183">
        <v>1560.83896756172</v>
      </c>
      <c r="F183">
        <v>0.96945186411346496</v>
      </c>
      <c r="G183">
        <v>0.99319062488243504</v>
      </c>
      <c r="H183" t="str">
        <f t="shared" si="2"/>
        <v>Q1</v>
      </c>
    </row>
    <row r="184" spans="1:8">
      <c r="A184">
        <v>658298</v>
      </c>
      <c r="B184" t="s">
        <v>4493</v>
      </c>
      <c r="C184">
        <v>423</v>
      </c>
      <c r="D184">
        <v>3.687843091645</v>
      </c>
      <c r="E184">
        <v>1559.95762776583</v>
      </c>
      <c r="F184">
        <v>0.98525262405477598</v>
      </c>
      <c r="G184">
        <v>0.99315300402543205</v>
      </c>
      <c r="H184" t="str">
        <f t="shared" si="2"/>
        <v>Q2</v>
      </c>
    </row>
    <row r="185" spans="1:8">
      <c r="A185">
        <v>779324</v>
      </c>
      <c r="B185" t="s">
        <v>5148</v>
      </c>
      <c r="C185">
        <v>477</v>
      </c>
      <c r="D185">
        <v>3.25507580945014</v>
      </c>
      <c r="E185">
        <v>1552.6711611077201</v>
      </c>
      <c r="F185">
        <v>0.98769797975997897</v>
      </c>
      <c r="G185">
        <v>0.99311538316842896</v>
      </c>
      <c r="H185" t="str">
        <f t="shared" si="2"/>
        <v>Q2</v>
      </c>
    </row>
    <row r="186" spans="1:8">
      <c r="A186">
        <v>721298</v>
      </c>
      <c r="B186" t="s">
        <v>4225</v>
      </c>
      <c r="C186">
        <v>575</v>
      </c>
      <c r="D186">
        <v>2.6922033321436301</v>
      </c>
      <c r="E186">
        <v>1548.01691598259</v>
      </c>
      <c r="F186">
        <v>0.99157292803130104</v>
      </c>
      <c r="G186">
        <v>0.99307776231142497</v>
      </c>
      <c r="H186" t="str">
        <f t="shared" si="2"/>
        <v>Q2</v>
      </c>
    </row>
    <row r="187" spans="1:8">
      <c r="A187">
        <v>539723</v>
      </c>
      <c r="B187" t="s">
        <v>2271</v>
      </c>
      <c r="C187">
        <v>665</v>
      </c>
      <c r="D187">
        <v>2.32609651678179</v>
      </c>
      <c r="E187">
        <v>1546.8541836598899</v>
      </c>
      <c r="F187">
        <v>0.99371731688047804</v>
      </c>
      <c r="G187">
        <v>0.99304014145442199</v>
      </c>
      <c r="H187" t="str">
        <f t="shared" si="2"/>
        <v>Q2</v>
      </c>
    </row>
    <row r="188" spans="1:8">
      <c r="A188">
        <v>705732</v>
      </c>
      <c r="B188" t="s">
        <v>1441</v>
      </c>
      <c r="C188">
        <v>568</v>
      </c>
      <c r="D188">
        <v>2.7213087715339701</v>
      </c>
      <c r="E188">
        <v>1545.7033822313001</v>
      </c>
      <c r="F188">
        <v>0.99142244460328799</v>
      </c>
      <c r="G188">
        <v>0.993002520597419</v>
      </c>
      <c r="H188" t="str">
        <f t="shared" si="2"/>
        <v>Q2</v>
      </c>
    </row>
    <row r="189" spans="1:8">
      <c r="A189">
        <v>656719</v>
      </c>
      <c r="B189" t="s">
        <v>4342</v>
      </c>
      <c r="C189">
        <v>333</v>
      </c>
      <c r="D189">
        <v>4.6411513914451996</v>
      </c>
      <c r="E189">
        <v>1545.5034133512499</v>
      </c>
      <c r="F189">
        <v>0.97893232007825104</v>
      </c>
      <c r="G189">
        <v>0.99296489974041602</v>
      </c>
      <c r="H189" t="str">
        <f t="shared" si="2"/>
        <v>Q2</v>
      </c>
    </row>
    <row r="190" spans="1:8">
      <c r="A190">
        <v>591334</v>
      </c>
      <c r="B190" t="s">
        <v>1761</v>
      </c>
      <c r="C190">
        <v>965</v>
      </c>
      <c r="D190">
        <v>1.5958671582081001</v>
      </c>
      <c r="E190">
        <v>1540.01180767082</v>
      </c>
      <c r="F190">
        <v>0.99702795229675301</v>
      </c>
      <c r="G190">
        <v>0.99292727888341303</v>
      </c>
      <c r="H190" t="str">
        <f t="shared" si="2"/>
        <v>Q2</v>
      </c>
    </row>
    <row r="191" spans="1:8">
      <c r="A191">
        <v>790368</v>
      </c>
      <c r="B191" t="s">
        <v>3634</v>
      </c>
      <c r="C191">
        <v>480</v>
      </c>
      <c r="D191">
        <v>3.2053212817603098</v>
      </c>
      <c r="E191">
        <v>1538.55421524495</v>
      </c>
      <c r="F191">
        <v>0.98777322147398505</v>
      </c>
      <c r="G191">
        <v>0.99288965802641005</v>
      </c>
      <c r="H191" t="str">
        <f t="shared" si="2"/>
        <v>Q2</v>
      </c>
    </row>
    <row r="192" spans="1:8">
      <c r="A192">
        <v>690933</v>
      </c>
      <c r="B192" t="s">
        <v>4555</v>
      </c>
      <c r="C192">
        <v>497</v>
      </c>
      <c r="D192">
        <v>3.0727721570842901</v>
      </c>
      <c r="E192">
        <v>1527.1677620708899</v>
      </c>
      <c r="F192">
        <v>0.98860088032805404</v>
      </c>
      <c r="G192">
        <v>0.99285203716940695</v>
      </c>
      <c r="H192" t="str">
        <f t="shared" si="2"/>
        <v>Q2</v>
      </c>
    </row>
    <row r="193" spans="1:8">
      <c r="A193">
        <v>687034</v>
      </c>
      <c r="B193" t="s">
        <v>1301</v>
      </c>
      <c r="C193">
        <v>628</v>
      </c>
      <c r="D193">
        <v>2.4314449986615001</v>
      </c>
      <c r="E193">
        <v>1526.9474591594201</v>
      </c>
      <c r="F193">
        <v>0.99296489974041602</v>
      </c>
      <c r="G193">
        <v>0.99281441631240397</v>
      </c>
      <c r="H193" t="str">
        <f t="shared" si="2"/>
        <v>Q2</v>
      </c>
    </row>
    <row r="194" spans="1:8">
      <c r="A194">
        <v>507910</v>
      </c>
      <c r="B194" t="s">
        <v>2196</v>
      </c>
      <c r="C194">
        <v>666</v>
      </c>
      <c r="D194">
        <v>2.29222782119807</v>
      </c>
      <c r="E194">
        <v>1526.6237289179101</v>
      </c>
      <c r="F194">
        <v>0.99379255859448501</v>
      </c>
      <c r="G194">
        <v>0.99277679545539999</v>
      </c>
      <c r="H194" t="str">
        <f t="shared" si="2"/>
        <v>Q2</v>
      </c>
    </row>
    <row r="195" spans="1:8">
      <c r="A195">
        <v>677930</v>
      </c>
      <c r="B195" t="s">
        <v>3970</v>
      </c>
      <c r="C195">
        <v>1056</v>
      </c>
      <c r="D195">
        <v>1.4451431153716101</v>
      </c>
      <c r="E195">
        <v>1526.07112983242</v>
      </c>
      <c r="F195">
        <v>0.99744178172378795</v>
      </c>
      <c r="G195">
        <v>0.992739174598397</v>
      </c>
      <c r="H195" t="str">
        <f t="shared" ref="H195:H258" si="3">IF(C195&gt;$J$2,
   IF(D195&gt;$J$3,"Q1","Q2"),
   IF(D195&gt;$J$3,"Q3","Q4"))</f>
        <v>Q2</v>
      </c>
    </row>
    <row r="196" spans="1:8">
      <c r="A196">
        <v>484205</v>
      </c>
      <c r="B196" t="s">
        <v>2250</v>
      </c>
      <c r="C196">
        <v>352</v>
      </c>
      <c r="D196">
        <v>4.3169924735345599</v>
      </c>
      <c r="E196">
        <v>1519.58135068417</v>
      </c>
      <c r="F196">
        <v>0.98058763778638902</v>
      </c>
      <c r="G196">
        <v>0.99270155374139402</v>
      </c>
      <c r="H196" t="str">
        <f t="shared" si="3"/>
        <v>Q2</v>
      </c>
    </row>
    <row r="197" spans="1:8">
      <c r="A197">
        <v>300024</v>
      </c>
      <c r="B197" t="s">
        <v>4740</v>
      </c>
      <c r="C197">
        <v>313</v>
      </c>
      <c r="D197">
        <v>4.8453999897494899</v>
      </c>
      <c r="E197">
        <v>1516.6101967915899</v>
      </c>
      <c r="F197">
        <v>0.97727700237011395</v>
      </c>
      <c r="G197">
        <v>0.99266393288439103</v>
      </c>
      <c r="H197" t="str">
        <f t="shared" si="3"/>
        <v>Q2</v>
      </c>
    </row>
    <row r="198" spans="1:8">
      <c r="A198">
        <v>755362</v>
      </c>
      <c r="B198" t="s">
        <v>3084</v>
      </c>
      <c r="C198">
        <v>175</v>
      </c>
      <c r="D198">
        <v>8.6582858551825801</v>
      </c>
      <c r="E198">
        <v>1515.2000246569501</v>
      </c>
      <c r="F198">
        <v>0.95188292389300599</v>
      </c>
      <c r="G198">
        <v>0.99262631202738805</v>
      </c>
      <c r="H198" t="str">
        <f t="shared" si="3"/>
        <v>Q1</v>
      </c>
    </row>
    <row r="199" spans="1:8">
      <c r="A199">
        <v>678694</v>
      </c>
      <c r="B199" t="s">
        <v>4628</v>
      </c>
      <c r="C199">
        <v>621</v>
      </c>
      <c r="D199">
        <v>2.4362591827129298</v>
      </c>
      <c r="E199">
        <v>1512.91695246473</v>
      </c>
      <c r="F199">
        <v>0.99281441631240397</v>
      </c>
      <c r="G199">
        <v>0.99258869117038495</v>
      </c>
      <c r="H199" t="str">
        <f t="shared" si="3"/>
        <v>Q2</v>
      </c>
    </row>
    <row r="200" spans="1:8">
      <c r="A200">
        <v>559633</v>
      </c>
      <c r="B200" t="s">
        <v>3831</v>
      </c>
      <c r="C200">
        <v>373</v>
      </c>
      <c r="D200">
        <v>4.0473803915283204</v>
      </c>
      <c r="E200">
        <v>1509.6728860400599</v>
      </c>
      <c r="F200">
        <v>0.98209247206651396</v>
      </c>
      <c r="G200">
        <v>0.99255107031338197</v>
      </c>
      <c r="H200" t="str">
        <f t="shared" si="3"/>
        <v>Q2</v>
      </c>
    </row>
    <row r="201" spans="1:8">
      <c r="A201">
        <v>714803</v>
      </c>
      <c r="B201" t="s">
        <v>3182</v>
      </c>
      <c r="C201">
        <v>416</v>
      </c>
      <c r="D201">
        <v>3.6240832752530201</v>
      </c>
      <c r="E201">
        <v>1507.6186425052599</v>
      </c>
      <c r="F201">
        <v>0.98472593205673198</v>
      </c>
      <c r="G201">
        <v>0.99251344945637898</v>
      </c>
      <c r="H201" t="str">
        <f t="shared" si="3"/>
        <v>Q2</v>
      </c>
    </row>
    <row r="202" spans="1:8">
      <c r="A202">
        <v>786743</v>
      </c>
      <c r="B202" t="s">
        <v>3346</v>
      </c>
      <c r="C202">
        <v>103</v>
      </c>
      <c r="D202">
        <v>14.621342877739799</v>
      </c>
      <c r="E202">
        <v>1505.9983164072</v>
      </c>
      <c r="F202">
        <v>0.91433730860388995</v>
      </c>
      <c r="G202">
        <v>0.992475828599375</v>
      </c>
      <c r="H202" t="str">
        <f t="shared" si="3"/>
        <v>Q3</v>
      </c>
    </row>
    <row r="203" spans="1:8">
      <c r="A203">
        <v>712406</v>
      </c>
      <c r="B203" t="s">
        <v>4250</v>
      </c>
      <c r="C203">
        <v>285</v>
      </c>
      <c r="D203">
        <v>5.2829260846371202</v>
      </c>
      <c r="E203">
        <v>1505.6339341215801</v>
      </c>
      <c r="F203">
        <v>0.97400398781084196</v>
      </c>
      <c r="G203">
        <v>0.99243820774237201</v>
      </c>
      <c r="H203" t="str">
        <f t="shared" si="3"/>
        <v>Q1</v>
      </c>
    </row>
    <row r="204" spans="1:8">
      <c r="A204">
        <v>787696</v>
      </c>
      <c r="B204" t="s">
        <v>1821</v>
      </c>
      <c r="C204">
        <v>499</v>
      </c>
      <c r="D204">
        <v>3.0117115130898102</v>
      </c>
      <c r="E204">
        <v>1502.8440450318201</v>
      </c>
      <c r="F204">
        <v>0.98863850118505703</v>
      </c>
      <c r="G204">
        <v>0.99240058688536903</v>
      </c>
      <c r="H204" t="str">
        <f t="shared" si="3"/>
        <v>Q2</v>
      </c>
    </row>
    <row r="205" spans="1:8">
      <c r="A205">
        <v>784276</v>
      </c>
      <c r="B205" t="s">
        <v>1794</v>
      </c>
      <c r="C205">
        <v>128</v>
      </c>
      <c r="D205">
        <v>11.720498141949101</v>
      </c>
      <c r="E205">
        <v>1500.2237621694801</v>
      </c>
      <c r="F205">
        <v>0.93201911139535798</v>
      </c>
      <c r="G205">
        <v>0.99236296602836604</v>
      </c>
      <c r="H205" t="str">
        <f t="shared" si="3"/>
        <v>Q3</v>
      </c>
    </row>
    <row r="206" spans="1:8">
      <c r="A206">
        <v>707743</v>
      </c>
      <c r="B206" t="s">
        <v>1988</v>
      </c>
      <c r="C206">
        <v>650</v>
      </c>
      <c r="D206">
        <v>2.2914498027843901</v>
      </c>
      <c r="E206">
        <v>1489.4423718098601</v>
      </c>
      <c r="F206">
        <v>0.99337872916744996</v>
      </c>
      <c r="G206">
        <v>0.99232534517136295</v>
      </c>
      <c r="H206" t="str">
        <f t="shared" si="3"/>
        <v>Q2</v>
      </c>
    </row>
    <row r="207" spans="1:8">
      <c r="A207">
        <v>611415</v>
      </c>
      <c r="B207" t="s">
        <v>950</v>
      </c>
      <c r="C207">
        <v>926</v>
      </c>
      <c r="D207">
        <v>1.6081175927553499</v>
      </c>
      <c r="E207">
        <v>1489.1168908914599</v>
      </c>
      <c r="F207">
        <v>0.99672698544072802</v>
      </c>
      <c r="G207">
        <v>0.99228772431435996</v>
      </c>
      <c r="H207" t="str">
        <f t="shared" si="3"/>
        <v>Q2</v>
      </c>
    </row>
    <row r="208" spans="1:8">
      <c r="A208">
        <v>720861</v>
      </c>
      <c r="B208" t="s">
        <v>5093</v>
      </c>
      <c r="C208">
        <v>303</v>
      </c>
      <c r="D208">
        <v>4.8968899392648897</v>
      </c>
      <c r="E208">
        <v>1483.7576515972601</v>
      </c>
      <c r="F208">
        <v>0.976336480945036</v>
      </c>
      <c r="G208">
        <v>0.99225010345735698</v>
      </c>
      <c r="H208" t="str">
        <f t="shared" si="3"/>
        <v>Q2</v>
      </c>
    </row>
    <row r="209" spans="1:8">
      <c r="A209">
        <v>731644</v>
      </c>
      <c r="B209" t="s">
        <v>344</v>
      </c>
      <c r="C209">
        <v>348</v>
      </c>
      <c r="D209">
        <v>4.2403858045287297</v>
      </c>
      <c r="E209">
        <v>1475.654259976</v>
      </c>
      <c r="F209">
        <v>0.98039953350137299</v>
      </c>
      <c r="G209">
        <v>0.992212482600354</v>
      </c>
      <c r="H209" t="str">
        <f t="shared" si="3"/>
        <v>Q2</v>
      </c>
    </row>
    <row r="210" spans="1:8">
      <c r="A210">
        <v>812167</v>
      </c>
      <c r="B210" t="s">
        <v>2944</v>
      </c>
      <c r="C210">
        <v>334</v>
      </c>
      <c r="D210">
        <v>4.4163707086069097</v>
      </c>
      <c r="E210">
        <v>1475.06781667471</v>
      </c>
      <c r="F210">
        <v>0.97904518264926099</v>
      </c>
      <c r="G210">
        <v>0.99217486174335101</v>
      </c>
      <c r="H210" t="str">
        <f t="shared" si="3"/>
        <v>Q2</v>
      </c>
    </row>
    <row r="211" spans="1:8">
      <c r="A211">
        <v>536139</v>
      </c>
      <c r="B211" t="s">
        <v>215</v>
      </c>
      <c r="C211">
        <v>974</v>
      </c>
      <c r="D211">
        <v>1.5141578818847301</v>
      </c>
      <c r="E211">
        <v>1474.7897769557301</v>
      </c>
      <c r="F211">
        <v>0.99706557315375599</v>
      </c>
      <c r="G211">
        <v>0.99213724088634703</v>
      </c>
      <c r="H211" t="str">
        <f t="shared" si="3"/>
        <v>Q2</v>
      </c>
    </row>
    <row r="212" spans="1:8">
      <c r="A212">
        <v>730013</v>
      </c>
      <c r="B212" t="s">
        <v>4396</v>
      </c>
      <c r="C212">
        <v>409</v>
      </c>
      <c r="D212">
        <v>3.5974348339646101</v>
      </c>
      <c r="E212">
        <v>1471.3508470915301</v>
      </c>
      <c r="F212">
        <v>0.98431210262969804</v>
      </c>
      <c r="G212">
        <v>0.99209962002934404</v>
      </c>
      <c r="H212" t="str">
        <f t="shared" si="3"/>
        <v>Q2</v>
      </c>
    </row>
    <row r="213" spans="1:8">
      <c r="A213">
        <v>610776</v>
      </c>
      <c r="B213" t="s">
        <v>4880</v>
      </c>
      <c r="C213">
        <v>1815</v>
      </c>
      <c r="D213">
        <v>0.80882196258830497</v>
      </c>
      <c r="E213">
        <v>1468.0118620977701</v>
      </c>
      <c r="F213">
        <v>0.999473308001956</v>
      </c>
      <c r="G213">
        <v>0.99206199917234095</v>
      </c>
      <c r="H213" t="str">
        <f t="shared" si="3"/>
        <v>Q2</v>
      </c>
    </row>
    <row r="214" spans="1:8">
      <c r="A214">
        <v>608776</v>
      </c>
      <c r="B214" t="s">
        <v>4304</v>
      </c>
      <c r="C214">
        <v>1210</v>
      </c>
      <c r="D214">
        <v>1.2126502228134901</v>
      </c>
      <c r="E214">
        <v>1467.3067696043299</v>
      </c>
      <c r="F214">
        <v>0.99796847372183095</v>
      </c>
      <c r="G214">
        <v>0.99202437831533796</v>
      </c>
      <c r="H214" t="str">
        <f t="shared" si="3"/>
        <v>Q2</v>
      </c>
    </row>
    <row r="215" spans="1:8">
      <c r="A215">
        <v>758084</v>
      </c>
      <c r="B215" t="s">
        <v>2872</v>
      </c>
      <c r="C215">
        <v>258</v>
      </c>
      <c r="D215">
        <v>5.6849101536669</v>
      </c>
      <c r="E215">
        <v>1466.70681964606</v>
      </c>
      <c r="F215">
        <v>0.97024190211052996</v>
      </c>
      <c r="G215">
        <v>0.99198675745833498</v>
      </c>
      <c r="H215" t="str">
        <f t="shared" si="3"/>
        <v>Q1</v>
      </c>
    </row>
    <row r="216" spans="1:8">
      <c r="A216">
        <v>768465</v>
      </c>
      <c r="B216" t="s">
        <v>2892</v>
      </c>
      <c r="C216">
        <v>601</v>
      </c>
      <c r="D216">
        <v>2.42780112799338</v>
      </c>
      <c r="E216">
        <v>1459.10847792402</v>
      </c>
      <c r="F216">
        <v>0.99228772431435996</v>
      </c>
      <c r="G216">
        <v>0.99194913660133199</v>
      </c>
      <c r="H216" t="str">
        <f t="shared" si="3"/>
        <v>Q2</v>
      </c>
    </row>
    <row r="217" spans="1:8">
      <c r="A217">
        <v>772822</v>
      </c>
      <c r="B217" t="s">
        <v>3840</v>
      </c>
      <c r="C217">
        <v>136</v>
      </c>
      <c r="D217">
        <v>10.6965103707112</v>
      </c>
      <c r="E217">
        <v>1454.72541041672</v>
      </c>
      <c r="F217">
        <v>0.93630788909371399</v>
      </c>
      <c r="G217">
        <v>0.99191151574432901</v>
      </c>
      <c r="H217" t="str">
        <f t="shared" si="3"/>
        <v>Q3</v>
      </c>
    </row>
    <row r="218" spans="1:8">
      <c r="A218">
        <v>723529</v>
      </c>
      <c r="B218" t="s">
        <v>2661</v>
      </c>
      <c r="C218">
        <v>589</v>
      </c>
      <c r="D218">
        <v>2.4612155099397799</v>
      </c>
      <c r="E218">
        <v>1449.6559353545299</v>
      </c>
      <c r="F218">
        <v>0.99179865317331894</v>
      </c>
      <c r="G218">
        <v>0.99187389488732602</v>
      </c>
      <c r="H218" t="str">
        <f t="shared" si="3"/>
        <v>Q2</v>
      </c>
    </row>
    <row r="219" spans="1:8">
      <c r="A219">
        <v>682550</v>
      </c>
      <c r="B219" t="s">
        <v>5017</v>
      </c>
      <c r="C219">
        <v>523</v>
      </c>
      <c r="D219">
        <v>2.7640275657622202</v>
      </c>
      <c r="E219">
        <v>1445.58641689364</v>
      </c>
      <c r="F219">
        <v>0.98972950603814802</v>
      </c>
      <c r="G219">
        <v>0.99183627403032204</v>
      </c>
      <c r="H219" t="str">
        <f t="shared" si="3"/>
        <v>Q2</v>
      </c>
    </row>
    <row r="220" spans="1:8">
      <c r="A220">
        <v>597891</v>
      </c>
      <c r="B220" t="s">
        <v>4390</v>
      </c>
      <c r="C220">
        <v>502</v>
      </c>
      <c r="D220">
        <v>2.87037944630812</v>
      </c>
      <c r="E220">
        <v>1440.93048204668</v>
      </c>
      <c r="F220">
        <v>0.98875136375606598</v>
      </c>
      <c r="G220">
        <v>0.99179865317331894</v>
      </c>
      <c r="H220" t="str">
        <f t="shared" si="3"/>
        <v>Q2</v>
      </c>
    </row>
    <row r="221" spans="1:8">
      <c r="A221">
        <v>739348</v>
      </c>
      <c r="B221" t="s">
        <v>4627</v>
      </c>
      <c r="C221">
        <v>596</v>
      </c>
      <c r="D221">
        <v>2.41508645743082</v>
      </c>
      <c r="E221">
        <v>1439.3915286287699</v>
      </c>
      <c r="F221">
        <v>0.99206199917234095</v>
      </c>
      <c r="G221">
        <v>0.99176103231631596</v>
      </c>
      <c r="H221" t="str">
        <f t="shared" si="3"/>
        <v>Q2</v>
      </c>
    </row>
    <row r="222" spans="1:8">
      <c r="A222">
        <v>734273</v>
      </c>
      <c r="B222" t="s">
        <v>4963</v>
      </c>
      <c r="C222">
        <v>361</v>
      </c>
      <c r="D222">
        <v>3.9847269989653298</v>
      </c>
      <c r="E222">
        <v>1438.4864466264801</v>
      </c>
      <c r="F222">
        <v>0.98130243406944795</v>
      </c>
      <c r="G222">
        <v>0.99172341145931298</v>
      </c>
      <c r="H222" t="str">
        <f t="shared" si="3"/>
        <v>Q2</v>
      </c>
    </row>
    <row r="223" spans="1:8">
      <c r="A223">
        <v>660308</v>
      </c>
      <c r="B223" t="s">
        <v>1884</v>
      </c>
      <c r="C223">
        <v>716</v>
      </c>
      <c r="D223">
        <v>2.0015647204647502</v>
      </c>
      <c r="E223">
        <v>1433.12033985276</v>
      </c>
      <c r="F223">
        <v>0.99450735487754405</v>
      </c>
      <c r="G223">
        <v>0.99168579060230999</v>
      </c>
      <c r="H223" t="str">
        <f t="shared" si="3"/>
        <v>Q2</v>
      </c>
    </row>
    <row r="224" spans="1:8">
      <c r="A224">
        <v>679285</v>
      </c>
      <c r="B224" t="s">
        <v>4234</v>
      </c>
      <c r="C224">
        <v>651</v>
      </c>
      <c r="D224">
        <v>2.2013304144939498</v>
      </c>
      <c r="E224">
        <v>1433.06609983556</v>
      </c>
      <c r="F224">
        <v>0.99345397088145704</v>
      </c>
      <c r="G224">
        <v>0.99164816974530701</v>
      </c>
      <c r="H224" t="str">
        <f t="shared" si="3"/>
        <v>Q2</v>
      </c>
    </row>
    <row r="225" spans="1:8">
      <c r="A225">
        <v>755361</v>
      </c>
      <c r="B225" t="s">
        <v>1860</v>
      </c>
      <c r="C225">
        <v>195</v>
      </c>
      <c r="D225">
        <v>7.3393916147641596</v>
      </c>
      <c r="E225">
        <v>1431.1813648790101</v>
      </c>
      <c r="F225">
        <v>0.95767653587148704</v>
      </c>
      <c r="G225">
        <v>0.99161054888830402</v>
      </c>
      <c r="H225" t="str">
        <f t="shared" si="3"/>
        <v>Q1</v>
      </c>
    </row>
    <row r="226" spans="1:8">
      <c r="A226">
        <v>563519</v>
      </c>
      <c r="B226" t="s">
        <v>4421</v>
      </c>
      <c r="C226">
        <v>596</v>
      </c>
      <c r="D226">
        <v>2.3958395007097701</v>
      </c>
      <c r="E226">
        <v>1427.92034242302</v>
      </c>
      <c r="F226">
        <v>0.99206199917234095</v>
      </c>
      <c r="G226">
        <v>0.99157292803130104</v>
      </c>
      <c r="H226" t="str">
        <f t="shared" si="3"/>
        <v>Q2</v>
      </c>
    </row>
    <row r="227" spans="1:8">
      <c r="A227">
        <v>709297</v>
      </c>
      <c r="B227" t="s">
        <v>709</v>
      </c>
      <c r="C227">
        <v>607</v>
      </c>
      <c r="D227">
        <v>2.3499092531330601</v>
      </c>
      <c r="E227">
        <v>1426.39491665177</v>
      </c>
      <c r="F227">
        <v>0.99240058688536903</v>
      </c>
      <c r="G227">
        <v>0.99153530717429705</v>
      </c>
      <c r="H227" t="str">
        <f t="shared" si="3"/>
        <v>Q2</v>
      </c>
    </row>
    <row r="228" spans="1:8">
      <c r="A228">
        <v>762630</v>
      </c>
      <c r="B228" t="s">
        <v>4571</v>
      </c>
      <c r="C228">
        <v>293</v>
      </c>
      <c r="D228">
        <v>4.8552554653823998</v>
      </c>
      <c r="E228">
        <v>1422.5898513570401</v>
      </c>
      <c r="F228">
        <v>0.97517023437793904</v>
      </c>
      <c r="G228">
        <v>0.99149768631729396</v>
      </c>
      <c r="H228" t="str">
        <f t="shared" si="3"/>
        <v>Q2</v>
      </c>
    </row>
    <row r="229" spans="1:8">
      <c r="A229">
        <v>748566</v>
      </c>
      <c r="B229" t="s">
        <v>4265</v>
      </c>
      <c r="C229">
        <v>356</v>
      </c>
      <c r="D229">
        <v>3.98366978402469</v>
      </c>
      <c r="E229">
        <v>1418.1864431127899</v>
      </c>
      <c r="F229">
        <v>0.98096384635641998</v>
      </c>
      <c r="G229">
        <v>0.99146006546029097</v>
      </c>
      <c r="H229" t="str">
        <f t="shared" si="3"/>
        <v>Q2</v>
      </c>
    </row>
    <row r="230" spans="1:8">
      <c r="A230">
        <v>693243</v>
      </c>
      <c r="B230" t="s">
        <v>3126</v>
      </c>
      <c r="C230">
        <v>521</v>
      </c>
      <c r="D230">
        <v>2.7161813442078699</v>
      </c>
      <c r="E230">
        <v>1415.1304803323001</v>
      </c>
      <c r="F230">
        <v>0.98954140175313199</v>
      </c>
      <c r="G230">
        <v>0.99142244460328799</v>
      </c>
      <c r="H230" t="str">
        <f t="shared" si="3"/>
        <v>Q2</v>
      </c>
    </row>
    <row r="231" spans="1:8">
      <c r="A231">
        <v>744893</v>
      </c>
      <c r="B231" t="s">
        <v>3184</v>
      </c>
      <c r="C231">
        <v>304</v>
      </c>
      <c r="D231">
        <v>4.6243087198634303</v>
      </c>
      <c r="E231">
        <v>1405.7898508384801</v>
      </c>
      <c r="F231">
        <v>0.97648696437304805</v>
      </c>
      <c r="G231">
        <v>0.991384823746285</v>
      </c>
      <c r="H231" t="str">
        <f t="shared" si="3"/>
        <v>Q2</v>
      </c>
    </row>
    <row r="232" spans="1:8">
      <c r="A232">
        <v>788455</v>
      </c>
      <c r="B232" t="s">
        <v>613</v>
      </c>
      <c r="C232">
        <v>458</v>
      </c>
      <c r="D232">
        <v>3.05675742375018</v>
      </c>
      <c r="E232">
        <v>1399.99490007758</v>
      </c>
      <c r="F232">
        <v>0.98702080433392303</v>
      </c>
      <c r="G232">
        <v>0.99134720288928202</v>
      </c>
      <c r="H232" t="str">
        <f t="shared" si="3"/>
        <v>Q2</v>
      </c>
    </row>
    <row r="233" spans="1:8">
      <c r="A233">
        <v>639192</v>
      </c>
      <c r="B233" t="s">
        <v>840</v>
      </c>
      <c r="C233">
        <v>213</v>
      </c>
      <c r="D233">
        <v>6.5708999194099897</v>
      </c>
      <c r="E233">
        <v>1399.6016828343299</v>
      </c>
      <c r="F233">
        <v>0.96230390128287102</v>
      </c>
      <c r="G233">
        <v>0.99130958203227904</v>
      </c>
      <c r="H233" t="str">
        <f t="shared" si="3"/>
        <v>Q1</v>
      </c>
    </row>
    <row r="234" spans="1:8">
      <c r="A234">
        <v>666382</v>
      </c>
      <c r="B234" t="s">
        <v>3803</v>
      </c>
      <c r="C234">
        <v>681</v>
      </c>
      <c r="D234">
        <v>2.0529157021896598</v>
      </c>
      <c r="E234">
        <v>1398.0355931911599</v>
      </c>
      <c r="F234">
        <v>0.99401828373650303</v>
      </c>
      <c r="G234">
        <v>0.99127196117527605</v>
      </c>
      <c r="H234" t="str">
        <f t="shared" si="3"/>
        <v>Q2</v>
      </c>
    </row>
    <row r="235" spans="1:8">
      <c r="A235">
        <v>777148</v>
      </c>
      <c r="B235" t="s">
        <v>4865</v>
      </c>
      <c r="C235">
        <v>318</v>
      </c>
      <c r="D235">
        <v>4.3904008771404204</v>
      </c>
      <c r="E235">
        <v>1396.1474789306501</v>
      </c>
      <c r="F235">
        <v>0.97784131522516105</v>
      </c>
      <c r="G235">
        <v>0.99123434031827196</v>
      </c>
      <c r="H235" t="str">
        <f t="shared" si="3"/>
        <v>Q2</v>
      </c>
    </row>
    <row r="236" spans="1:8">
      <c r="A236">
        <v>740498</v>
      </c>
      <c r="B236" t="s">
        <v>329</v>
      </c>
      <c r="C236">
        <v>350</v>
      </c>
      <c r="D236">
        <v>3.9829443118401899</v>
      </c>
      <c r="E236">
        <v>1394.03050914407</v>
      </c>
      <c r="F236">
        <v>0.98055001692938604</v>
      </c>
      <c r="G236">
        <v>0.99119671946126897</v>
      </c>
      <c r="H236" t="str">
        <f t="shared" si="3"/>
        <v>Q2</v>
      </c>
    </row>
    <row r="237" spans="1:8">
      <c r="A237">
        <v>758064</v>
      </c>
      <c r="B237" t="s">
        <v>2882</v>
      </c>
      <c r="C237">
        <v>425</v>
      </c>
      <c r="D237">
        <v>3.2767775965964101</v>
      </c>
      <c r="E237">
        <v>1392.6304785534701</v>
      </c>
      <c r="F237">
        <v>0.98559121176780395</v>
      </c>
      <c r="G237">
        <v>0.99115909860426599</v>
      </c>
      <c r="H237" t="str">
        <f t="shared" si="3"/>
        <v>Q2</v>
      </c>
    </row>
    <row r="238" spans="1:8">
      <c r="A238">
        <v>693242</v>
      </c>
      <c r="B238" t="s">
        <v>438</v>
      </c>
      <c r="C238">
        <v>526</v>
      </c>
      <c r="D238">
        <v>2.6359701729220202</v>
      </c>
      <c r="E238">
        <v>1386.52031095698</v>
      </c>
      <c r="F238">
        <v>0.98995523118016604</v>
      </c>
      <c r="G238">
        <v>0.991121477747263</v>
      </c>
      <c r="H238" t="str">
        <f t="shared" si="3"/>
        <v>Q2</v>
      </c>
    </row>
    <row r="239" spans="1:8">
      <c r="A239">
        <v>708845</v>
      </c>
      <c r="B239" t="s">
        <v>795</v>
      </c>
      <c r="C239">
        <v>290</v>
      </c>
      <c r="D239">
        <v>4.7685972829188801</v>
      </c>
      <c r="E239">
        <v>1382.8932120464699</v>
      </c>
      <c r="F239">
        <v>0.97460592152289205</v>
      </c>
      <c r="G239">
        <v>0.99108385689026002</v>
      </c>
      <c r="H239" t="str">
        <f t="shared" si="3"/>
        <v>Q2</v>
      </c>
    </row>
    <row r="240" spans="1:8">
      <c r="A240">
        <v>679854</v>
      </c>
      <c r="B240" t="s">
        <v>2973</v>
      </c>
      <c r="C240">
        <v>918</v>
      </c>
      <c r="D240">
        <v>1.5053764037627599</v>
      </c>
      <c r="E240">
        <v>1381.93553865422</v>
      </c>
      <c r="F240">
        <v>0.99661412286971895</v>
      </c>
      <c r="G240">
        <v>0.99104623603325703</v>
      </c>
      <c r="H240" t="str">
        <f t="shared" si="3"/>
        <v>Q2</v>
      </c>
    </row>
    <row r="241" spans="1:8">
      <c r="A241">
        <v>685848</v>
      </c>
      <c r="B241" t="s">
        <v>3868</v>
      </c>
      <c r="C241">
        <v>366</v>
      </c>
      <c r="D241">
        <v>3.7716587898550502</v>
      </c>
      <c r="E241">
        <v>1380.4271170869499</v>
      </c>
      <c r="F241">
        <v>0.98160340092547305</v>
      </c>
      <c r="G241">
        <v>0.99100861517625405</v>
      </c>
      <c r="H241" t="str">
        <f t="shared" si="3"/>
        <v>Q2</v>
      </c>
    </row>
    <row r="242" spans="1:8">
      <c r="A242">
        <v>742933</v>
      </c>
      <c r="B242" t="s">
        <v>788</v>
      </c>
      <c r="C242">
        <v>622</v>
      </c>
      <c r="D242">
        <v>2.2167665824006599</v>
      </c>
      <c r="E242">
        <v>1378.8288142532101</v>
      </c>
      <c r="F242">
        <v>0.99285203716940695</v>
      </c>
      <c r="G242">
        <v>0.99097099431925095</v>
      </c>
      <c r="H242" t="str">
        <f t="shared" si="3"/>
        <v>Q2</v>
      </c>
    </row>
    <row r="243" spans="1:8">
      <c r="A243">
        <v>673396</v>
      </c>
      <c r="B243" t="s">
        <v>4059</v>
      </c>
      <c r="C243">
        <v>1072</v>
      </c>
      <c r="D243">
        <v>1.28513311332182</v>
      </c>
      <c r="E243">
        <v>1377.6626974809899</v>
      </c>
      <c r="F243">
        <v>0.99755464429479701</v>
      </c>
      <c r="G243">
        <v>0.99093337346224797</v>
      </c>
      <c r="H243" t="str">
        <f t="shared" si="3"/>
        <v>Q2</v>
      </c>
    </row>
    <row r="244" spans="1:8">
      <c r="A244">
        <v>554811</v>
      </c>
      <c r="B244" t="s">
        <v>4054</v>
      </c>
      <c r="C244">
        <v>790</v>
      </c>
      <c r="D244">
        <v>1.7421819269657099</v>
      </c>
      <c r="E244">
        <v>1376.32372230291</v>
      </c>
      <c r="F244">
        <v>0.99548549715962498</v>
      </c>
      <c r="G244">
        <v>0.99089575260524398</v>
      </c>
      <c r="H244" t="str">
        <f t="shared" si="3"/>
        <v>Q2</v>
      </c>
    </row>
    <row r="245" spans="1:8">
      <c r="A245">
        <v>706016</v>
      </c>
      <c r="B245" t="s">
        <v>2269</v>
      </c>
      <c r="C245">
        <v>433</v>
      </c>
      <c r="D245">
        <v>3.1764042279822902</v>
      </c>
      <c r="E245">
        <v>1375.38303071633</v>
      </c>
      <c r="F245">
        <v>0.98581693690982297</v>
      </c>
      <c r="G245">
        <v>0.990858131748241</v>
      </c>
      <c r="H245" t="str">
        <f t="shared" si="3"/>
        <v>Q2</v>
      </c>
    </row>
    <row r="246" spans="1:8">
      <c r="A246">
        <v>763322</v>
      </c>
      <c r="B246" t="s">
        <v>3333</v>
      </c>
      <c r="C246">
        <v>69</v>
      </c>
      <c r="D246">
        <v>19.924121857553299</v>
      </c>
      <c r="E246">
        <v>1374.7644081711801</v>
      </c>
      <c r="F246">
        <v>0.87393250818253598</v>
      </c>
      <c r="G246">
        <v>0.99082051089123802</v>
      </c>
      <c r="H246" t="str">
        <f t="shared" si="3"/>
        <v>Q3</v>
      </c>
    </row>
    <row r="247" spans="1:8">
      <c r="A247">
        <v>399087</v>
      </c>
      <c r="B247" t="s">
        <v>4736</v>
      </c>
      <c r="C247">
        <v>581</v>
      </c>
      <c r="D247">
        <v>2.36269432334822</v>
      </c>
      <c r="E247">
        <v>1372.72540186532</v>
      </c>
      <c r="F247">
        <v>0.99164816974530701</v>
      </c>
      <c r="G247">
        <v>0.99078289003423503</v>
      </c>
      <c r="H247" t="str">
        <f t="shared" si="3"/>
        <v>Q2</v>
      </c>
    </row>
    <row r="248" spans="1:8">
      <c r="A248">
        <v>712216</v>
      </c>
      <c r="B248" t="s">
        <v>3936</v>
      </c>
      <c r="C248">
        <v>696</v>
      </c>
      <c r="D248">
        <v>1.96588974801995</v>
      </c>
      <c r="E248">
        <v>1368.25926462188</v>
      </c>
      <c r="F248">
        <v>0.99428162973552503</v>
      </c>
      <c r="G248">
        <v>0.99074526917723205</v>
      </c>
      <c r="H248" t="str">
        <f t="shared" si="3"/>
        <v>Q2</v>
      </c>
    </row>
    <row r="249" spans="1:8">
      <c r="A249">
        <v>573085</v>
      </c>
      <c r="B249" t="s">
        <v>2950</v>
      </c>
      <c r="C249">
        <v>459</v>
      </c>
      <c r="D249">
        <v>2.9706214156918902</v>
      </c>
      <c r="E249">
        <v>1363.5152298025801</v>
      </c>
      <c r="F249">
        <v>0.98705842519092601</v>
      </c>
      <c r="G249">
        <v>0.99070764832022895</v>
      </c>
      <c r="H249" t="str">
        <f t="shared" si="3"/>
        <v>Q2</v>
      </c>
    </row>
    <row r="250" spans="1:8">
      <c r="A250">
        <v>655784</v>
      </c>
      <c r="B250" t="s">
        <v>3449</v>
      </c>
      <c r="C250">
        <v>418</v>
      </c>
      <c r="D250">
        <v>3.2521449417125399</v>
      </c>
      <c r="E250">
        <v>1359.39658563584</v>
      </c>
      <c r="F250">
        <v>0.98480117377073895</v>
      </c>
      <c r="G250">
        <v>0.99067002746322597</v>
      </c>
      <c r="H250" t="str">
        <f t="shared" si="3"/>
        <v>Q2</v>
      </c>
    </row>
    <row r="251" spans="1:8">
      <c r="A251">
        <v>579541</v>
      </c>
      <c r="B251" t="s">
        <v>809</v>
      </c>
      <c r="C251">
        <v>832</v>
      </c>
      <c r="D251">
        <v>1.6299278170873299</v>
      </c>
      <c r="E251">
        <v>1356.09994381666</v>
      </c>
      <c r="F251">
        <v>0.99608743087167495</v>
      </c>
      <c r="G251">
        <v>0.99063240660622298</v>
      </c>
      <c r="H251" t="str">
        <f t="shared" si="3"/>
        <v>Q2</v>
      </c>
    </row>
    <row r="252" spans="1:8">
      <c r="A252">
        <v>717779</v>
      </c>
      <c r="B252" t="s">
        <v>3125</v>
      </c>
      <c r="C252">
        <v>277</v>
      </c>
      <c r="D252">
        <v>4.8933489194361703</v>
      </c>
      <c r="E252">
        <v>1355.45765068382</v>
      </c>
      <c r="F252">
        <v>0.97291298295775197</v>
      </c>
      <c r="G252">
        <v>0.990594785749219</v>
      </c>
      <c r="H252" t="str">
        <f t="shared" si="3"/>
        <v>Q2</v>
      </c>
    </row>
    <row r="253" spans="1:8">
      <c r="A253">
        <v>721266</v>
      </c>
      <c r="B253" t="s">
        <v>863</v>
      </c>
      <c r="C253">
        <v>202</v>
      </c>
      <c r="D253">
        <v>6.6920624345098396</v>
      </c>
      <c r="E253">
        <v>1351.79661177099</v>
      </c>
      <c r="F253">
        <v>0.95951995786463995</v>
      </c>
      <c r="G253">
        <v>0.99055716489221601</v>
      </c>
      <c r="H253" t="str">
        <f t="shared" si="3"/>
        <v>Q1</v>
      </c>
    </row>
    <row r="254" spans="1:8">
      <c r="A254">
        <v>646490</v>
      </c>
      <c r="B254" t="s">
        <v>3764</v>
      </c>
      <c r="C254">
        <v>253</v>
      </c>
      <c r="D254">
        <v>5.3291620441856002</v>
      </c>
      <c r="E254">
        <v>1348.27799717896</v>
      </c>
      <c r="F254">
        <v>0.96945186411346496</v>
      </c>
      <c r="G254">
        <v>0.99051954403521303</v>
      </c>
      <c r="H254" t="str">
        <f t="shared" si="3"/>
        <v>Q1</v>
      </c>
    </row>
    <row r="255" spans="1:8">
      <c r="A255">
        <v>712924</v>
      </c>
      <c r="B255" t="s">
        <v>3405</v>
      </c>
      <c r="C255">
        <v>843</v>
      </c>
      <c r="D255">
        <v>1.5983653375779501</v>
      </c>
      <c r="E255">
        <v>1347.4219795782101</v>
      </c>
      <c r="F255">
        <v>0.99616267258568103</v>
      </c>
      <c r="G255">
        <v>0.99048192317821004</v>
      </c>
      <c r="H255" t="str">
        <f t="shared" si="3"/>
        <v>Q2</v>
      </c>
    </row>
    <row r="256" spans="1:8">
      <c r="A256">
        <v>698273</v>
      </c>
      <c r="B256" t="s">
        <v>672</v>
      </c>
      <c r="C256">
        <v>920</v>
      </c>
      <c r="D256">
        <v>1.46351505000063</v>
      </c>
      <c r="E256">
        <v>1346.4338460005799</v>
      </c>
      <c r="F256">
        <v>0.99665174372672205</v>
      </c>
      <c r="G256">
        <v>0.99044430232120695</v>
      </c>
      <c r="H256" t="str">
        <f t="shared" si="3"/>
        <v>Q2</v>
      </c>
    </row>
    <row r="257" spans="1:8">
      <c r="A257">
        <v>685448</v>
      </c>
      <c r="B257" t="s">
        <v>2244</v>
      </c>
      <c r="C257">
        <v>570</v>
      </c>
      <c r="D257">
        <v>2.3584716029367199</v>
      </c>
      <c r="E257">
        <v>1344.32881367393</v>
      </c>
      <c r="F257">
        <v>0.99146006546029097</v>
      </c>
      <c r="G257">
        <v>0.99040668146420396</v>
      </c>
      <c r="H257" t="str">
        <f t="shared" si="3"/>
        <v>Q2</v>
      </c>
    </row>
    <row r="258" spans="1:8">
      <c r="A258">
        <v>680265</v>
      </c>
      <c r="B258" t="s">
        <v>3835</v>
      </c>
      <c r="C258">
        <v>339</v>
      </c>
      <c r="D258">
        <v>3.9622768968519599</v>
      </c>
      <c r="E258">
        <v>1343.2118680328099</v>
      </c>
      <c r="F258">
        <v>0.97942139121929195</v>
      </c>
      <c r="G258">
        <v>0.99036906060720098</v>
      </c>
      <c r="H258" t="str">
        <f t="shared" si="3"/>
        <v>Q2</v>
      </c>
    </row>
    <row r="259" spans="1:8">
      <c r="A259">
        <v>678686</v>
      </c>
      <c r="B259" t="s">
        <v>3472</v>
      </c>
      <c r="C259">
        <v>281</v>
      </c>
      <c r="D259">
        <v>4.7762169870564497</v>
      </c>
      <c r="E259">
        <v>1342.1169733628601</v>
      </c>
      <c r="F259">
        <v>0.97340205409879199</v>
      </c>
      <c r="G259">
        <v>0.99033143975019799</v>
      </c>
      <c r="H259" t="str">
        <f t="shared" ref="H259:H322" si="4">IF(C259&gt;$J$2,
   IF(D259&gt;$J$3,"Q1","Q2"),
   IF(D259&gt;$J$3,"Q3","Q4"))</f>
        <v>Q2</v>
      </c>
    </row>
    <row r="260" spans="1:8">
      <c r="A260">
        <v>562252</v>
      </c>
      <c r="B260" t="s">
        <v>4579</v>
      </c>
      <c r="C260">
        <v>590</v>
      </c>
      <c r="D260">
        <v>2.2471215212875499</v>
      </c>
      <c r="E260">
        <v>1325.8016975596499</v>
      </c>
      <c r="F260">
        <v>0.99183627403032204</v>
      </c>
      <c r="G260">
        <v>0.99029381889319401</v>
      </c>
      <c r="H260" t="str">
        <f t="shared" si="4"/>
        <v>Q2</v>
      </c>
    </row>
    <row r="261" spans="1:8">
      <c r="A261">
        <v>714825</v>
      </c>
      <c r="B261" t="s">
        <v>2896</v>
      </c>
      <c r="C261">
        <v>335</v>
      </c>
      <c r="D261">
        <v>3.9563369684254899</v>
      </c>
      <c r="E261">
        <v>1325.37288442254</v>
      </c>
      <c r="F261">
        <v>0.97915804522026995</v>
      </c>
      <c r="G261">
        <v>0.99025619803619103</v>
      </c>
      <c r="H261" t="str">
        <f t="shared" si="4"/>
        <v>Q2</v>
      </c>
    </row>
    <row r="262" spans="1:8">
      <c r="A262">
        <v>688873</v>
      </c>
      <c r="B262" t="s">
        <v>2000</v>
      </c>
      <c r="C262">
        <v>529</v>
      </c>
      <c r="D262">
        <v>2.5022908070763799</v>
      </c>
      <c r="E262">
        <v>1323.7118369433999</v>
      </c>
      <c r="F262">
        <v>0.99006809375117599</v>
      </c>
      <c r="G262">
        <v>0.99021857717918804</v>
      </c>
      <c r="H262" t="str">
        <f t="shared" si="4"/>
        <v>Q2</v>
      </c>
    </row>
    <row r="263" spans="1:8">
      <c r="A263">
        <v>637566</v>
      </c>
      <c r="B263" t="s">
        <v>4974</v>
      </c>
      <c r="C263">
        <v>279</v>
      </c>
      <c r="D263">
        <v>4.7308426704190998</v>
      </c>
      <c r="E263">
        <v>1319.90510504693</v>
      </c>
      <c r="F263">
        <v>0.97313870809977099</v>
      </c>
      <c r="G263">
        <v>0.99018095632218495</v>
      </c>
      <c r="H263" t="str">
        <f t="shared" si="4"/>
        <v>Q2</v>
      </c>
    </row>
    <row r="264" spans="1:8">
      <c r="A264">
        <v>698718</v>
      </c>
      <c r="B264" t="s">
        <v>3756</v>
      </c>
      <c r="C264">
        <v>404</v>
      </c>
      <c r="D264">
        <v>3.2653338852163301</v>
      </c>
      <c r="E264">
        <v>1319.1948896274</v>
      </c>
      <c r="F264">
        <v>0.98397351491666996</v>
      </c>
      <c r="G264">
        <v>0.99014333546518196</v>
      </c>
      <c r="H264" t="str">
        <f t="shared" si="4"/>
        <v>Q2</v>
      </c>
    </row>
    <row r="265" spans="1:8">
      <c r="A265">
        <v>740564</v>
      </c>
      <c r="B265" t="s">
        <v>680</v>
      </c>
      <c r="C265">
        <v>423</v>
      </c>
      <c r="D265">
        <v>3.11509390112814</v>
      </c>
      <c r="E265">
        <v>1317.6847201772</v>
      </c>
      <c r="F265">
        <v>0.98525262405477598</v>
      </c>
      <c r="G265">
        <v>0.99010571460817898</v>
      </c>
      <c r="H265" t="str">
        <f t="shared" si="4"/>
        <v>Q2</v>
      </c>
    </row>
    <row r="266" spans="1:8">
      <c r="A266">
        <v>642437</v>
      </c>
      <c r="B266" t="s">
        <v>1690</v>
      </c>
      <c r="C266">
        <v>421</v>
      </c>
      <c r="D266">
        <v>3.1203791833175201</v>
      </c>
      <c r="E266">
        <v>1313.6796361766801</v>
      </c>
      <c r="F266">
        <v>0.98510214062676305</v>
      </c>
      <c r="G266">
        <v>0.99006809375117599</v>
      </c>
      <c r="H266" t="str">
        <f t="shared" si="4"/>
        <v>Q2</v>
      </c>
    </row>
    <row r="267" spans="1:8">
      <c r="A267">
        <v>469137</v>
      </c>
      <c r="B267" t="s">
        <v>2407</v>
      </c>
      <c r="C267">
        <v>585</v>
      </c>
      <c r="D267">
        <v>2.2433782232781998</v>
      </c>
      <c r="E267">
        <v>1312.3762606177499</v>
      </c>
      <c r="F267">
        <v>0.99168579060230999</v>
      </c>
      <c r="G267">
        <v>0.99003047289417301</v>
      </c>
      <c r="H267" t="str">
        <f t="shared" si="4"/>
        <v>Q2</v>
      </c>
    </row>
    <row r="268" spans="1:8">
      <c r="A268">
        <v>811235</v>
      </c>
      <c r="B268" t="s">
        <v>5193</v>
      </c>
      <c r="C268">
        <v>410</v>
      </c>
      <c r="D268">
        <v>3.19937159966041</v>
      </c>
      <c r="E268">
        <v>1311.74235586077</v>
      </c>
      <c r="F268">
        <v>0.98442496520070699</v>
      </c>
      <c r="G268">
        <v>0.98999285203716902</v>
      </c>
      <c r="H268" t="str">
        <f t="shared" si="4"/>
        <v>Q2</v>
      </c>
    </row>
    <row r="269" spans="1:8">
      <c r="A269">
        <v>713199</v>
      </c>
      <c r="B269" t="s">
        <v>5158</v>
      </c>
      <c r="C269">
        <v>438</v>
      </c>
      <c r="D269">
        <v>2.9922722126506098</v>
      </c>
      <c r="E269">
        <v>1310.6152291409701</v>
      </c>
      <c r="F269">
        <v>0.98604266205184199</v>
      </c>
      <c r="G269">
        <v>0.98995523118016604</v>
      </c>
      <c r="H269" t="str">
        <f t="shared" si="4"/>
        <v>Q2</v>
      </c>
    </row>
    <row r="270" spans="1:8">
      <c r="A270">
        <v>565379</v>
      </c>
      <c r="B270" t="s">
        <v>3282</v>
      </c>
      <c r="C270">
        <v>1644</v>
      </c>
      <c r="D270">
        <v>0.79719782171039</v>
      </c>
      <c r="E270">
        <v>1310.59321889188</v>
      </c>
      <c r="F270">
        <v>0.99924758285993798</v>
      </c>
      <c r="G270">
        <v>0.98991761032316306</v>
      </c>
      <c r="H270" t="str">
        <f t="shared" si="4"/>
        <v>Q2</v>
      </c>
    </row>
    <row r="271" spans="1:8">
      <c r="A271">
        <v>820563</v>
      </c>
      <c r="B271" t="s">
        <v>2207</v>
      </c>
      <c r="C271">
        <v>456</v>
      </c>
      <c r="D271">
        <v>2.8720858955159501</v>
      </c>
      <c r="E271">
        <v>1309.6711683552701</v>
      </c>
      <c r="F271">
        <v>0.98690794176291297</v>
      </c>
      <c r="G271">
        <v>0.98987998946615996</v>
      </c>
      <c r="H271" t="str">
        <f t="shared" si="4"/>
        <v>Q2</v>
      </c>
    </row>
    <row r="272" spans="1:8">
      <c r="A272">
        <v>715303</v>
      </c>
      <c r="B272" t="s">
        <v>2671</v>
      </c>
      <c r="C272">
        <v>463</v>
      </c>
      <c r="D272">
        <v>2.8020207115426898</v>
      </c>
      <c r="E272">
        <v>1297.33558944426</v>
      </c>
      <c r="F272">
        <v>0.98720890861893795</v>
      </c>
      <c r="G272">
        <v>0.98984236860915698</v>
      </c>
      <c r="H272" t="str">
        <f t="shared" si="4"/>
        <v>Q2</v>
      </c>
    </row>
    <row r="273" spans="1:8">
      <c r="A273">
        <v>448515</v>
      </c>
      <c r="B273" t="s">
        <v>2524</v>
      </c>
      <c r="C273">
        <v>474</v>
      </c>
      <c r="D273">
        <v>2.7313701969567501</v>
      </c>
      <c r="E273">
        <v>1294.6694733575</v>
      </c>
      <c r="F273">
        <v>0.98754749633196603</v>
      </c>
      <c r="G273">
        <v>0.98980474775215399</v>
      </c>
      <c r="H273" t="str">
        <f t="shared" si="4"/>
        <v>Q2</v>
      </c>
    </row>
    <row r="274" spans="1:8">
      <c r="A274">
        <v>708432</v>
      </c>
      <c r="B274" t="s">
        <v>933</v>
      </c>
      <c r="C274">
        <v>555</v>
      </c>
      <c r="D274">
        <v>2.3302855366119402</v>
      </c>
      <c r="E274">
        <v>1293.30847281963</v>
      </c>
      <c r="F274">
        <v>0.99097099431925095</v>
      </c>
      <c r="G274">
        <v>0.98976712689515101</v>
      </c>
      <c r="H274" t="str">
        <f t="shared" si="4"/>
        <v>Q2</v>
      </c>
    </row>
    <row r="275" spans="1:8">
      <c r="A275">
        <v>618287</v>
      </c>
      <c r="B275" t="s">
        <v>2986</v>
      </c>
      <c r="C275">
        <v>267</v>
      </c>
      <c r="D275">
        <v>4.8306862987605799</v>
      </c>
      <c r="E275">
        <v>1289.7932417690799</v>
      </c>
      <c r="F275">
        <v>0.97133290696362096</v>
      </c>
      <c r="G275">
        <v>0.98972950603814802</v>
      </c>
      <c r="H275" t="str">
        <f t="shared" si="4"/>
        <v>Q2</v>
      </c>
    </row>
    <row r="276" spans="1:8">
      <c r="A276">
        <v>743616</v>
      </c>
      <c r="B276" t="s">
        <v>4361</v>
      </c>
      <c r="C276">
        <v>161</v>
      </c>
      <c r="D276">
        <v>8.0087377880670996</v>
      </c>
      <c r="E276">
        <v>1289.4067838788001</v>
      </c>
      <c r="F276">
        <v>0.94680410819758498</v>
      </c>
      <c r="G276">
        <v>0.98969188518114404</v>
      </c>
      <c r="H276" t="str">
        <f t="shared" si="4"/>
        <v>Q3</v>
      </c>
    </row>
    <row r="277" spans="1:8">
      <c r="A277">
        <v>708478</v>
      </c>
      <c r="B277" t="s">
        <v>509</v>
      </c>
      <c r="C277">
        <v>561</v>
      </c>
      <c r="D277">
        <v>2.2938427140142701</v>
      </c>
      <c r="E277">
        <v>1286.8457625620099</v>
      </c>
      <c r="F277">
        <v>0.99115909860426599</v>
      </c>
      <c r="G277">
        <v>0.98965426432414105</v>
      </c>
      <c r="H277" t="str">
        <f t="shared" si="4"/>
        <v>Q2</v>
      </c>
    </row>
    <row r="278" spans="1:8">
      <c r="A278">
        <v>547780</v>
      </c>
      <c r="B278" t="s">
        <v>483</v>
      </c>
      <c r="C278">
        <v>533</v>
      </c>
      <c r="D278">
        <v>2.4140776585399601</v>
      </c>
      <c r="E278">
        <v>1286.7033920018</v>
      </c>
      <c r="F278">
        <v>0.99021857717918804</v>
      </c>
      <c r="G278">
        <v>0.98961664346713796</v>
      </c>
      <c r="H278" t="str">
        <f t="shared" si="4"/>
        <v>Q2</v>
      </c>
    </row>
    <row r="279" spans="1:8">
      <c r="A279">
        <v>188183</v>
      </c>
      <c r="B279" t="s">
        <v>4582</v>
      </c>
      <c r="C279">
        <v>261</v>
      </c>
      <c r="D279">
        <v>4.9233262751865201</v>
      </c>
      <c r="E279">
        <v>1284.98815782368</v>
      </c>
      <c r="F279">
        <v>0.97054286896655495</v>
      </c>
      <c r="G279">
        <v>0.98957902261013497</v>
      </c>
      <c r="H279" t="str">
        <f t="shared" si="4"/>
        <v>Q1</v>
      </c>
    </row>
    <row r="280" spans="1:8">
      <c r="A280">
        <v>811198</v>
      </c>
      <c r="B280" t="s">
        <v>3731</v>
      </c>
      <c r="C280">
        <v>413</v>
      </c>
      <c r="D280">
        <v>3.0995362215014701</v>
      </c>
      <c r="E280">
        <v>1280.10845948011</v>
      </c>
      <c r="F280">
        <v>0.98453782777171694</v>
      </c>
      <c r="G280">
        <v>0.98954140175313199</v>
      </c>
      <c r="H280" t="str">
        <f t="shared" si="4"/>
        <v>Q2</v>
      </c>
    </row>
    <row r="281" spans="1:8">
      <c r="A281">
        <v>582480</v>
      </c>
      <c r="B281" t="s">
        <v>283</v>
      </c>
      <c r="C281">
        <v>499</v>
      </c>
      <c r="D281">
        <v>2.5638225482765602</v>
      </c>
      <c r="E281">
        <v>1279.34745159</v>
      </c>
      <c r="F281">
        <v>0.98863850118505703</v>
      </c>
      <c r="G281">
        <v>0.989503780896129</v>
      </c>
      <c r="H281" t="str">
        <f t="shared" si="4"/>
        <v>Q2</v>
      </c>
    </row>
    <row r="282" spans="1:8">
      <c r="A282">
        <v>684341</v>
      </c>
      <c r="B282" t="s">
        <v>2847</v>
      </c>
      <c r="C282">
        <v>736</v>
      </c>
      <c r="D282">
        <v>1.728818099408</v>
      </c>
      <c r="E282">
        <v>1272.4101211642801</v>
      </c>
      <c r="F282">
        <v>0.99480832173356903</v>
      </c>
      <c r="G282">
        <v>0.98946616003912602</v>
      </c>
      <c r="H282" t="str">
        <f t="shared" si="4"/>
        <v>Q2</v>
      </c>
    </row>
    <row r="283" spans="1:8">
      <c r="A283">
        <v>716348</v>
      </c>
      <c r="B283" t="s">
        <v>3046</v>
      </c>
      <c r="C283">
        <v>533</v>
      </c>
      <c r="D283">
        <v>2.3850605816110302</v>
      </c>
      <c r="E283">
        <v>1271.2372899986799</v>
      </c>
      <c r="F283">
        <v>0.99021857717918804</v>
      </c>
      <c r="G283">
        <v>0.98942853918212303</v>
      </c>
      <c r="H283" t="str">
        <f t="shared" si="4"/>
        <v>Q2</v>
      </c>
    </row>
    <row r="284" spans="1:8">
      <c r="A284">
        <v>739953</v>
      </c>
      <c r="B284" t="s">
        <v>2695</v>
      </c>
      <c r="C284">
        <v>450</v>
      </c>
      <c r="D284">
        <v>2.8157588880923101</v>
      </c>
      <c r="E284">
        <v>1267.0914996415399</v>
      </c>
      <c r="F284">
        <v>0.98668221662089495</v>
      </c>
      <c r="G284">
        <v>0.98939091832511905</v>
      </c>
      <c r="H284" t="str">
        <f t="shared" si="4"/>
        <v>Q2</v>
      </c>
    </row>
    <row r="285" spans="1:8">
      <c r="A285">
        <v>708459</v>
      </c>
      <c r="B285" t="s">
        <v>1841</v>
      </c>
      <c r="C285">
        <v>827</v>
      </c>
      <c r="D285">
        <v>1.5317831883272299</v>
      </c>
      <c r="E285">
        <v>1266.7846967466201</v>
      </c>
      <c r="F285">
        <v>0.995974568300666</v>
      </c>
      <c r="G285">
        <v>0.98935329746811596</v>
      </c>
      <c r="H285" t="str">
        <f t="shared" si="4"/>
        <v>Q2</v>
      </c>
    </row>
    <row r="286" spans="1:8">
      <c r="A286">
        <v>705734</v>
      </c>
      <c r="B286" t="s">
        <v>3311</v>
      </c>
      <c r="C286">
        <v>444</v>
      </c>
      <c r="D286">
        <v>2.8477400521378602</v>
      </c>
      <c r="E286">
        <v>1264.3965831492101</v>
      </c>
      <c r="F286">
        <v>0.98645649147887604</v>
      </c>
      <c r="G286">
        <v>0.98931567661111297</v>
      </c>
      <c r="H286" t="str">
        <f t="shared" si="4"/>
        <v>Q2</v>
      </c>
    </row>
    <row r="287" spans="1:8">
      <c r="A287">
        <v>721268</v>
      </c>
      <c r="B287" t="s">
        <v>2451</v>
      </c>
      <c r="C287">
        <v>210</v>
      </c>
      <c r="D287">
        <v>6.0069006654833004</v>
      </c>
      <c r="E287">
        <v>1261.4491397514901</v>
      </c>
      <c r="F287">
        <v>0.96151386328580601</v>
      </c>
      <c r="G287">
        <v>0.98927805575410999</v>
      </c>
      <c r="H287" t="str">
        <f t="shared" si="4"/>
        <v>Q1</v>
      </c>
    </row>
    <row r="288" spans="1:8">
      <c r="A288">
        <v>733098</v>
      </c>
      <c r="B288" t="s">
        <v>3248</v>
      </c>
      <c r="C288">
        <v>784</v>
      </c>
      <c r="D288">
        <v>1.60724008040104</v>
      </c>
      <c r="E288">
        <v>1260.0762230344101</v>
      </c>
      <c r="F288">
        <v>0.99533501373161304</v>
      </c>
      <c r="G288">
        <v>0.989240434897107</v>
      </c>
      <c r="H288" t="str">
        <f t="shared" si="4"/>
        <v>Q2</v>
      </c>
    </row>
    <row r="289" spans="1:8">
      <c r="A289">
        <v>777038</v>
      </c>
      <c r="B289" t="s">
        <v>658</v>
      </c>
      <c r="C289">
        <v>198</v>
      </c>
      <c r="D289">
        <v>6.3514637243416603</v>
      </c>
      <c r="E289">
        <v>1257.58981741965</v>
      </c>
      <c r="F289">
        <v>0.95846657386855305</v>
      </c>
      <c r="G289">
        <v>0.98920281404010402</v>
      </c>
      <c r="H289" t="str">
        <f t="shared" si="4"/>
        <v>Q1</v>
      </c>
    </row>
    <row r="290" spans="1:8">
      <c r="A290">
        <v>764155</v>
      </c>
      <c r="B290" t="s">
        <v>2289</v>
      </c>
      <c r="C290">
        <v>195</v>
      </c>
      <c r="D290">
        <v>6.4223380616077996</v>
      </c>
      <c r="E290">
        <v>1252.3559220135201</v>
      </c>
      <c r="F290">
        <v>0.95767653587148704</v>
      </c>
      <c r="G290">
        <v>0.98916519318310103</v>
      </c>
      <c r="H290" t="str">
        <f t="shared" si="4"/>
        <v>Q1</v>
      </c>
    </row>
    <row r="291" spans="1:8">
      <c r="A291">
        <v>788632</v>
      </c>
      <c r="B291" t="s">
        <v>1396</v>
      </c>
      <c r="C291">
        <v>409</v>
      </c>
      <c r="D291">
        <v>3.0583440169036198</v>
      </c>
      <c r="E291">
        <v>1250.8627029135801</v>
      </c>
      <c r="F291">
        <v>0.98431210262969804</v>
      </c>
      <c r="G291">
        <v>0.98912757232609805</v>
      </c>
      <c r="H291" t="str">
        <f t="shared" si="4"/>
        <v>Q2</v>
      </c>
    </row>
    <row r="292" spans="1:8">
      <c r="A292">
        <v>652730</v>
      </c>
      <c r="B292" t="s">
        <v>2499</v>
      </c>
      <c r="C292">
        <v>261</v>
      </c>
      <c r="D292">
        <v>4.7918372102424298</v>
      </c>
      <c r="E292">
        <v>1250.66951187328</v>
      </c>
      <c r="F292">
        <v>0.97054286896655495</v>
      </c>
      <c r="G292">
        <v>0.98908995146909495</v>
      </c>
      <c r="H292" t="str">
        <f t="shared" si="4"/>
        <v>Q2</v>
      </c>
    </row>
    <row r="293" spans="1:8">
      <c r="A293">
        <v>680264</v>
      </c>
      <c r="B293" t="s">
        <v>1775</v>
      </c>
      <c r="C293">
        <v>270</v>
      </c>
      <c r="D293">
        <v>4.6217577718198299</v>
      </c>
      <c r="E293">
        <v>1247.87459839135</v>
      </c>
      <c r="F293">
        <v>0.97170911553365202</v>
      </c>
      <c r="G293">
        <v>0.98905233061209097</v>
      </c>
      <c r="H293" t="str">
        <f t="shared" si="4"/>
        <v>Q2</v>
      </c>
    </row>
    <row r="294" spans="1:8">
      <c r="A294">
        <v>547367</v>
      </c>
      <c r="B294" t="s">
        <v>1737</v>
      </c>
      <c r="C294">
        <v>790</v>
      </c>
      <c r="D294">
        <v>1.5731130037574601</v>
      </c>
      <c r="E294">
        <v>1242.7592729684</v>
      </c>
      <c r="F294">
        <v>0.99548549715962498</v>
      </c>
      <c r="G294">
        <v>0.98901470975508798</v>
      </c>
      <c r="H294" t="str">
        <f t="shared" si="4"/>
        <v>Q2</v>
      </c>
    </row>
    <row r="295" spans="1:8">
      <c r="A295">
        <v>722169</v>
      </c>
      <c r="B295" t="s">
        <v>1994</v>
      </c>
      <c r="C295">
        <v>154</v>
      </c>
      <c r="D295">
        <v>8.0588047840185002</v>
      </c>
      <c r="E295">
        <v>1241.0559367388501</v>
      </c>
      <c r="F295">
        <v>0.94424588992137204</v>
      </c>
      <c r="G295">
        <v>0.988977088898085</v>
      </c>
      <c r="H295" t="str">
        <f t="shared" si="4"/>
        <v>Q3</v>
      </c>
    </row>
    <row r="296" spans="1:8">
      <c r="A296">
        <v>689389</v>
      </c>
      <c r="B296" t="s">
        <v>1297</v>
      </c>
      <c r="C296">
        <v>531</v>
      </c>
      <c r="D296">
        <v>2.3358070834411802</v>
      </c>
      <c r="E296">
        <v>1240.31356130727</v>
      </c>
      <c r="F296">
        <v>0.99014333546518196</v>
      </c>
      <c r="G296">
        <v>0.98893946804108201</v>
      </c>
      <c r="H296" t="str">
        <f t="shared" si="4"/>
        <v>Q2</v>
      </c>
    </row>
    <row r="297" spans="1:8">
      <c r="A297">
        <v>662888</v>
      </c>
      <c r="B297" t="s">
        <v>3259</v>
      </c>
      <c r="C297">
        <v>397</v>
      </c>
      <c r="D297">
        <v>3.1176321935706199</v>
      </c>
      <c r="E297">
        <v>1237.69998084754</v>
      </c>
      <c r="F297">
        <v>0.98344682291862595</v>
      </c>
      <c r="G297">
        <v>0.98890184718407903</v>
      </c>
      <c r="H297" t="str">
        <f t="shared" si="4"/>
        <v>Q2</v>
      </c>
    </row>
    <row r="298" spans="1:8">
      <c r="A298">
        <v>542464</v>
      </c>
      <c r="B298" t="s">
        <v>758</v>
      </c>
      <c r="C298">
        <v>520</v>
      </c>
      <c r="D298">
        <v>2.3801401598701402</v>
      </c>
      <c r="E298">
        <v>1237.6728831324699</v>
      </c>
      <c r="F298">
        <v>0.98946616003912602</v>
      </c>
      <c r="G298">
        <v>0.98886422632707605</v>
      </c>
      <c r="H298" t="str">
        <f t="shared" si="4"/>
        <v>Q2</v>
      </c>
    </row>
    <row r="299" spans="1:8">
      <c r="A299">
        <v>646676</v>
      </c>
      <c r="B299" t="s">
        <v>832</v>
      </c>
      <c r="C299">
        <v>185</v>
      </c>
      <c r="D299">
        <v>6.6862666747860002</v>
      </c>
      <c r="E299">
        <v>1236.9593348354099</v>
      </c>
      <c r="F299">
        <v>0.95515593845227797</v>
      </c>
      <c r="G299">
        <v>0.98882660547007295</v>
      </c>
      <c r="H299" t="str">
        <f t="shared" si="4"/>
        <v>Q1</v>
      </c>
    </row>
    <row r="300" spans="1:8">
      <c r="A300">
        <v>792695</v>
      </c>
      <c r="B300" t="s">
        <v>5070</v>
      </c>
      <c r="C300">
        <v>311</v>
      </c>
      <c r="D300">
        <v>3.9637419014833699</v>
      </c>
      <c r="E300">
        <v>1232.72373136133</v>
      </c>
      <c r="F300">
        <v>0.97705127722809504</v>
      </c>
      <c r="G300">
        <v>0.98878898461306997</v>
      </c>
      <c r="H300" t="str">
        <f t="shared" si="4"/>
        <v>Q2</v>
      </c>
    </row>
    <row r="301" spans="1:8">
      <c r="A301">
        <v>712846</v>
      </c>
      <c r="B301" t="s">
        <v>674</v>
      </c>
      <c r="C301">
        <v>253</v>
      </c>
      <c r="D301">
        <v>4.8704495914869401</v>
      </c>
      <c r="E301">
        <v>1232.2237466462</v>
      </c>
      <c r="F301">
        <v>0.96945186411346496</v>
      </c>
      <c r="G301">
        <v>0.98875136375606598</v>
      </c>
      <c r="H301" t="str">
        <f t="shared" si="4"/>
        <v>Q2</v>
      </c>
    </row>
    <row r="302" spans="1:8">
      <c r="A302">
        <v>788107</v>
      </c>
      <c r="B302" t="s">
        <v>4750</v>
      </c>
      <c r="C302">
        <v>215</v>
      </c>
      <c r="D302">
        <v>5.7310052683880199</v>
      </c>
      <c r="E302">
        <v>1232.1661327034201</v>
      </c>
      <c r="F302">
        <v>0.96275535156690895</v>
      </c>
      <c r="G302">
        <v>0.988713742899063</v>
      </c>
      <c r="H302" t="str">
        <f t="shared" si="4"/>
        <v>Q1</v>
      </c>
    </row>
    <row r="303" spans="1:8">
      <c r="A303">
        <v>730863</v>
      </c>
      <c r="B303" t="s">
        <v>4450</v>
      </c>
      <c r="C303">
        <v>253</v>
      </c>
      <c r="D303">
        <v>4.8679708727734798</v>
      </c>
      <c r="E303">
        <v>1231.5966308116899</v>
      </c>
      <c r="F303">
        <v>0.96945186411346496</v>
      </c>
      <c r="G303">
        <v>0.98867612204206001</v>
      </c>
      <c r="H303" t="str">
        <f t="shared" si="4"/>
        <v>Q2</v>
      </c>
    </row>
    <row r="304" spans="1:8">
      <c r="A304">
        <v>751399</v>
      </c>
      <c r="B304" t="s">
        <v>3123</v>
      </c>
      <c r="C304">
        <v>193</v>
      </c>
      <c r="D304">
        <v>6.3753665999118496</v>
      </c>
      <c r="E304">
        <v>1230.4457537829901</v>
      </c>
      <c r="F304">
        <v>0.95726270644445299</v>
      </c>
      <c r="G304">
        <v>0.98863850118505703</v>
      </c>
      <c r="H304" t="str">
        <f t="shared" si="4"/>
        <v>Q1</v>
      </c>
    </row>
    <row r="305" spans="1:8">
      <c r="A305">
        <v>253448</v>
      </c>
      <c r="B305" t="s">
        <v>3565</v>
      </c>
      <c r="C305">
        <v>524</v>
      </c>
      <c r="D305">
        <v>2.3439675300268301</v>
      </c>
      <c r="E305">
        <v>1228.23898573406</v>
      </c>
      <c r="F305">
        <v>0.98980474775215399</v>
      </c>
      <c r="G305">
        <v>0.98860088032805404</v>
      </c>
      <c r="H305" t="str">
        <f t="shared" si="4"/>
        <v>Q2</v>
      </c>
    </row>
    <row r="306" spans="1:8">
      <c r="A306">
        <v>806261</v>
      </c>
      <c r="B306" t="s">
        <v>2965</v>
      </c>
      <c r="C306">
        <v>316</v>
      </c>
      <c r="D306">
        <v>3.8704838149862599</v>
      </c>
      <c r="E306">
        <v>1223.0728855356599</v>
      </c>
      <c r="F306">
        <v>0.97765321094014501</v>
      </c>
      <c r="G306">
        <v>0.98856325947105095</v>
      </c>
      <c r="H306" t="str">
        <f t="shared" si="4"/>
        <v>Q2</v>
      </c>
    </row>
    <row r="307" spans="1:8">
      <c r="A307">
        <v>729860</v>
      </c>
      <c r="B307" t="s">
        <v>4502</v>
      </c>
      <c r="C307">
        <v>259</v>
      </c>
      <c r="D307">
        <v>4.7200184049350904</v>
      </c>
      <c r="E307">
        <v>1222.4847668781899</v>
      </c>
      <c r="F307">
        <v>0.97027952296753295</v>
      </c>
      <c r="G307">
        <v>0.98852563861404796</v>
      </c>
      <c r="H307" t="str">
        <f t="shared" si="4"/>
        <v>Q2</v>
      </c>
    </row>
    <row r="308" spans="1:8">
      <c r="A308">
        <v>714927</v>
      </c>
      <c r="B308" t="s">
        <v>4358</v>
      </c>
      <c r="C308">
        <v>176</v>
      </c>
      <c r="D308">
        <v>6.94165065757592</v>
      </c>
      <c r="E308">
        <v>1221.7305157333601</v>
      </c>
      <c r="F308">
        <v>0.95199578646401595</v>
      </c>
      <c r="G308">
        <v>0.98848801775704498</v>
      </c>
      <c r="H308" t="str">
        <f t="shared" si="4"/>
        <v>Q1</v>
      </c>
    </row>
    <row r="309" spans="1:8">
      <c r="A309">
        <v>775624</v>
      </c>
      <c r="B309" t="s">
        <v>1592</v>
      </c>
      <c r="C309">
        <v>186</v>
      </c>
      <c r="D309">
        <v>6.5382722084240203</v>
      </c>
      <c r="E309">
        <v>1216.11863076687</v>
      </c>
      <c r="F309">
        <v>0.95541928445129998</v>
      </c>
      <c r="G309">
        <v>0.988450396900041</v>
      </c>
      <c r="H309" t="str">
        <f t="shared" si="4"/>
        <v>Q1</v>
      </c>
    </row>
    <row r="310" spans="1:8">
      <c r="A310">
        <v>678687</v>
      </c>
      <c r="B310" t="s">
        <v>2481</v>
      </c>
      <c r="C310">
        <v>652</v>
      </c>
      <c r="D310">
        <v>1.8640999552262401</v>
      </c>
      <c r="E310">
        <v>1215.3931708075099</v>
      </c>
      <c r="F310">
        <v>0.99349159173846002</v>
      </c>
      <c r="G310">
        <v>0.98841277604303801</v>
      </c>
      <c r="H310" t="str">
        <f t="shared" si="4"/>
        <v>Q2</v>
      </c>
    </row>
    <row r="311" spans="1:8">
      <c r="A311">
        <v>400285</v>
      </c>
      <c r="B311" t="s">
        <v>4692</v>
      </c>
      <c r="C311">
        <v>261</v>
      </c>
      <c r="D311">
        <v>4.6557113635300196</v>
      </c>
      <c r="E311">
        <v>1215.1406658813401</v>
      </c>
      <c r="F311">
        <v>0.97054286896655495</v>
      </c>
      <c r="G311">
        <v>0.98837515518603503</v>
      </c>
      <c r="H311" t="str">
        <f t="shared" si="4"/>
        <v>Q2</v>
      </c>
    </row>
    <row r="312" spans="1:8">
      <c r="A312">
        <v>615141</v>
      </c>
      <c r="B312" t="s">
        <v>2408</v>
      </c>
      <c r="C312">
        <v>691</v>
      </c>
      <c r="D312">
        <v>1.7565454103661799</v>
      </c>
      <c r="E312">
        <v>1213.77287856303</v>
      </c>
      <c r="F312">
        <v>0.99416876716451597</v>
      </c>
      <c r="G312">
        <v>0.98833753432903204</v>
      </c>
      <c r="H312" t="str">
        <f t="shared" si="4"/>
        <v>Q2</v>
      </c>
    </row>
    <row r="313" spans="1:8">
      <c r="A313">
        <v>710708</v>
      </c>
      <c r="B313" t="s">
        <v>1808</v>
      </c>
      <c r="C313">
        <v>420</v>
      </c>
      <c r="D313">
        <v>2.8834624141676399</v>
      </c>
      <c r="E313">
        <v>1211.05421395041</v>
      </c>
      <c r="F313">
        <v>0.984951657198751</v>
      </c>
      <c r="G313">
        <v>0.98829991347202895</v>
      </c>
      <c r="H313" t="str">
        <f t="shared" si="4"/>
        <v>Q2</v>
      </c>
    </row>
    <row r="314" spans="1:8">
      <c r="A314">
        <v>812683</v>
      </c>
      <c r="B314" t="s">
        <v>3476</v>
      </c>
      <c r="C314">
        <v>287</v>
      </c>
      <c r="D314">
        <v>4.2188626224051804</v>
      </c>
      <c r="E314">
        <v>1210.8135726302901</v>
      </c>
      <c r="F314">
        <v>0.974192092095858</v>
      </c>
      <c r="G314">
        <v>0.98826229261502596</v>
      </c>
      <c r="H314" t="str">
        <f t="shared" si="4"/>
        <v>Q2</v>
      </c>
    </row>
    <row r="315" spans="1:8">
      <c r="A315">
        <v>612935</v>
      </c>
      <c r="B315" t="s">
        <v>2488</v>
      </c>
      <c r="C315">
        <v>384</v>
      </c>
      <c r="D315">
        <v>3.1454095517498599</v>
      </c>
      <c r="E315">
        <v>1207.83726787195</v>
      </c>
      <c r="F315">
        <v>0.98265678492155994</v>
      </c>
      <c r="G315">
        <v>0.98822467175802298</v>
      </c>
      <c r="H315" t="str">
        <f t="shared" si="4"/>
        <v>Q2</v>
      </c>
    </row>
    <row r="316" spans="1:8">
      <c r="A316">
        <v>763323</v>
      </c>
      <c r="B316" t="s">
        <v>4702</v>
      </c>
      <c r="C316">
        <v>62</v>
      </c>
      <c r="D316">
        <v>19.4735921919346</v>
      </c>
      <c r="E316">
        <v>1207.36271589994</v>
      </c>
      <c r="F316">
        <v>0.86238290508257798</v>
      </c>
      <c r="G316">
        <v>0.98818705090101999</v>
      </c>
      <c r="H316" t="str">
        <f t="shared" si="4"/>
        <v>Q3</v>
      </c>
    </row>
    <row r="317" spans="1:8">
      <c r="A317">
        <v>681176</v>
      </c>
      <c r="B317" t="s">
        <v>4938</v>
      </c>
      <c r="C317">
        <v>505</v>
      </c>
      <c r="D317">
        <v>2.3905722470492998</v>
      </c>
      <c r="E317">
        <v>1207.2389847598999</v>
      </c>
      <c r="F317">
        <v>0.98893946804108201</v>
      </c>
      <c r="G317">
        <v>0.98814943004401601</v>
      </c>
      <c r="H317" t="str">
        <f t="shared" si="4"/>
        <v>Q2</v>
      </c>
    </row>
    <row r="318" spans="1:8">
      <c r="A318">
        <v>731407</v>
      </c>
      <c r="B318" t="s">
        <v>2940</v>
      </c>
      <c r="C318">
        <v>757</v>
      </c>
      <c r="D318">
        <v>1.59243215539811</v>
      </c>
      <c r="E318">
        <v>1205.47114163637</v>
      </c>
      <c r="F318">
        <v>0.99507166773259104</v>
      </c>
      <c r="G318">
        <v>0.98811180918701302</v>
      </c>
      <c r="H318" t="str">
        <f t="shared" si="4"/>
        <v>Q2</v>
      </c>
    </row>
    <row r="319" spans="1:8">
      <c r="A319">
        <v>559616</v>
      </c>
      <c r="B319" t="s">
        <v>4899</v>
      </c>
      <c r="C319">
        <v>558</v>
      </c>
      <c r="D319">
        <v>2.15738715364441</v>
      </c>
      <c r="E319">
        <v>1203.8220317335799</v>
      </c>
      <c r="F319">
        <v>0.99108385689026002</v>
      </c>
      <c r="G319">
        <v>0.98807418833001004</v>
      </c>
      <c r="H319" t="str">
        <f t="shared" si="4"/>
        <v>Q2</v>
      </c>
    </row>
    <row r="320" spans="1:8">
      <c r="A320">
        <v>718189</v>
      </c>
      <c r="B320" t="s">
        <v>1734</v>
      </c>
      <c r="C320">
        <v>155</v>
      </c>
      <c r="D320">
        <v>7.7588847087275603</v>
      </c>
      <c r="E320">
        <v>1202.6271298527699</v>
      </c>
      <c r="F320">
        <v>0.94454685677739703</v>
      </c>
      <c r="G320">
        <v>0.98803656747300705</v>
      </c>
      <c r="H320" t="str">
        <f t="shared" si="4"/>
        <v>Q3</v>
      </c>
    </row>
    <row r="321" spans="1:8">
      <c r="A321">
        <v>675319</v>
      </c>
      <c r="B321" t="s">
        <v>723</v>
      </c>
      <c r="C321">
        <v>267</v>
      </c>
      <c r="D321">
        <v>4.4916524673892297</v>
      </c>
      <c r="E321">
        <v>1199.2712087929201</v>
      </c>
      <c r="F321">
        <v>0.97133290696362096</v>
      </c>
      <c r="G321">
        <v>0.98799894661600396</v>
      </c>
      <c r="H321" t="str">
        <f t="shared" si="4"/>
        <v>Q2</v>
      </c>
    </row>
    <row r="322" spans="1:8">
      <c r="A322">
        <v>782555</v>
      </c>
      <c r="B322" t="s">
        <v>3880</v>
      </c>
      <c r="C322">
        <v>379</v>
      </c>
      <c r="D322">
        <v>3.1599749024652701</v>
      </c>
      <c r="E322">
        <v>1197.63048803434</v>
      </c>
      <c r="F322">
        <v>0.98246868063654502</v>
      </c>
      <c r="G322">
        <v>0.98796132575900097</v>
      </c>
      <c r="H322" t="str">
        <f t="shared" si="4"/>
        <v>Q2</v>
      </c>
    </row>
    <row r="323" spans="1:8">
      <c r="A323">
        <v>730687</v>
      </c>
      <c r="B323" t="s">
        <v>4713</v>
      </c>
      <c r="C323">
        <v>183</v>
      </c>
      <c r="D323">
        <v>6.5399925260107397</v>
      </c>
      <c r="E323">
        <v>1196.8186322599599</v>
      </c>
      <c r="F323">
        <v>0.95447876302622203</v>
      </c>
      <c r="G323">
        <v>0.98792370490199799</v>
      </c>
      <c r="H323" t="str">
        <f t="shared" ref="H323:H386" si="5">IF(C323&gt;$J$2,
   IF(D323&gt;$J$3,"Q1","Q2"),
   IF(D323&gt;$J$3,"Q3","Q4"))</f>
        <v>Q1</v>
      </c>
    </row>
    <row r="324" spans="1:8">
      <c r="A324">
        <v>718939</v>
      </c>
      <c r="B324" t="s">
        <v>4650</v>
      </c>
      <c r="C324">
        <v>385</v>
      </c>
      <c r="D324">
        <v>3.10390490687803</v>
      </c>
      <c r="E324">
        <v>1195.00338914804</v>
      </c>
      <c r="F324">
        <v>0.98273202663556702</v>
      </c>
      <c r="G324">
        <v>0.98788608404499501</v>
      </c>
      <c r="H324" t="str">
        <f t="shared" si="5"/>
        <v>Q2</v>
      </c>
    </row>
    <row r="325" spans="1:8">
      <c r="A325">
        <v>726938</v>
      </c>
      <c r="B325" t="s">
        <v>3097</v>
      </c>
      <c r="C325">
        <v>338</v>
      </c>
      <c r="D325">
        <v>3.5308243960318499</v>
      </c>
      <c r="E325">
        <v>1193.4186458587601</v>
      </c>
      <c r="F325">
        <v>0.97938377036228896</v>
      </c>
      <c r="G325">
        <v>0.98784846318799102</v>
      </c>
      <c r="H325" t="str">
        <f t="shared" si="5"/>
        <v>Q2</v>
      </c>
    </row>
    <row r="326" spans="1:8">
      <c r="A326">
        <v>524529</v>
      </c>
      <c r="B326" t="s">
        <v>3548</v>
      </c>
      <c r="C326">
        <v>732</v>
      </c>
      <c r="D326">
        <v>1.62873013629553</v>
      </c>
      <c r="E326">
        <v>1192.2304597683301</v>
      </c>
      <c r="F326">
        <v>0.99469545916255997</v>
      </c>
      <c r="G326">
        <v>0.98781084233098804</v>
      </c>
      <c r="H326" t="str">
        <f t="shared" si="5"/>
        <v>Q2</v>
      </c>
    </row>
    <row r="327" spans="1:8">
      <c r="A327">
        <v>487722</v>
      </c>
      <c r="B327" t="s">
        <v>948</v>
      </c>
      <c r="C327">
        <v>297</v>
      </c>
      <c r="D327">
        <v>4.01098557343387</v>
      </c>
      <c r="E327">
        <v>1191.2627153098599</v>
      </c>
      <c r="F327">
        <v>0.97562168466197696</v>
      </c>
      <c r="G327">
        <v>0.98777322147398505</v>
      </c>
      <c r="H327" t="str">
        <f t="shared" si="5"/>
        <v>Q2</v>
      </c>
    </row>
    <row r="328" spans="1:8">
      <c r="A328">
        <v>677999</v>
      </c>
      <c r="B328" t="s">
        <v>4464</v>
      </c>
      <c r="C328">
        <v>213</v>
      </c>
      <c r="D328">
        <v>5.5830746906603999</v>
      </c>
      <c r="E328">
        <v>1189.1949091106701</v>
      </c>
      <c r="F328">
        <v>0.96230390128287102</v>
      </c>
      <c r="G328">
        <v>0.98773560061698196</v>
      </c>
      <c r="H328" t="str">
        <f t="shared" si="5"/>
        <v>Q1</v>
      </c>
    </row>
    <row r="329" spans="1:8">
      <c r="A329">
        <v>624257</v>
      </c>
      <c r="B329" t="s">
        <v>141</v>
      </c>
      <c r="C329">
        <v>148</v>
      </c>
      <c r="D329">
        <v>8.0275538893466898</v>
      </c>
      <c r="E329">
        <v>1188.0779756233101</v>
      </c>
      <c r="F329">
        <v>0.94236484707121604</v>
      </c>
      <c r="G329">
        <v>0.98769797975997897</v>
      </c>
      <c r="H329" t="str">
        <f t="shared" si="5"/>
        <v>Q3</v>
      </c>
    </row>
    <row r="330" spans="1:8">
      <c r="A330">
        <v>825688</v>
      </c>
      <c r="B330" t="s">
        <v>1326</v>
      </c>
      <c r="C330">
        <v>272</v>
      </c>
      <c r="D330">
        <v>4.3670613688471596</v>
      </c>
      <c r="E330">
        <v>1187.8406923264299</v>
      </c>
      <c r="F330">
        <v>0.97212294496068596</v>
      </c>
      <c r="G330">
        <v>0.98766035890297599</v>
      </c>
      <c r="H330" t="str">
        <f t="shared" si="5"/>
        <v>Q2</v>
      </c>
    </row>
    <row r="331" spans="1:8">
      <c r="A331">
        <v>189616</v>
      </c>
      <c r="B331" t="s">
        <v>2074</v>
      </c>
      <c r="C331">
        <v>775</v>
      </c>
      <c r="D331">
        <v>1.52938211676214</v>
      </c>
      <c r="E331">
        <v>1185.2711404906599</v>
      </c>
      <c r="F331">
        <v>0.99525977201760696</v>
      </c>
      <c r="G331">
        <v>0.987622738045973</v>
      </c>
      <c r="H331" t="str">
        <f t="shared" si="5"/>
        <v>Q2</v>
      </c>
    </row>
    <row r="332" spans="1:8">
      <c r="A332">
        <v>736681</v>
      </c>
      <c r="B332" t="s">
        <v>736</v>
      </c>
      <c r="C332">
        <v>731</v>
      </c>
      <c r="D332">
        <v>1.61437309192934</v>
      </c>
      <c r="E332">
        <v>1180.1067302003501</v>
      </c>
      <c r="F332">
        <v>0.99465783830555698</v>
      </c>
      <c r="G332">
        <v>0.98758511718897002</v>
      </c>
      <c r="H332" t="str">
        <f t="shared" si="5"/>
        <v>Q2</v>
      </c>
    </row>
    <row r="333" spans="1:8">
      <c r="A333">
        <v>702118</v>
      </c>
      <c r="B333" t="s">
        <v>2144</v>
      </c>
      <c r="C333">
        <v>414</v>
      </c>
      <c r="D333">
        <v>2.8493695168031601</v>
      </c>
      <c r="E333">
        <v>1179.63897995651</v>
      </c>
      <c r="F333">
        <v>0.98461306948572302</v>
      </c>
      <c r="G333">
        <v>0.98754749633196603</v>
      </c>
      <c r="H333" t="str">
        <f t="shared" si="5"/>
        <v>Q2</v>
      </c>
    </row>
    <row r="334" spans="1:8">
      <c r="A334">
        <v>797710</v>
      </c>
      <c r="B334" t="s">
        <v>4827</v>
      </c>
      <c r="C334">
        <v>366</v>
      </c>
      <c r="D334">
        <v>3.2160831269263599</v>
      </c>
      <c r="E334">
        <v>1177.0864244550501</v>
      </c>
      <c r="F334">
        <v>0.98160340092547305</v>
      </c>
      <c r="G334">
        <v>0.98750987547496305</v>
      </c>
      <c r="H334" t="str">
        <f t="shared" si="5"/>
        <v>Q2</v>
      </c>
    </row>
    <row r="335" spans="1:8">
      <c r="A335">
        <v>706016</v>
      </c>
      <c r="B335" t="s">
        <v>2272</v>
      </c>
      <c r="C335">
        <v>403</v>
      </c>
      <c r="D335">
        <v>2.9202379926429001</v>
      </c>
      <c r="E335">
        <v>1176.85591103509</v>
      </c>
      <c r="F335">
        <v>0.98386065234566</v>
      </c>
      <c r="G335">
        <v>0.98747225461795995</v>
      </c>
      <c r="H335" t="str">
        <f t="shared" si="5"/>
        <v>Q2</v>
      </c>
    </row>
    <row r="336" spans="1:8">
      <c r="A336">
        <v>578478</v>
      </c>
      <c r="B336" t="s">
        <v>3748</v>
      </c>
      <c r="C336">
        <v>270</v>
      </c>
      <c r="D336">
        <v>4.3404457431838503</v>
      </c>
      <c r="E336">
        <v>1171.92035065964</v>
      </c>
      <c r="F336">
        <v>0.97170911553365202</v>
      </c>
      <c r="G336">
        <v>0.98743463376095697</v>
      </c>
      <c r="H336" t="str">
        <f t="shared" si="5"/>
        <v>Q2</v>
      </c>
    </row>
    <row r="337" spans="1:8">
      <c r="A337">
        <v>599718</v>
      </c>
      <c r="B337" t="s">
        <v>2216</v>
      </c>
      <c r="C337">
        <v>515</v>
      </c>
      <c r="D337">
        <v>2.2746980400050698</v>
      </c>
      <c r="E337">
        <v>1171.46949060261</v>
      </c>
      <c r="F337">
        <v>0.989240434897107</v>
      </c>
      <c r="G337">
        <v>0.98739701290395399</v>
      </c>
      <c r="H337" t="str">
        <f t="shared" si="5"/>
        <v>Q2</v>
      </c>
    </row>
    <row r="338" spans="1:8">
      <c r="A338">
        <v>732412</v>
      </c>
      <c r="B338" t="s">
        <v>2941</v>
      </c>
      <c r="C338">
        <v>494</v>
      </c>
      <c r="D338">
        <v>2.3704281181421298</v>
      </c>
      <c r="E338">
        <v>1170.99149036221</v>
      </c>
      <c r="F338">
        <v>0.98837515518603503</v>
      </c>
      <c r="G338">
        <v>0.987359392046951</v>
      </c>
      <c r="H338" t="str">
        <f t="shared" si="5"/>
        <v>Q2</v>
      </c>
    </row>
    <row r="339" spans="1:8">
      <c r="A339">
        <v>735404</v>
      </c>
      <c r="B339" t="s">
        <v>3184</v>
      </c>
      <c r="C339">
        <v>247</v>
      </c>
      <c r="D339">
        <v>4.7406162817770197</v>
      </c>
      <c r="E339">
        <v>1170.93222159892</v>
      </c>
      <c r="F339">
        <v>0.96828561754636799</v>
      </c>
      <c r="G339">
        <v>0.98732177118994802</v>
      </c>
      <c r="H339" t="str">
        <f t="shared" si="5"/>
        <v>Q2</v>
      </c>
    </row>
    <row r="340" spans="1:8">
      <c r="A340">
        <v>744787</v>
      </c>
      <c r="B340" t="s">
        <v>3425</v>
      </c>
      <c r="C340">
        <v>434</v>
      </c>
      <c r="D340">
        <v>2.69214244653827</v>
      </c>
      <c r="E340">
        <v>1168.38982179761</v>
      </c>
      <c r="F340">
        <v>0.98585455776682596</v>
      </c>
      <c r="G340">
        <v>0.98728415033294503</v>
      </c>
      <c r="H340" t="str">
        <f t="shared" si="5"/>
        <v>Q2</v>
      </c>
    </row>
    <row r="341" spans="1:8">
      <c r="A341">
        <v>570004</v>
      </c>
      <c r="B341" t="s">
        <v>3767</v>
      </c>
      <c r="C341">
        <v>752</v>
      </c>
      <c r="D341">
        <v>1.54866113707032</v>
      </c>
      <c r="E341">
        <v>1164.59317507688</v>
      </c>
      <c r="F341">
        <v>0.99503404687558805</v>
      </c>
      <c r="G341">
        <v>0.98724652947594105</v>
      </c>
      <c r="H341" t="str">
        <f t="shared" si="5"/>
        <v>Q2</v>
      </c>
    </row>
    <row r="342" spans="1:8">
      <c r="A342">
        <v>673638</v>
      </c>
      <c r="B342" t="s">
        <v>4563</v>
      </c>
      <c r="C342">
        <v>763</v>
      </c>
      <c r="D342">
        <v>1.5227113606598699</v>
      </c>
      <c r="E342">
        <v>1161.82876818348</v>
      </c>
      <c r="F342">
        <v>0.99514690944659701</v>
      </c>
      <c r="G342">
        <v>0.98720890861893795</v>
      </c>
      <c r="H342" t="str">
        <f t="shared" si="5"/>
        <v>Q2</v>
      </c>
    </row>
    <row r="343" spans="1:8">
      <c r="A343">
        <v>578476</v>
      </c>
      <c r="B343" t="s">
        <v>5069</v>
      </c>
      <c r="C343">
        <v>239</v>
      </c>
      <c r="D343">
        <v>4.8316574137205901</v>
      </c>
      <c r="E343">
        <v>1154.76612187922</v>
      </c>
      <c r="F343">
        <v>0.96700650840826197</v>
      </c>
      <c r="G343">
        <v>0.98717128776193497</v>
      </c>
      <c r="H343" t="str">
        <f t="shared" si="5"/>
        <v>Q2</v>
      </c>
    </row>
    <row r="344" spans="1:8">
      <c r="A344">
        <v>687524</v>
      </c>
      <c r="B344" t="s">
        <v>4437</v>
      </c>
      <c r="C344">
        <v>522</v>
      </c>
      <c r="D344">
        <v>2.2017663508881999</v>
      </c>
      <c r="E344">
        <v>1149.3220351636401</v>
      </c>
      <c r="F344">
        <v>0.98957902261013497</v>
      </c>
      <c r="G344">
        <v>0.98713366690493198</v>
      </c>
      <c r="H344" t="str">
        <f t="shared" si="5"/>
        <v>Q2</v>
      </c>
    </row>
    <row r="345" spans="1:8">
      <c r="A345">
        <v>678942</v>
      </c>
      <c r="B345" t="s">
        <v>2036</v>
      </c>
      <c r="C345">
        <v>706</v>
      </c>
      <c r="D345">
        <v>1.6261054680447899</v>
      </c>
      <c r="E345">
        <v>1148.0304604396199</v>
      </c>
      <c r="F345">
        <v>0.99439449230653498</v>
      </c>
      <c r="G345">
        <v>0.987096046047929</v>
      </c>
      <c r="H345" t="str">
        <f t="shared" si="5"/>
        <v>Q2</v>
      </c>
    </row>
    <row r="346" spans="1:8">
      <c r="A346">
        <v>787028</v>
      </c>
      <c r="B346" t="s">
        <v>4139</v>
      </c>
      <c r="C346">
        <v>124</v>
      </c>
      <c r="D346">
        <v>9.2335976855528905</v>
      </c>
      <c r="E346">
        <v>1144.9661130085599</v>
      </c>
      <c r="F346">
        <v>0.92957375569015499</v>
      </c>
      <c r="G346">
        <v>0.98705842519092601</v>
      </c>
      <c r="H346" t="str">
        <f t="shared" si="5"/>
        <v>Q3</v>
      </c>
    </row>
    <row r="347" spans="1:8">
      <c r="A347">
        <v>777143</v>
      </c>
      <c r="B347" t="s">
        <v>3236</v>
      </c>
      <c r="C347">
        <v>266</v>
      </c>
      <c r="D347">
        <v>4.2967376645822499</v>
      </c>
      <c r="E347">
        <v>1142.93221877888</v>
      </c>
      <c r="F347">
        <v>0.97125766524961399</v>
      </c>
      <c r="G347">
        <v>0.98702080433392303</v>
      </c>
      <c r="H347" t="str">
        <f t="shared" si="5"/>
        <v>Q2</v>
      </c>
    </row>
    <row r="348" spans="1:8">
      <c r="A348">
        <v>540768</v>
      </c>
      <c r="B348" t="s">
        <v>4819</v>
      </c>
      <c r="C348">
        <v>152</v>
      </c>
      <c r="D348">
        <v>7.4951159841332</v>
      </c>
      <c r="E348">
        <v>1139.25762958825</v>
      </c>
      <c r="F348">
        <v>0.94371919792332903</v>
      </c>
      <c r="G348">
        <v>0.98698318347692005</v>
      </c>
      <c r="H348" t="str">
        <f t="shared" si="5"/>
        <v>Q3</v>
      </c>
    </row>
    <row r="349" spans="1:8">
      <c r="A349">
        <v>568808</v>
      </c>
      <c r="B349" t="s">
        <v>5061</v>
      </c>
      <c r="C349">
        <v>285</v>
      </c>
      <c r="D349">
        <v>3.9906214857310598</v>
      </c>
      <c r="E349">
        <v>1137.3271234333499</v>
      </c>
      <c r="F349">
        <v>0.97400398781084196</v>
      </c>
      <c r="G349">
        <v>0.98694556261991695</v>
      </c>
      <c r="H349" t="str">
        <f t="shared" si="5"/>
        <v>Q2</v>
      </c>
    </row>
    <row r="350" spans="1:8">
      <c r="A350">
        <v>685814</v>
      </c>
      <c r="B350" t="s">
        <v>4045</v>
      </c>
      <c r="C350">
        <v>362</v>
      </c>
      <c r="D350">
        <v>3.13233444364278</v>
      </c>
      <c r="E350">
        <v>1133.9050685986899</v>
      </c>
      <c r="F350">
        <v>0.98134005492645104</v>
      </c>
      <c r="G350">
        <v>0.98690794176291297</v>
      </c>
      <c r="H350" t="str">
        <f t="shared" si="5"/>
        <v>Q2</v>
      </c>
    </row>
    <row r="351" spans="1:8">
      <c r="A351">
        <v>732725</v>
      </c>
      <c r="B351" t="s">
        <v>1411</v>
      </c>
      <c r="C351">
        <v>232</v>
      </c>
      <c r="D351">
        <v>4.8853668311996197</v>
      </c>
      <c r="E351">
        <v>1133.4051048383101</v>
      </c>
      <c r="F351">
        <v>0.96587788269816799</v>
      </c>
      <c r="G351">
        <v>0.98687032090590998</v>
      </c>
      <c r="H351" t="str">
        <f t="shared" si="5"/>
        <v>Q2</v>
      </c>
    </row>
    <row r="352" spans="1:8">
      <c r="A352">
        <v>733441</v>
      </c>
      <c r="B352" t="s">
        <v>1565</v>
      </c>
      <c r="C352">
        <v>247</v>
      </c>
      <c r="D352">
        <v>4.5805737323425602</v>
      </c>
      <c r="E352">
        <v>1131.40171188861</v>
      </c>
      <c r="F352">
        <v>0.96828561754636799</v>
      </c>
      <c r="G352">
        <v>0.986832700048907</v>
      </c>
      <c r="H352" t="str">
        <f t="shared" si="5"/>
        <v>Q2</v>
      </c>
    </row>
    <row r="353" spans="1:8">
      <c r="A353">
        <v>781813</v>
      </c>
      <c r="B353" t="s">
        <v>4931</v>
      </c>
      <c r="C353">
        <v>934</v>
      </c>
      <c r="D353">
        <v>1.2086505888227399</v>
      </c>
      <c r="E353">
        <v>1128.87964996044</v>
      </c>
      <c r="F353">
        <v>0.99683984801173797</v>
      </c>
      <c r="G353">
        <v>0.98679507919190401</v>
      </c>
      <c r="H353" t="str">
        <f t="shared" si="5"/>
        <v>Q2</v>
      </c>
    </row>
    <row r="354" spans="1:8">
      <c r="A354">
        <v>751530</v>
      </c>
      <c r="B354" t="s">
        <v>4699</v>
      </c>
      <c r="C354">
        <v>494</v>
      </c>
      <c r="D354">
        <v>2.27562614673228</v>
      </c>
      <c r="E354">
        <v>1124.15931648575</v>
      </c>
      <c r="F354">
        <v>0.98837515518603503</v>
      </c>
      <c r="G354">
        <v>0.98675745833490103</v>
      </c>
      <c r="H354" t="str">
        <f t="shared" si="5"/>
        <v>Q2</v>
      </c>
    </row>
    <row r="355" spans="1:8">
      <c r="A355">
        <v>820873</v>
      </c>
      <c r="B355" t="s">
        <v>2489</v>
      </c>
      <c r="C355">
        <v>210</v>
      </c>
      <c r="D355">
        <v>5.3468039676192296</v>
      </c>
      <c r="E355">
        <v>1122.82883320004</v>
      </c>
      <c r="F355">
        <v>0.96151386328580601</v>
      </c>
      <c r="G355">
        <v>0.98671983747789804</v>
      </c>
      <c r="H355" t="str">
        <f t="shared" si="5"/>
        <v>Q1</v>
      </c>
    </row>
    <row r="356" spans="1:8">
      <c r="A356">
        <v>824185</v>
      </c>
      <c r="B356" t="s">
        <v>1242</v>
      </c>
      <c r="C356">
        <v>283</v>
      </c>
      <c r="D356">
        <v>3.9663113169898598</v>
      </c>
      <c r="E356">
        <v>1122.4661027081299</v>
      </c>
      <c r="F356">
        <v>0.97381588352582704</v>
      </c>
      <c r="G356">
        <v>0.98668221662089495</v>
      </c>
      <c r="H356" t="str">
        <f t="shared" si="5"/>
        <v>Q2</v>
      </c>
    </row>
    <row r="357" spans="1:8">
      <c r="A357">
        <v>788846</v>
      </c>
      <c r="B357" t="s">
        <v>3206</v>
      </c>
      <c r="C357">
        <v>232</v>
      </c>
      <c r="D357">
        <v>4.8322838281506098</v>
      </c>
      <c r="E357">
        <v>1121.08984813094</v>
      </c>
      <c r="F357">
        <v>0.96587788269816799</v>
      </c>
      <c r="G357">
        <v>0.98664459576389196</v>
      </c>
      <c r="H357" t="str">
        <f t="shared" si="5"/>
        <v>Q2</v>
      </c>
    </row>
    <row r="358" spans="1:8">
      <c r="A358">
        <v>748236</v>
      </c>
      <c r="B358" t="s">
        <v>1940</v>
      </c>
      <c r="C358">
        <v>405</v>
      </c>
      <c r="D358">
        <v>2.7562167743266901</v>
      </c>
      <c r="E358">
        <v>1116.2677936023099</v>
      </c>
      <c r="F358">
        <v>0.98404875663067604</v>
      </c>
      <c r="G358">
        <v>0.98660697490688798</v>
      </c>
      <c r="H358" t="str">
        <f t="shared" si="5"/>
        <v>Q2</v>
      </c>
    </row>
    <row r="359" spans="1:8">
      <c r="A359">
        <v>708138</v>
      </c>
      <c r="B359" t="s">
        <v>3437</v>
      </c>
      <c r="C359">
        <v>176</v>
      </c>
      <c r="D359">
        <v>6.3350442458282803</v>
      </c>
      <c r="E359">
        <v>1114.9677872657801</v>
      </c>
      <c r="F359">
        <v>0.95199578646401595</v>
      </c>
      <c r="G359">
        <v>0.98656935404988499</v>
      </c>
      <c r="H359" t="str">
        <f t="shared" si="5"/>
        <v>Q1</v>
      </c>
    </row>
    <row r="360" spans="1:8">
      <c r="A360">
        <v>634009</v>
      </c>
      <c r="B360" t="s">
        <v>931</v>
      </c>
      <c r="C360">
        <v>553</v>
      </c>
      <c r="D360">
        <v>2.0134980265290299</v>
      </c>
      <c r="E360">
        <v>1113.46440867055</v>
      </c>
      <c r="F360">
        <v>0.99093337346224797</v>
      </c>
      <c r="G360">
        <v>0.98653173319288201</v>
      </c>
      <c r="H360" t="str">
        <f t="shared" si="5"/>
        <v>Q2</v>
      </c>
    </row>
    <row r="361" spans="1:8">
      <c r="A361">
        <v>484398</v>
      </c>
      <c r="B361" t="s">
        <v>93</v>
      </c>
      <c r="C361">
        <v>488</v>
      </c>
      <c r="D361">
        <v>2.2771081939667899</v>
      </c>
      <c r="E361">
        <v>1111.2287986557899</v>
      </c>
      <c r="F361">
        <v>0.98814943004401601</v>
      </c>
      <c r="G361">
        <v>0.98649411233587903</v>
      </c>
      <c r="H361" t="str">
        <f t="shared" si="5"/>
        <v>Q2</v>
      </c>
    </row>
    <row r="362" spans="1:8">
      <c r="A362">
        <v>772005</v>
      </c>
      <c r="B362" t="s">
        <v>4883</v>
      </c>
      <c r="C362">
        <v>1358</v>
      </c>
      <c r="D362">
        <v>0.81681435609192499</v>
      </c>
      <c r="E362">
        <v>1109.2338955728301</v>
      </c>
      <c r="F362">
        <v>0.99857040743388104</v>
      </c>
      <c r="G362">
        <v>0.98645649147887604</v>
      </c>
      <c r="H362" t="str">
        <f t="shared" si="5"/>
        <v>Q2</v>
      </c>
    </row>
    <row r="363" spans="1:8">
      <c r="A363">
        <v>700144</v>
      </c>
      <c r="B363" t="s">
        <v>2574</v>
      </c>
      <c r="C363">
        <v>172</v>
      </c>
      <c r="D363">
        <v>6.4443830898854602</v>
      </c>
      <c r="E363">
        <v>1108.4338914602999</v>
      </c>
      <c r="F363">
        <v>0.95082953989691898</v>
      </c>
      <c r="G363">
        <v>0.98641887062187295</v>
      </c>
      <c r="H363" t="str">
        <f t="shared" si="5"/>
        <v>Q1</v>
      </c>
    </row>
    <row r="364" spans="1:8">
      <c r="A364">
        <v>689563</v>
      </c>
      <c r="B364" t="s">
        <v>2934</v>
      </c>
      <c r="C364">
        <v>237</v>
      </c>
      <c r="D364">
        <v>4.6544876649095501</v>
      </c>
      <c r="E364">
        <v>1103.11357658356</v>
      </c>
      <c r="F364">
        <v>0.96678078326624295</v>
      </c>
      <c r="G364">
        <v>0.98638124976486996</v>
      </c>
      <c r="H364" t="str">
        <f t="shared" si="5"/>
        <v>Q2</v>
      </c>
    </row>
    <row r="365" spans="1:8">
      <c r="A365">
        <v>734282</v>
      </c>
      <c r="B365" t="s">
        <v>1023</v>
      </c>
      <c r="C365">
        <v>291</v>
      </c>
      <c r="D365">
        <v>3.7880365916006098</v>
      </c>
      <c r="E365">
        <v>1102.31864815578</v>
      </c>
      <c r="F365">
        <v>0.97475640495090499</v>
      </c>
      <c r="G365">
        <v>0.98634362890786698</v>
      </c>
      <c r="H365" t="str">
        <f t="shared" si="5"/>
        <v>Q2</v>
      </c>
    </row>
    <row r="366" spans="1:8">
      <c r="A366">
        <v>719957</v>
      </c>
      <c r="B366" t="s">
        <v>1906</v>
      </c>
      <c r="C366">
        <v>546</v>
      </c>
      <c r="D366">
        <v>2.0177561757342399</v>
      </c>
      <c r="E366">
        <v>1101.69487195089</v>
      </c>
      <c r="F366">
        <v>0.990594785749219</v>
      </c>
      <c r="G366">
        <v>0.98630600805086299</v>
      </c>
      <c r="H366" t="str">
        <f t="shared" si="5"/>
        <v>Q2</v>
      </c>
    </row>
    <row r="367" spans="1:8">
      <c r="A367">
        <v>716672</v>
      </c>
      <c r="B367" t="s">
        <v>2337</v>
      </c>
      <c r="C367">
        <v>464</v>
      </c>
      <c r="D367">
        <v>2.37332335113777</v>
      </c>
      <c r="E367">
        <v>1101.22203492792</v>
      </c>
      <c r="F367">
        <v>0.98724652947594105</v>
      </c>
      <c r="G367">
        <v>0.98626838719386001</v>
      </c>
      <c r="H367" t="str">
        <f t="shared" si="5"/>
        <v>Q2</v>
      </c>
    </row>
    <row r="368" spans="1:8">
      <c r="A368">
        <v>556677</v>
      </c>
      <c r="B368" t="s">
        <v>475</v>
      </c>
      <c r="C368">
        <v>244</v>
      </c>
      <c r="D368">
        <v>4.5112184553739203</v>
      </c>
      <c r="E368">
        <v>1100.73730311124</v>
      </c>
      <c r="F368">
        <v>0.96783416726232996</v>
      </c>
      <c r="G368">
        <v>0.98623076633685702</v>
      </c>
      <c r="H368" t="str">
        <f t="shared" si="5"/>
        <v>Q2</v>
      </c>
    </row>
    <row r="369" spans="1:8">
      <c r="A369">
        <v>690935</v>
      </c>
      <c r="B369" t="s">
        <v>4544</v>
      </c>
      <c r="C369">
        <v>341</v>
      </c>
      <c r="D369">
        <v>3.2256771630096801</v>
      </c>
      <c r="E369">
        <v>1099.9559125863</v>
      </c>
      <c r="F369">
        <v>0.97979759978932301</v>
      </c>
      <c r="G369">
        <v>0.98619314547985404</v>
      </c>
      <c r="H369" t="str">
        <f t="shared" si="5"/>
        <v>Q2</v>
      </c>
    </row>
    <row r="370" spans="1:8">
      <c r="A370">
        <v>716581</v>
      </c>
      <c r="B370" t="s">
        <v>3192</v>
      </c>
      <c r="C370">
        <v>439</v>
      </c>
      <c r="D370">
        <v>2.4961120628270201</v>
      </c>
      <c r="E370">
        <v>1095.79319558106</v>
      </c>
      <c r="F370">
        <v>0.98615552462285105</v>
      </c>
      <c r="G370">
        <v>0.98615552462285105</v>
      </c>
      <c r="H370" t="str">
        <f t="shared" si="5"/>
        <v>Q2</v>
      </c>
    </row>
    <row r="371" spans="1:8">
      <c r="A371">
        <v>554541</v>
      </c>
      <c r="B371" t="s">
        <v>4485</v>
      </c>
      <c r="C371">
        <v>294</v>
      </c>
      <c r="D371">
        <v>3.72612129288669</v>
      </c>
      <c r="E371">
        <v>1095.47966010869</v>
      </c>
      <c r="F371">
        <v>0.97532071780595198</v>
      </c>
      <c r="G371">
        <v>0.98611790376584796</v>
      </c>
      <c r="H371" t="str">
        <f t="shared" si="5"/>
        <v>Q2</v>
      </c>
    </row>
    <row r="372" spans="1:8">
      <c r="A372">
        <v>689365</v>
      </c>
      <c r="B372" t="s">
        <v>729</v>
      </c>
      <c r="C372">
        <v>452</v>
      </c>
      <c r="D372">
        <v>2.4213064385709901</v>
      </c>
      <c r="E372">
        <v>1094.43051023409</v>
      </c>
      <c r="F372">
        <v>0.98679507919190401</v>
      </c>
      <c r="G372">
        <v>0.98608028290884497</v>
      </c>
      <c r="H372" t="str">
        <f t="shared" si="5"/>
        <v>Q2</v>
      </c>
    </row>
    <row r="373" spans="1:8">
      <c r="A373">
        <v>624257</v>
      </c>
      <c r="B373" t="s">
        <v>138</v>
      </c>
      <c r="C373">
        <v>152</v>
      </c>
      <c r="D373">
        <v>7.1736842694104102</v>
      </c>
      <c r="E373">
        <v>1090.40000895038</v>
      </c>
      <c r="F373">
        <v>0.94371919792332903</v>
      </c>
      <c r="G373">
        <v>0.98604266205184199</v>
      </c>
      <c r="H373" t="str">
        <f t="shared" si="5"/>
        <v>Q3</v>
      </c>
    </row>
    <row r="374" spans="1:8">
      <c r="A374">
        <v>707488</v>
      </c>
      <c r="B374" t="s">
        <v>4649</v>
      </c>
      <c r="C374">
        <v>405</v>
      </c>
      <c r="D374">
        <v>2.6899894805234199</v>
      </c>
      <c r="E374">
        <v>1089.4457396119799</v>
      </c>
      <c r="F374">
        <v>0.98404875663067604</v>
      </c>
      <c r="G374">
        <v>0.98600504119483801</v>
      </c>
      <c r="H374" t="str">
        <f t="shared" si="5"/>
        <v>Q2</v>
      </c>
    </row>
    <row r="375" spans="1:8">
      <c r="A375">
        <v>660497</v>
      </c>
      <c r="B375" t="s">
        <v>1603</v>
      </c>
      <c r="C375">
        <v>519</v>
      </c>
      <c r="D375">
        <v>2.0964925977722602</v>
      </c>
      <c r="E375">
        <v>1088.0796582438099</v>
      </c>
      <c r="F375">
        <v>0.98939091832511905</v>
      </c>
      <c r="G375">
        <v>0.98596742033783502</v>
      </c>
      <c r="H375" t="str">
        <f t="shared" si="5"/>
        <v>Q2</v>
      </c>
    </row>
    <row r="376" spans="1:8">
      <c r="A376">
        <v>715828</v>
      </c>
      <c r="B376" t="s">
        <v>899</v>
      </c>
      <c r="C376">
        <v>339</v>
      </c>
      <c r="D376">
        <v>3.2040847437923299</v>
      </c>
      <c r="E376">
        <v>1086.1847281456</v>
      </c>
      <c r="F376">
        <v>0.97942139121929195</v>
      </c>
      <c r="G376">
        <v>0.98592979948083204</v>
      </c>
      <c r="H376" t="str">
        <f t="shared" si="5"/>
        <v>Q2</v>
      </c>
    </row>
    <row r="377" spans="1:8">
      <c r="A377">
        <v>699077</v>
      </c>
      <c r="B377" t="s">
        <v>4762</v>
      </c>
      <c r="C377">
        <v>665</v>
      </c>
      <c r="D377">
        <v>1.63076582879416</v>
      </c>
      <c r="E377">
        <v>1084.4592761481199</v>
      </c>
      <c r="F377">
        <v>0.99371731688047804</v>
      </c>
      <c r="G377">
        <v>0.98589217862382905</v>
      </c>
      <c r="H377" t="str">
        <f t="shared" si="5"/>
        <v>Q2</v>
      </c>
    </row>
    <row r="378" spans="1:8">
      <c r="A378">
        <v>465655</v>
      </c>
      <c r="B378" t="s">
        <v>1908</v>
      </c>
      <c r="C378">
        <v>677</v>
      </c>
      <c r="D378">
        <v>1.5987506559314</v>
      </c>
      <c r="E378">
        <v>1082.35419406556</v>
      </c>
      <c r="F378">
        <v>0.99390542116549396</v>
      </c>
      <c r="G378">
        <v>0.98585455776682596</v>
      </c>
      <c r="H378" t="str">
        <f t="shared" si="5"/>
        <v>Q2</v>
      </c>
    </row>
    <row r="379" spans="1:8">
      <c r="A379">
        <v>495685</v>
      </c>
      <c r="B379" t="s">
        <v>4115</v>
      </c>
      <c r="C379">
        <v>180</v>
      </c>
      <c r="D379">
        <v>6.0091242628792898</v>
      </c>
      <c r="E379">
        <v>1081.6423673182701</v>
      </c>
      <c r="F379">
        <v>0.95346299988713701</v>
      </c>
      <c r="G379">
        <v>0.98581693690982297</v>
      </c>
      <c r="H379" t="str">
        <f t="shared" si="5"/>
        <v>Q1</v>
      </c>
    </row>
    <row r="380" spans="1:8">
      <c r="A380">
        <v>622958</v>
      </c>
      <c r="B380" t="s">
        <v>3411</v>
      </c>
      <c r="C380">
        <v>270</v>
      </c>
      <c r="D380">
        <v>3.99753924269505</v>
      </c>
      <c r="E380">
        <v>1079.33559552766</v>
      </c>
      <c r="F380">
        <v>0.97170911553365202</v>
      </c>
      <c r="G380">
        <v>0.98577931605281999</v>
      </c>
      <c r="H380" t="str">
        <f t="shared" si="5"/>
        <v>Q2</v>
      </c>
    </row>
    <row r="381" spans="1:8">
      <c r="A381">
        <v>693246</v>
      </c>
      <c r="B381" t="s">
        <v>1005</v>
      </c>
      <c r="C381">
        <v>229</v>
      </c>
      <c r="D381">
        <v>4.7112131717016998</v>
      </c>
      <c r="E381">
        <v>1078.8678163196901</v>
      </c>
      <c r="F381">
        <v>0.96512546555810497</v>
      </c>
      <c r="G381">
        <v>0.985741695195817</v>
      </c>
      <c r="H381" t="str">
        <f t="shared" si="5"/>
        <v>Q2</v>
      </c>
    </row>
    <row r="382" spans="1:8">
      <c r="A382">
        <v>664647</v>
      </c>
      <c r="B382" t="s">
        <v>744</v>
      </c>
      <c r="C382">
        <v>243</v>
      </c>
      <c r="D382">
        <v>4.4372254296554701</v>
      </c>
      <c r="E382">
        <v>1078.24577940628</v>
      </c>
      <c r="F382">
        <v>0.96775892554832399</v>
      </c>
      <c r="G382">
        <v>0.98570407433881302</v>
      </c>
      <c r="H382" t="str">
        <f t="shared" si="5"/>
        <v>Q2</v>
      </c>
    </row>
    <row r="383" spans="1:8">
      <c r="A383">
        <v>673900</v>
      </c>
      <c r="B383" t="s">
        <v>2413</v>
      </c>
      <c r="C383">
        <v>423</v>
      </c>
      <c r="D383">
        <v>2.5474976383845398</v>
      </c>
      <c r="E383">
        <v>1077.59150103666</v>
      </c>
      <c r="F383">
        <v>0.98525262405477598</v>
      </c>
      <c r="G383">
        <v>0.98566645348181003</v>
      </c>
      <c r="H383" t="str">
        <f t="shared" si="5"/>
        <v>Q2</v>
      </c>
    </row>
    <row r="384" spans="1:8">
      <c r="A384">
        <v>697054</v>
      </c>
      <c r="B384" t="s">
        <v>1305</v>
      </c>
      <c r="C384">
        <v>443</v>
      </c>
      <c r="D384">
        <v>2.43186670740221</v>
      </c>
      <c r="E384">
        <v>1077.31695137918</v>
      </c>
      <c r="F384">
        <v>0.98634362890786698</v>
      </c>
      <c r="G384">
        <v>0.98562883262480705</v>
      </c>
      <c r="H384" t="str">
        <f t="shared" si="5"/>
        <v>Q2</v>
      </c>
    </row>
    <row r="385" spans="1:8">
      <c r="A385">
        <v>711440</v>
      </c>
      <c r="B385" t="s">
        <v>1601</v>
      </c>
      <c r="C385">
        <v>334</v>
      </c>
      <c r="D385">
        <v>3.2246472662548999</v>
      </c>
      <c r="E385">
        <v>1077.0321869291399</v>
      </c>
      <c r="F385">
        <v>0.97904518264926099</v>
      </c>
      <c r="G385">
        <v>0.98559121176780395</v>
      </c>
      <c r="H385" t="str">
        <f t="shared" si="5"/>
        <v>Q2</v>
      </c>
    </row>
    <row r="386" spans="1:8">
      <c r="A386">
        <v>312878</v>
      </c>
      <c r="B386" t="s">
        <v>3610</v>
      </c>
      <c r="C386">
        <v>105</v>
      </c>
      <c r="D386">
        <v>10.255254184206301</v>
      </c>
      <c r="E386">
        <v>1076.80168934166</v>
      </c>
      <c r="F386">
        <v>0.91618073059704297</v>
      </c>
      <c r="G386">
        <v>0.98555359091080097</v>
      </c>
      <c r="H386" t="str">
        <f t="shared" si="5"/>
        <v>Q3</v>
      </c>
    </row>
    <row r="387" spans="1:8">
      <c r="A387">
        <v>702623</v>
      </c>
      <c r="B387" t="s">
        <v>883</v>
      </c>
      <c r="C387">
        <v>476</v>
      </c>
      <c r="D387">
        <v>2.2592899877726702</v>
      </c>
      <c r="E387">
        <v>1075.42203417979</v>
      </c>
      <c r="F387">
        <v>0.98766035890297599</v>
      </c>
      <c r="G387">
        <v>0.98551597005379798</v>
      </c>
      <c r="H387" t="str">
        <f t="shared" ref="H387:H450" si="6">IF(C387&gt;$J$2,
   IF(D387&gt;$J$3,"Q1","Q2"),
   IF(D387&gt;$J$3,"Q3","Q4"))</f>
        <v>Q2</v>
      </c>
    </row>
    <row r="388" spans="1:8">
      <c r="A388">
        <v>692721</v>
      </c>
      <c r="B388" t="s">
        <v>411</v>
      </c>
      <c r="C388">
        <v>525</v>
      </c>
      <c r="D388">
        <v>2.0467763415404701</v>
      </c>
      <c r="E388">
        <v>1074.5575793087501</v>
      </c>
      <c r="F388">
        <v>0.98987998946615996</v>
      </c>
      <c r="G388">
        <v>0.985478349196795</v>
      </c>
      <c r="H388" t="str">
        <f t="shared" si="6"/>
        <v>Q2</v>
      </c>
    </row>
    <row r="389" spans="1:8">
      <c r="A389">
        <v>728156</v>
      </c>
      <c r="B389" t="s">
        <v>4105</v>
      </c>
      <c r="C389">
        <v>220</v>
      </c>
      <c r="D389">
        <v>4.8768336732279201</v>
      </c>
      <c r="E389">
        <v>1072.9034081101399</v>
      </c>
      <c r="F389">
        <v>0.96365825213498402</v>
      </c>
      <c r="G389">
        <v>0.98544072833979202</v>
      </c>
      <c r="H389" t="str">
        <f t="shared" si="6"/>
        <v>Q2</v>
      </c>
    </row>
    <row r="390" spans="1:8">
      <c r="A390">
        <v>790096</v>
      </c>
      <c r="B390" t="s">
        <v>2630</v>
      </c>
      <c r="C390">
        <v>663</v>
      </c>
      <c r="D390">
        <v>1.6179103059076101</v>
      </c>
      <c r="E390">
        <v>1072.6745328167499</v>
      </c>
      <c r="F390">
        <v>0.99367969602347495</v>
      </c>
      <c r="G390">
        <v>0.98540310748278803</v>
      </c>
      <c r="H390" t="str">
        <f t="shared" si="6"/>
        <v>Q2</v>
      </c>
    </row>
    <row r="391" spans="1:8">
      <c r="A391">
        <v>772902</v>
      </c>
      <c r="B391" t="s">
        <v>2056</v>
      </c>
      <c r="C391">
        <v>868</v>
      </c>
      <c r="D391">
        <v>1.2357611287211401</v>
      </c>
      <c r="E391">
        <v>1072.6406597299499</v>
      </c>
      <c r="F391">
        <v>0.99635077687069695</v>
      </c>
      <c r="G391">
        <v>0.98536548662578505</v>
      </c>
      <c r="H391" t="str">
        <f t="shared" si="6"/>
        <v>Q2</v>
      </c>
    </row>
    <row r="392" spans="1:8">
      <c r="A392">
        <v>795440</v>
      </c>
      <c r="B392" t="s">
        <v>2406</v>
      </c>
      <c r="C392">
        <v>437</v>
      </c>
      <c r="D392">
        <v>2.4535469169508901</v>
      </c>
      <c r="E392">
        <v>1072.2000027075401</v>
      </c>
      <c r="F392">
        <v>0.98596742033783502</v>
      </c>
      <c r="G392">
        <v>0.98532786576878195</v>
      </c>
      <c r="H392" t="str">
        <f t="shared" si="6"/>
        <v>Q2</v>
      </c>
    </row>
    <row r="393" spans="1:8">
      <c r="A393">
        <v>501616</v>
      </c>
      <c r="B393" t="s">
        <v>1800</v>
      </c>
      <c r="C393">
        <v>481</v>
      </c>
      <c r="D393">
        <v>2.2227703598511899</v>
      </c>
      <c r="E393">
        <v>1069.1525430884201</v>
      </c>
      <c r="F393">
        <v>0.98796132575900097</v>
      </c>
      <c r="G393">
        <v>0.98529024491177897</v>
      </c>
      <c r="H393" t="str">
        <f t="shared" si="6"/>
        <v>Q2</v>
      </c>
    </row>
    <row r="394" spans="1:8">
      <c r="A394">
        <v>700329</v>
      </c>
      <c r="B394" t="s">
        <v>776</v>
      </c>
      <c r="C394">
        <v>356</v>
      </c>
      <c r="D394">
        <v>2.9984621337635899</v>
      </c>
      <c r="E394">
        <v>1067.4525196198399</v>
      </c>
      <c r="F394">
        <v>0.98096384635641998</v>
      </c>
      <c r="G394">
        <v>0.98525262405477598</v>
      </c>
      <c r="H394" t="str">
        <f t="shared" si="6"/>
        <v>Q2</v>
      </c>
    </row>
    <row r="395" spans="1:8">
      <c r="A395">
        <v>797394</v>
      </c>
      <c r="B395" t="s">
        <v>1240</v>
      </c>
      <c r="C395">
        <v>447</v>
      </c>
      <c r="D395">
        <v>2.3852955724968998</v>
      </c>
      <c r="E395">
        <v>1066.22712090611</v>
      </c>
      <c r="F395">
        <v>0.98653173319288201</v>
      </c>
      <c r="G395">
        <v>0.985215003197773</v>
      </c>
      <c r="H395" t="str">
        <f t="shared" si="6"/>
        <v>Q2</v>
      </c>
    </row>
    <row r="396" spans="1:8">
      <c r="A396">
        <v>713200</v>
      </c>
      <c r="B396" t="s">
        <v>5157</v>
      </c>
      <c r="C396">
        <v>508</v>
      </c>
      <c r="D396">
        <v>2.0916822164752098</v>
      </c>
      <c r="E396">
        <v>1062.5745659694101</v>
      </c>
      <c r="F396">
        <v>0.98901470975508798</v>
      </c>
      <c r="G396">
        <v>0.98517738234077001</v>
      </c>
      <c r="H396" t="str">
        <f t="shared" si="6"/>
        <v>Q2</v>
      </c>
    </row>
    <row r="397" spans="1:8">
      <c r="A397">
        <v>690713</v>
      </c>
      <c r="B397" t="s">
        <v>3617</v>
      </c>
      <c r="C397">
        <v>354</v>
      </c>
      <c r="D397">
        <v>2.9785693271906402</v>
      </c>
      <c r="E397">
        <v>1054.41354182549</v>
      </c>
      <c r="F397">
        <v>0.98081336292840704</v>
      </c>
      <c r="G397">
        <v>0.98513976148376703</v>
      </c>
      <c r="H397" t="str">
        <f t="shared" si="6"/>
        <v>Q2</v>
      </c>
    </row>
    <row r="398" spans="1:8">
      <c r="A398">
        <v>568838</v>
      </c>
      <c r="B398" t="s">
        <v>2501</v>
      </c>
      <c r="C398">
        <v>368</v>
      </c>
      <c r="D398">
        <v>2.8652081211950402</v>
      </c>
      <c r="E398">
        <v>1054.39658859977</v>
      </c>
      <c r="F398">
        <v>0.981716263496482</v>
      </c>
      <c r="G398">
        <v>0.98510214062676305</v>
      </c>
      <c r="H398" t="str">
        <f t="shared" si="6"/>
        <v>Q2</v>
      </c>
    </row>
    <row r="399" spans="1:8">
      <c r="A399">
        <v>721118</v>
      </c>
      <c r="B399" t="s">
        <v>635</v>
      </c>
      <c r="C399">
        <v>325</v>
      </c>
      <c r="D399">
        <v>3.241554107517</v>
      </c>
      <c r="E399">
        <v>1053.5050849430299</v>
      </c>
      <c r="F399">
        <v>0.97840562808020803</v>
      </c>
      <c r="G399">
        <v>0.98506451976975995</v>
      </c>
      <c r="H399" t="str">
        <f t="shared" si="6"/>
        <v>Q2</v>
      </c>
    </row>
    <row r="400" spans="1:8">
      <c r="A400">
        <v>709996</v>
      </c>
      <c r="B400" t="s">
        <v>1030</v>
      </c>
      <c r="C400">
        <v>329</v>
      </c>
      <c r="D400">
        <v>3.1963319180810701</v>
      </c>
      <c r="E400">
        <v>1051.5932010486699</v>
      </c>
      <c r="F400">
        <v>0.97863135322222605</v>
      </c>
      <c r="G400">
        <v>0.98502689891275697</v>
      </c>
      <c r="H400" t="str">
        <f t="shared" si="6"/>
        <v>Q2</v>
      </c>
    </row>
    <row r="401" spans="1:8">
      <c r="A401">
        <v>575542</v>
      </c>
      <c r="B401" t="s">
        <v>4715</v>
      </c>
      <c r="C401">
        <v>443</v>
      </c>
      <c r="D401">
        <v>2.37366949354191</v>
      </c>
      <c r="E401">
        <v>1051.53558563907</v>
      </c>
      <c r="F401">
        <v>0.98634362890786698</v>
      </c>
      <c r="G401">
        <v>0.98498927805575398</v>
      </c>
      <c r="H401" t="str">
        <f t="shared" si="6"/>
        <v>Q2</v>
      </c>
    </row>
    <row r="402" spans="1:8">
      <c r="A402">
        <v>739503</v>
      </c>
      <c r="B402" t="s">
        <v>360</v>
      </c>
      <c r="C402">
        <v>370</v>
      </c>
      <c r="D402">
        <v>2.84023361809149</v>
      </c>
      <c r="E402">
        <v>1050.8864386938501</v>
      </c>
      <c r="F402">
        <v>0.98190436778149803</v>
      </c>
      <c r="G402">
        <v>0.984951657198751</v>
      </c>
      <c r="H402" t="str">
        <f t="shared" si="6"/>
        <v>Q2</v>
      </c>
    </row>
    <row r="403" spans="1:8">
      <c r="A403">
        <v>708230</v>
      </c>
      <c r="B403" t="s">
        <v>2754</v>
      </c>
      <c r="C403">
        <v>694</v>
      </c>
      <c r="D403">
        <v>1.51064322448821</v>
      </c>
      <c r="E403">
        <v>1048.3863977948199</v>
      </c>
      <c r="F403">
        <v>0.99424400887852205</v>
      </c>
      <c r="G403">
        <v>0.98491403634174801</v>
      </c>
      <c r="H403" t="str">
        <f t="shared" si="6"/>
        <v>Q2</v>
      </c>
    </row>
    <row r="404" spans="1:8">
      <c r="A404">
        <v>696209</v>
      </c>
      <c r="B404" t="s">
        <v>1029</v>
      </c>
      <c r="C404">
        <v>533</v>
      </c>
      <c r="D404">
        <v>1.9639297899585699</v>
      </c>
      <c r="E404">
        <v>1046.7745780479199</v>
      </c>
      <c r="F404">
        <v>0.99021857717918804</v>
      </c>
      <c r="G404">
        <v>0.98487641548474503</v>
      </c>
      <c r="H404" t="str">
        <f t="shared" si="6"/>
        <v>Q2</v>
      </c>
    </row>
    <row r="405" spans="1:8">
      <c r="A405">
        <v>708217</v>
      </c>
      <c r="B405" t="s">
        <v>3466</v>
      </c>
      <c r="C405">
        <v>146</v>
      </c>
      <c r="D405">
        <v>7.1540865128579201</v>
      </c>
      <c r="E405">
        <v>1044.49663087726</v>
      </c>
      <c r="F405">
        <v>0.94127384221812604</v>
      </c>
      <c r="G405">
        <v>0.98483879462774204</v>
      </c>
      <c r="H405" t="str">
        <f t="shared" si="6"/>
        <v>Q3</v>
      </c>
    </row>
    <row r="406" spans="1:8">
      <c r="A406">
        <v>622955</v>
      </c>
      <c r="B406" t="s">
        <v>878</v>
      </c>
      <c r="C406">
        <v>207</v>
      </c>
      <c r="D406">
        <v>5.0254811370826298</v>
      </c>
      <c r="E406">
        <v>1040.2745953761</v>
      </c>
      <c r="F406">
        <v>0.96083668785974896</v>
      </c>
      <c r="G406">
        <v>0.98480117377073895</v>
      </c>
      <c r="H406" t="str">
        <f t="shared" si="6"/>
        <v>Q1</v>
      </c>
    </row>
    <row r="407" spans="1:8">
      <c r="A407">
        <v>691855</v>
      </c>
      <c r="B407" t="s">
        <v>3150</v>
      </c>
      <c r="C407">
        <v>355</v>
      </c>
      <c r="D407">
        <v>2.9205728798422599</v>
      </c>
      <c r="E407">
        <v>1036.8033723440001</v>
      </c>
      <c r="F407">
        <v>0.98088860464241401</v>
      </c>
      <c r="G407">
        <v>0.98476355291373496</v>
      </c>
      <c r="H407" t="str">
        <f t="shared" si="6"/>
        <v>Q2</v>
      </c>
    </row>
    <row r="408" spans="1:8">
      <c r="A408">
        <v>351933</v>
      </c>
      <c r="B408" t="s">
        <v>2510</v>
      </c>
      <c r="C408">
        <v>509</v>
      </c>
      <c r="D408">
        <v>2.0340714321887101</v>
      </c>
      <c r="E408">
        <v>1035.34235898405</v>
      </c>
      <c r="F408">
        <v>0.98905233061209097</v>
      </c>
      <c r="G408">
        <v>0.98472593205673198</v>
      </c>
      <c r="H408" t="str">
        <f t="shared" si="6"/>
        <v>Q2</v>
      </c>
    </row>
    <row r="409" spans="1:8">
      <c r="A409">
        <v>678963</v>
      </c>
      <c r="B409" t="s">
        <v>3852</v>
      </c>
      <c r="C409">
        <v>245</v>
      </c>
      <c r="D409">
        <v>4.2181321853125597</v>
      </c>
      <c r="E409">
        <v>1033.4423854015799</v>
      </c>
      <c r="F409">
        <v>0.96805989240434898</v>
      </c>
      <c r="G409">
        <v>0.98468831119972899</v>
      </c>
      <c r="H409" t="str">
        <f t="shared" si="6"/>
        <v>Q2</v>
      </c>
    </row>
    <row r="410" spans="1:8">
      <c r="A410">
        <v>664461</v>
      </c>
      <c r="B410" t="s">
        <v>2334</v>
      </c>
      <c r="C410">
        <v>222</v>
      </c>
      <c r="D410">
        <v>4.6531531238206902</v>
      </c>
      <c r="E410">
        <v>1032.9999934881901</v>
      </c>
      <c r="F410">
        <v>0.963959218991009</v>
      </c>
      <c r="G410">
        <v>0.98465069034272601</v>
      </c>
      <c r="H410" t="str">
        <f t="shared" si="6"/>
        <v>Q2</v>
      </c>
    </row>
    <row r="411" spans="1:8">
      <c r="A411">
        <v>714790</v>
      </c>
      <c r="B411" t="s">
        <v>3304</v>
      </c>
      <c r="C411">
        <v>210</v>
      </c>
      <c r="D411">
        <v>4.9161986270476001</v>
      </c>
      <c r="E411">
        <v>1032.4017116800001</v>
      </c>
      <c r="F411">
        <v>0.96151386328580601</v>
      </c>
      <c r="G411">
        <v>0.98461306948572302</v>
      </c>
      <c r="H411" t="str">
        <f t="shared" si="6"/>
        <v>Q1</v>
      </c>
    </row>
    <row r="412" spans="1:8">
      <c r="A412">
        <v>775825</v>
      </c>
      <c r="B412" t="s">
        <v>2409</v>
      </c>
      <c r="C412">
        <v>92</v>
      </c>
      <c r="D412">
        <v>11.199244885179001</v>
      </c>
      <c r="E412">
        <v>1030.33052943647</v>
      </c>
      <c r="F412">
        <v>0.90429253978405599</v>
      </c>
      <c r="G412">
        <v>0.98457544862872004</v>
      </c>
      <c r="H412" t="str">
        <f t="shared" si="6"/>
        <v>Q3</v>
      </c>
    </row>
    <row r="413" spans="1:8">
      <c r="A413">
        <v>617534</v>
      </c>
      <c r="B413" t="s">
        <v>2844</v>
      </c>
      <c r="C413">
        <v>423</v>
      </c>
      <c r="D413">
        <v>2.4328164478882801</v>
      </c>
      <c r="E413">
        <v>1029.0813574567401</v>
      </c>
      <c r="F413">
        <v>0.98525262405477598</v>
      </c>
      <c r="G413">
        <v>0.98453782777171694</v>
      </c>
      <c r="H413" t="str">
        <f t="shared" si="6"/>
        <v>Q2</v>
      </c>
    </row>
    <row r="414" spans="1:8">
      <c r="A414">
        <v>722436</v>
      </c>
      <c r="B414" t="s">
        <v>5217</v>
      </c>
      <c r="C414">
        <v>369</v>
      </c>
      <c r="D414">
        <v>2.7863120523894702</v>
      </c>
      <c r="E414">
        <v>1028.1491473317101</v>
      </c>
      <c r="F414">
        <v>0.98186674692449505</v>
      </c>
      <c r="G414">
        <v>0.98450020691471396</v>
      </c>
      <c r="H414" t="str">
        <f t="shared" si="6"/>
        <v>Q2</v>
      </c>
    </row>
    <row r="415" spans="1:8">
      <c r="A415">
        <v>179950</v>
      </c>
      <c r="B415" t="s">
        <v>386</v>
      </c>
      <c r="C415">
        <v>431</v>
      </c>
      <c r="D415">
        <v>2.38548901284291</v>
      </c>
      <c r="E415">
        <v>1028.14576453529</v>
      </c>
      <c r="F415">
        <v>0.98577931605281999</v>
      </c>
      <c r="G415">
        <v>0.98446258605770998</v>
      </c>
      <c r="H415" t="str">
        <f t="shared" si="6"/>
        <v>Q2</v>
      </c>
    </row>
    <row r="416" spans="1:8">
      <c r="A416">
        <v>765739</v>
      </c>
      <c r="B416" t="s">
        <v>4734</v>
      </c>
      <c r="C416">
        <v>213</v>
      </c>
      <c r="D416">
        <v>4.8256147845250297</v>
      </c>
      <c r="E416">
        <v>1027.85594910383</v>
      </c>
      <c r="F416">
        <v>0.96230390128287102</v>
      </c>
      <c r="G416">
        <v>0.98442496520070699</v>
      </c>
      <c r="H416" t="str">
        <f t="shared" si="6"/>
        <v>Q2</v>
      </c>
    </row>
    <row r="417" spans="1:8">
      <c r="A417">
        <v>695542</v>
      </c>
      <c r="B417" t="s">
        <v>1541</v>
      </c>
      <c r="C417">
        <v>298</v>
      </c>
      <c r="D417">
        <v>3.4461892799055498</v>
      </c>
      <c r="E417">
        <v>1026.9644054118501</v>
      </c>
      <c r="F417">
        <v>0.975809788946992</v>
      </c>
      <c r="G417">
        <v>0.98438734434370401</v>
      </c>
      <c r="H417" t="str">
        <f t="shared" si="6"/>
        <v>Q2</v>
      </c>
    </row>
    <row r="418" spans="1:8">
      <c r="A418">
        <v>728156</v>
      </c>
      <c r="B418" t="s">
        <v>4100</v>
      </c>
      <c r="C418">
        <v>211</v>
      </c>
      <c r="D418">
        <v>4.8661580022371496</v>
      </c>
      <c r="E418">
        <v>1026.7593384720401</v>
      </c>
      <c r="F418">
        <v>0.961814830141831</v>
      </c>
      <c r="G418">
        <v>0.98434972348670102</v>
      </c>
      <c r="H418" t="str">
        <f t="shared" si="6"/>
        <v>Q2</v>
      </c>
    </row>
    <row r="419" spans="1:8">
      <c r="A419">
        <v>541518</v>
      </c>
      <c r="B419" t="s">
        <v>3989</v>
      </c>
      <c r="C419">
        <v>394</v>
      </c>
      <c r="D419">
        <v>2.6053041214983801</v>
      </c>
      <c r="E419">
        <v>1026.4898238703599</v>
      </c>
      <c r="F419">
        <v>0.98325871863361003</v>
      </c>
      <c r="G419">
        <v>0.98431210262969804</v>
      </c>
      <c r="H419" t="str">
        <f t="shared" si="6"/>
        <v>Q2</v>
      </c>
    </row>
    <row r="420" spans="1:8">
      <c r="A420">
        <v>738899</v>
      </c>
      <c r="B420" t="s">
        <v>453</v>
      </c>
      <c r="C420">
        <v>168</v>
      </c>
      <c r="D420">
        <v>6.1072537941592104</v>
      </c>
      <c r="E420">
        <v>1026.0186374187499</v>
      </c>
      <c r="F420">
        <v>0.94936232647379704</v>
      </c>
      <c r="G420">
        <v>0.98427448177269505</v>
      </c>
      <c r="H420" t="str">
        <f t="shared" si="6"/>
        <v>Q3</v>
      </c>
    </row>
    <row r="421" spans="1:8">
      <c r="A421">
        <v>793911</v>
      </c>
      <c r="B421" t="s">
        <v>2654</v>
      </c>
      <c r="C421">
        <v>312</v>
      </c>
      <c r="D421">
        <v>3.2880649054184201</v>
      </c>
      <c r="E421">
        <v>1025.8762504905501</v>
      </c>
      <c r="F421">
        <v>0.97716413979910499</v>
      </c>
      <c r="G421">
        <v>0.98423686091569196</v>
      </c>
      <c r="H421" t="str">
        <f t="shared" si="6"/>
        <v>Q2</v>
      </c>
    </row>
    <row r="422" spans="1:8">
      <c r="A422">
        <v>768440</v>
      </c>
      <c r="B422" t="s">
        <v>4947</v>
      </c>
      <c r="C422">
        <v>1024</v>
      </c>
      <c r="D422">
        <v>1.0008524174395499</v>
      </c>
      <c r="E422">
        <v>1024.8728754581</v>
      </c>
      <c r="F422">
        <v>0.99717843572476605</v>
      </c>
      <c r="G422">
        <v>0.98419924005868897</v>
      </c>
      <c r="H422" t="str">
        <f t="shared" si="6"/>
        <v>Q2</v>
      </c>
    </row>
    <row r="423" spans="1:8">
      <c r="A423">
        <v>753724</v>
      </c>
      <c r="B423" t="s">
        <v>4138</v>
      </c>
      <c r="C423">
        <v>386</v>
      </c>
      <c r="D423">
        <v>2.6507200779383702</v>
      </c>
      <c r="E423">
        <v>1023.17795008421</v>
      </c>
      <c r="F423">
        <v>0.98280726834957299</v>
      </c>
      <c r="G423">
        <v>0.98416161920168499</v>
      </c>
      <c r="H423" t="str">
        <f t="shared" si="6"/>
        <v>Q2</v>
      </c>
    </row>
    <row r="424" spans="1:8">
      <c r="A424">
        <v>589222</v>
      </c>
      <c r="B424" t="s">
        <v>4463</v>
      </c>
      <c r="C424">
        <v>522</v>
      </c>
      <c r="D424">
        <v>1.9599681549751999</v>
      </c>
      <c r="E424">
        <v>1023.10337689705</v>
      </c>
      <c r="F424">
        <v>0.98957902261013497</v>
      </c>
      <c r="G424">
        <v>0.984123998344682</v>
      </c>
      <c r="H424" t="str">
        <f t="shared" si="6"/>
        <v>Q2</v>
      </c>
    </row>
    <row r="425" spans="1:8">
      <c r="A425">
        <v>787147</v>
      </c>
      <c r="B425" t="s">
        <v>928</v>
      </c>
      <c r="C425">
        <v>66</v>
      </c>
      <c r="D425">
        <v>15.4573960737749</v>
      </c>
      <c r="E425">
        <v>1020.1881408691401</v>
      </c>
      <c r="F425">
        <v>0.86968135134118396</v>
      </c>
      <c r="G425">
        <v>0.98408637748767902</v>
      </c>
      <c r="H425" t="str">
        <f t="shared" si="6"/>
        <v>Q3</v>
      </c>
    </row>
    <row r="426" spans="1:8">
      <c r="A426">
        <v>573937</v>
      </c>
      <c r="B426" t="s">
        <v>1484</v>
      </c>
      <c r="C426">
        <v>216</v>
      </c>
      <c r="D426">
        <v>4.7214690078463804</v>
      </c>
      <c r="E426">
        <v>1019.83730569482</v>
      </c>
      <c r="F426">
        <v>0.96301869756593095</v>
      </c>
      <c r="G426">
        <v>0.98404875663067604</v>
      </c>
      <c r="H426" t="str">
        <f t="shared" si="6"/>
        <v>Q2</v>
      </c>
    </row>
    <row r="427" spans="1:8">
      <c r="A427">
        <v>796210</v>
      </c>
      <c r="B427" t="s">
        <v>1616</v>
      </c>
      <c r="C427">
        <v>434</v>
      </c>
      <c r="D427">
        <v>2.3446848420726698</v>
      </c>
      <c r="E427">
        <v>1017.59322145954</v>
      </c>
      <c r="F427">
        <v>0.98585455776682596</v>
      </c>
      <c r="G427">
        <v>0.98401113577367305</v>
      </c>
      <c r="H427" t="str">
        <f t="shared" si="6"/>
        <v>Q2</v>
      </c>
    </row>
    <row r="428" spans="1:8">
      <c r="A428">
        <v>772349</v>
      </c>
      <c r="B428" t="s">
        <v>1929</v>
      </c>
      <c r="C428">
        <v>795</v>
      </c>
      <c r="D428">
        <v>1.2765376456813999</v>
      </c>
      <c r="E428">
        <v>1014.84742831672</v>
      </c>
      <c r="F428">
        <v>0.99556073887363195</v>
      </c>
      <c r="G428">
        <v>0.98397351491666996</v>
      </c>
      <c r="H428" t="str">
        <f t="shared" si="6"/>
        <v>Q2</v>
      </c>
    </row>
    <row r="429" spans="1:8">
      <c r="A429">
        <v>718716</v>
      </c>
      <c r="B429" t="s">
        <v>5042</v>
      </c>
      <c r="C429">
        <v>290</v>
      </c>
      <c r="D429">
        <v>3.4902162506277201</v>
      </c>
      <c r="E429">
        <v>1012.16271268204</v>
      </c>
      <c r="F429">
        <v>0.97460592152289205</v>
      </c>
      <c r="G429">
        <v>0.98393589405966697</v>
      </c>
      <c r="H429" t="str">
        <f t="shared" si="6"/>
        <v>Q2</v>
      </c>
    </row>
    <row r="430" spans="1:8">
      <c r="A430">
        <v>535035</v>
      </c>
      <c r="B430" t="s">
        <v>5011</v>
      </c>
      <c r="C430">
        <v>92</v>
      </c>
      <c r="D430">
        <v>10.989388224223401</v>
      </c>
      <c r="E430">
        <v>1011.02371662855</v>
      </c>
      <c r="F430">
        <v>0.90429253978405599</v>
      </c>
      <c r="G430">
        <v>0.98389827320266399</v>
      </c>
      <c r="H430" t="str">
        <f t="shared" si="6"/>
        <v>Q3</v>
      </c>
    </row>
    <row r="431" spans="1:8">
      <c r="A431">
        <v>773989</v>
      </c>
      <c r="B431" t="s">
        <v>1749</v>
      </c>
      <c r="C431">
        <v>206</v>
      </c>
      <c r="D431">
        <v>4.8878888246937899</v>
      </c>
      <c r="E431">
        <v>1006.90509788692</v>
      </c>
      <c r="F431">
        <v>0.96064858357473404</v>
      </c>
      <c r="G431">
        <v>0.98386065234566</v>
      </c>
      <c r="H431" t="str">
        <f t="shared" si="6"/>
        <v>Q2</v>
      </c>
    </row>
    <row r="432" spans="1:8">
      <c r="A432">
        <v>683662</v>
      </c>
      <c r="B432" t="s">
        <v>1387</v>
      </c>
      <c r="C432">
        <v>831</v>
      </c>
      <c r="D432">
        <v>1.21105263042168</v>
      </c>
      <c r="E432">
        <v>1006.38473588042</v>
      </c>
      <c r="F432">
        <v>0.99601218915766898</v>
      </c>
      <c r="G432">
        <v>0.98382303148865702</v>
      </c>
      <c r="H432" t="str">
        <f t="shared" si="6"/>
        <v>Q2</v>
      </c>
    </row>
    <row r="433" spans="1:8">
      <c r="A433">
        <v>699598</v>
      </c>
      <c r="B433" t="s">
        <v>4238</v>
      </c>
      <c r="C433">
        <v>446</v>
      </c>
      <c r="D433">
        <v>2.2555673786234398</v>
      </c>
      <c r="E433">
        <v>1005.98305086605</v>
      </c>
      <c r="F433">
        <v>0.98649411233587903</v>
      </c>
      <c r="G433">
        <v>0.98378541063165403</v>
      </c>
      <c r="H433" t="str">
        <f t="shared" si="6"/>
        <v>Q2</v>
      </c>
    </row>
    <row r="434" spans="1:8">
      <c r="A434">
        <v>790645</v>
      </c>
      <c r="B434" t="s">
        <v>1835</v>
      </c>
      <c r="C434">
        <v>309</v>
      </c>
      <c r="D434">
        <v>3.2538971553246201</v>
      </c>
      <c r="E434">
        <v>1005.45422099531</v>
      </c>
      <c r="F434">
        <v>0.97690079380008299</v>
      </c>
      <c r="G434">
        <v>0.98374778977465105</v>
      </c>
      <c r="H434" t="str">
        <f t="shared" si="6"/>
        <v>Q2</v>
      </c>
    </row>
    <row r="435" spans="1:8">
      <c r="A435">
        <v>739529</v>
      </c>
      <c r="B435" t="s">
        <v>569</v>
      </c>
      <c r="C435">
        <v>634</v>
      </c>
      <c r="D435">
        <v>1.58557177037265</v>
      </c>
      <c r="E435">
        <v>1005.25250241626</v>
      </c>
      <c r="F435">
        <v>0.99304014145442199</v>
      </c>
      <c r="G435">
        <v>0.98371016891764795</v>
      </c>
      <c r="H435" t="str">
        <f t="shared" si="6"/>
        <v>Q2</v>
      </c>
    </row>
    <row r="436" spans="1:8">
      <c r="A436">
        <v>698776</v>
      </c>
      <c r="B436" t="s">
        <v>2289</v>
      </c>
      <c r="C436">
        <v>155</v>
      </c>
      <c r="D436">
        <v>6.4807763263102496</v>
      </c>
      <c r="E436">
        <v>1004.52033057809</v>
      </c>
      <c r="F436">
        <v>0.94454685677739703</v>
      </c>
      <c r="G436">
        <v>0.98367254806064497</v>
      </c>
      <c r="H436" t="str">
        <f t="shared" si="6"/>
        <v>Q3</v>
      </c>
    </row>
    <row r="437" spans="1:8">
      <c r="A437">
        <v>617249</v>
      </c>
      <c r="B437" t="s">
        <v>4025</v>
      </c>
      <c r="C437">
        <v>333</v>
      </c>
      <c r="D437">
        <v>3.0161957952890299</v>
      </c>
      <c r="E437">
        <v>1004.3931998312499</v>
      </c>
      <c r="F437">
        <v>0.97893232007825104</v>
      </c>
      <c r="G437">
        <v>0.98363492720364198</v>
      </c>
      <c r="H437" t="str">
        <f t="shared" si="6"/>
        <v>Q2</v>
      </c>
    </row>
    <row r="438" spans="1:8">
      <c r="A438">
        <v>758060</v>
      </c>
      <c r="B438" t="s">
        <v>2881</v>
      </c>
      <c r="C438">
        <v>407</v>
      </c>
      <c r="D438">
        <v>2.4658060273389002</v>
      </c>
      <c r="E438">
        <v>1003.5830531269301</v>
      </c>
      <c r="F438">
        <v>0.98416161920168499</v>
      </c>
      <c r="G438">
        <v>0.983597306346639</v>
      </c>
      <c r="H438" t="str">
        <f t="shared" si="6"/>
        <v>Q2</v>
      </c>
    </row>
    <row r="439" spans="1:8">
      <c r="A439">
        <v>685017</v>
      </c>
      <c r="B439" t="s">
        <v>5113</v>
      </c>
      <c r="C439">
        <v>317</v>
      </c>
      <c r="D439">
        <v>3.1620915896885</v>
      </c>
      <c r="E439">
        <v>1002.38303393126</v>
      </c>
      <c r="F439">
        <v>0.97776607351115497</v>
      </c>
      <c r="G439">
        <v>0.98355968548963502</v>
      </c>
      <c r="H439" t="str">
        <f t="shared" si="6"/>
        <v>Q2</v>
      </c>
    </row>
    <row r="440" spans="1:8">
      <c r="A440">
        <v>556260</v>
      </c>
      <c r="B440" t="s">
        <v>4475</v>
      </c>
      <c r="C440">
        <v>310</v>
      </c>
      <c r="D440">
        <v>3.2313887074950198</v>
      </c>
      <c r="E440">
        <v>1001.73049932346</v>
      </c>
      <c r="F440">
        <v>0.97693841465708597</v>
      </c>
      <c r="G440">
        <v>0.98352206463263203</v>
      </c>
      <c r="H440" t="str">
        <f t="shared" si="6"/>
        <v>Q2</v>
      </c>
    </row>
    <row r="441" spans="1:8">
      <c r="A441">
        <v>723469</v>
      </c>
      <c r="B441" t="s">
        <v>2512</v>
      </c>
      <c r="C441">
        <v>415</v>
      </c>
      <c r="D441">
        <v>2.41361650559737</v>
      </c>
      <c r="E441">
        <v>1001.65084982291</v>
      </c>
      <c r="F441">
        <v>0.98465069034272601</v>
      </c>
      <c r="G441">
        <v>0.98348444377562905</v>
      </c>
      <c r="H441" t="str">
        <f t="shared" si="6"/>
        <v>Q2</v>
      </c>
    </row>
    <row r="442" spans="1:8">
      <c r="A442">
        <v>580482</v>
      </c>
      <c r="B442" t="s">
        <v>1953</v>
      </c>
      <c r="C442">
        <v>272</v>
      </c>
      <c r="D442">
        <v>3.6770376582246498</v>
      </c>
      <c r="E442">
        <v>1000.1542430370999</v>
      </c>
      <c r="F442">
        <v>0.97212294496068596</v>
      </c>
      <c r="G442">
        <v>0.98344682291862595</v>
      </c>
      <c r="H442" t="str">
        <f t="shared" si="6"/>
        <v>Q2</v>
      </c>
    </row>
    <row r="443" spans="1:8">
      <c r="A443">
        <v>721609</v>
      </c>
      <c r="B443" t="s">
        <v>4741</v>
      </c>
      <c r="C443">
        <v>154</v>
      </c>
      <c r="D443">
        <v>6.4569667005887297</v>
      </c>
      <c r="E443">
        <v>994.37287189066399</v>
      </c>
      <c r="F443">
        <v>0.94424588992137204</v>
      </c>
      <c r="G443">
        <v>0.98340920206162297</v>
      </c>
      <c r="H443" t="str">
        <f t="shared" si="6"/>
        <v>Q3</v>
      </c>
    </row>
    <row r="444" spans="1:8">
      <c r="A444">
        <v>719530</v>
      </c>
      <c r="B444" t="s">
        <v>2976</v>
      </c>
      <c r="C444">
        <v>311</v>
      </c>
      <c r="D444">
        <v>3.1938470277180602</v>
      </c>
      <c r="E444">
        <v>993.286425620317</v>
      </c>
      <c r="F444">
        <v>0.97705127722809504</v>
      </c>
      <c r="G444">
        <v>0.98337158120461998</v>
      </c>
      <c r="H444" t="str">
        <f t="shared" si="6"/>
        <v>Q2</v>
      </c>
    </row>
    <row r="445" spans="1:8">
      <c r="A445">
        <v>798744</v>
      </c>
      <c r="B445" t="s">
        <v>2743</v>
      </c>
      <c r="C445">
        <v>208</v>
      </c>
      <c r="D445">
        <v>4.77390814877044</v>
      </c>
      <c r="E445">
        <v>992.97289494425104</v>
      </c>
      <c r="F445">
        <v>0.96102479214476499</v>
      </c>
      <c r="G445">
        <v>0.983333960347617</v>
      </c>
      <c r="H445" t="str">
        <f t="shared" si="6"/>
        <v>Q2</v>
      </c>
    </row>
    <row r="446" spans="1:8">
      <c r="A446">
        <v>803647</v>
      </c>
      <c r="B446" t="s">
        <v>1588</v>
      </c>
      <c r="C446">
        <v>250</v>
      </c>
      <c r="D446">
        <v>3.9703389912843701</v>
      </c>
      <c r="E446">
        <v>992.58474782109295</v>
      </c>
      <c r="F446">
        <v>0.96903803468643002</v>
      </c>
      <c r="G446">
        <v>0.98329633949061401</v>
      </c>
      <c r="H446" t="str">
        <f t="shared" si="6"/>
        <v>Q2</v>
      </c>
    </row>
    <row r="447" spans="1:8">
      <c r="A447">
        <v>679278</v>
      </c>
      <c r="B447" t="s">
        <v>962</v>
      </c>
      <c r="C447">
        <v>512</v>
      </c>
      <c r="D447">
        <v>1.93849965853587</v>
      </c>
      <c r="E447">
        <v>992.51182517036796</v>
      </c>
      <c r="F447">
        <v>0.98912757232609805</v>
      </c>
      <c r="G447">
        <v>0.98325871863361003</v>
      </c>
      <c r="H447" t="str">
        <f t="shared" si="6"/>
        <v>Q2</v>
      </c>
    </row>
    <row r="448" spans="1:8">
      <c r="A448">
        <v>637283</v>
      </c>
      <c r="B448" t="s">
        <v>4822</v>
      </c>
      <c r="C448">
        <v>176</v>
      </c>
      <c r="D448">
        <v>5.6365563788197299</v>
      </c>
      <c r="E448">
        <v>992.03392267227196</v>
      </c>
      <c r="F448">
        <v>0.95199578646401595</v>
      </c>
      <c r="G448">
        <v>0.98322109777660704</v>
      </c>
      <c r="H448" t="str">
        <f t="shared" si="6"/>
        <v>Q1</v>
      </c>
    </row>
    <row r="449" spans="1:8">
      <c r="A449">
        <v>678692</v>
      </c>
      <c r="B449" t="s">
        <v>1313</v>
      </c>
      <c r="C449">
        <v>608</v>
      </c>
      <c r="D449">
        <v>1.63085129384662</v>
      </c>
      <c r="E449">
        <v>991.557586658746</v>
      </c>
      <c r="F449">
        <v>0.99243820774237201</v>
      </c>
      <c r="G449">
        <v>0.98318347691960395</v>
      </c>
      <c r="H449" t="str">
        <f t="shared" si="6"/>
        <v>Q2</v>
      </c>
    </row>
    <row r="450" spans="1:8">
      <c r="A450">
        <v>733123</v>
      </c>
      <c r="B450" t="s">
        <v>4086</v>
      </c>
      <c r="C450">
        <v>211</v>
      </c>
      <c r="D450">
        <v>4.6990843472110697</v>
      </c>
      <c r="E450">
        <v>991.50679726153601</v>
      </c>
      <c r="F450">
        <v>0.961814830141831</v>
      </c>
      <c r="G450">
        <v>0.98314585606260096</v>
      </c>
      <c r="H450" t="str">
        <f t="shared" si="6"/>
        <v>Q2</v>
      </c>
    </row>
    <row r="451" spans="1:8">
      <c r="A451">
        <v>568597</v>
      </c>
      <c r="B451" t="s">
        <v>2054</v>
      </c>
      <c r="C451">
        <v>248</v>
      </c>
      <c r="D451">
        <v>3.99708174649746</v>
      </c>
      <c r="E451">
        <v>991.276273131371</v>
      </c>
      <c r="F451">
        <v>0.96866182611639895</v>
      </c>
      <c r="G451">
        <v>0.98310823520559798</v>
      </c>
      <c r="H451" t="str">
        <f t="shared" ref="H451:H514" si="7">IF(C451&gt;$J$2,
   IF(D451&gt;$J$3,"Q1","Q2"),
   IF(D451&gt;$J$3,"Q3","Q4"))</f>
        <v>Q2</v>
      </c>
    </row>
    <row r="452" spans="1:8">
      <c r="A452">
        <v>745219</v>
      </c>
      <c r="B452" t="s">
        <v>3252</v>
      </c>
      <c r="C452">
        <v>599</v>
      </c>
      <c r="D452">
        <v>1.65476070227994</v>
      </c>
      <c r="E452">
        <v>991.20166066568299</v>
      </c>
      <c r="F452">
        <v>0.99213724088634703</v>
      </c>
      <c r="G452">
        <v>0.983070614348595</v>
      </c>
      <c r="H452" t="str">
        <f t="shared" si="7"/>
        <v>Q2</v>
      </c>
    </row>
    <row r="453" spans="1:8">
      <c r="A453">
        <v>757903</v>
      </c>
      <c r="B453" t="s">
        <v>535</v>
      </c>
      <c r="C453">
        <v>634</v>
      </c>
      <c r="D453">
        <v>1.5627866597664</v>
      </c>
      <c r="E453">
        <v>990.80674229189799</v>
      </c>
      <c r="F453">
        <v>0.99304014145442199</v>
      </c>
      <c r="G453">
        <v>0.98303299349159201</v>
      </c>
      <c r="H453" t="str">
        <f t="shared" si="7"/>
        <v>Q2</v>
      </c>
    </row>
    <row r="454" spans="1:8">
      <c r="A454">
        <v>727611</v>
      </c>
      <c r="B454" t="s">
        <v>5259</v>
      </c>
      <c r="C454">
        <v>368</v>
      </c>
      <c r="D454">
        <v>2.6920366518543601</v>
      </c>
      <c r="E454">
        <v>990.66948788240597</v>
      </c>
      <c r="F454">
        <v>0.981716263496482</v>
      </c>
      <c r="G454">
        <v>0.98299537263458903</v>
      </c>
      <c r="H454" t="str">
        <f t="shared" si="7"/>
        <v>Q2</v>
      </c>
    </row>
    <row r="455" spans="1:8">
      <c r="A455">
        <v>773075</v>
      </c>
      <c r="B455" t="s">
        <v>529</v>
      </c>
      <c r="C455">
        <v>262</v>
      </c>
      <c r="D455">
        <v>3.7770604419713898</v>
      </c>
      <c r="E455">
        <v>989.58983579650499</v>
      </c>
      <c r="F455">
        <v>0.97076859410857397</v>
      </c>
      <c r="G455">
        <v>0.98295775177758504</v>
      </c>
      <c r="H455" t="str">
        <f t="shared" si="7"/>
        <v>Q2</v>
      </c>
    </row>
    <row r="456" spans="1:8">
      <c r="A456">
        <v>691177</v>
      </c>
      <c r="B456" t="s">
        <v>906</v>
      </c>
      <c r="C456">
        <v>246</v>
      </c>
      <c r="D456">
        <v>4.02130357451676</v>
      </c>
      <c r="E456">
        <v>989.24067933112406</v>
      </c>
      <c r="F456">
        <v>0.96821037583236103</v>
      </c>
      <c r="G456">
        <v>0.98292013092058195</v>
      </c>
      <c r="H456" t="str">
        <f t="shared" si="7"/>
        <v>Q2</v>
      </c>
    </row>
    <row r="457" spans="1:8">
      <c r="A457">
        <v>593808</v>
      </c>
      <c r="B457" t="s">
        <v>3085</v>
      </c>
      <c r="C457">
        <v>219</v>
      </c>
      <c r="D457">
        <v>4.5128627837588802</v>
      </c>
      <c r="E457">
        <v>988.31694964319502</v>
      </c>
      <c r="F457">
        <v>0.96350776870697097</v>
      </c>
      <c r="G457">
        <v>0.98288251006357896</v>
      </c>
      <c r="H457" t="str">
        <f t="shared" si="7"/>
        <v>Q2</v>
      </c>
    </row>
    <row r="458" spans="1:8">
      <c r="A458">
        <v>821663</v>
      </c>
      <c r="B458" t="s">
        <v>2236</v>
      </c>
      <c r="C458">
        <v>318</v>
      </c>
      <c r="D458">
        <v>3.1054311434873099</v>
      </c>
      <c r="E458">
        <v>987.527103628963</v>
      </c>
      <c r="F458">
        <v>0.97784131522516105</v>
      </c>
      <c r="G458">
        <v>0.98284488920657598</v>
      </c>
      <c r="H458" t="str">
        <f t="shared" si="7"/>
        <v>Q2</v>
      </c>
    </row>
    <row r="459" spans="1:8">
      <c r="A459">
        <v>760123</v>
      </c>
      <c r="B459" t="s">
        <v>80</v>
      </c>
      <c r="C459">
        <v>617</v>
      </c>
      <c r="D459">
        <v>1.59892310475934</v>
      </c>
      <c r="E459">
        <v>986.53555563651003</v>
      </c>
      <c r="F459">
        <v>0.992739174598397</v>
      </c>
      <c r="G459">
        <v>0.98280726834957299</v>
      </c>
      <c r="H459" t="str">
        <f t="shared" si="7"/>
        <v>Q2</v>
      </c>
    </row>
    <row r="460" spans="1:8">
      <c r="A460">
        <v>790976</v>
      </c>
      <c r="B460" t="s">
        <v>1788</v>
      </c>
      <c r="C460">
        <v>203</v>
      </c>
      <c r="D460">
        <v>4.8574518572924497</v>
      </c>
      <c r="E460">
        <v>986.062727030367</v>
      </c>
      <c r="F460">
        <v>0.95997140814867798</v>
      </c>
      <c r="G460">
        <v>0.98276964749257001</v>
      </c>
      <c r="H460" t="str">
        <f t="shared" si="7"/>
        <v>Q2</v>
      </c>
    </row>
    <row r="461" spans="1:8">
      <c r="A461">
        <v>632307</v>
      </c>
      <c r="B461" t="s">
        <v>1559</v>
      </c>
      <c r="C461">
        <v>619</v>
      </c>
      <c r="D461">
        <v>1.5906409361220699</v>
      </c>
      <c r="E461">
        <v>984.60673945955898</v>
      </c>
      <c r="F461">
        <v>0.99277679545539999</v>
      </c>
      <c r="G461">
        <v>0.98273202663556702</v>
      </c>
      <c r="H461" t="str">
        <f t="shared" si="7"/>
        <v>Q2</v>
      </c>
    </row>
    <row r="462" spans="1:8">
      <c r="A462">
        <v>717664</v>
      </c>
      <c r="B462" t="s">
        <v>1787</v>
      </c>
      <c r="C462">
        <v>408</v>
      </c>
      <c r="D462">
        <v>2.4123047564096498</v>
      </c>
      <c r="E462">
        <v>984.22034061513796</v>
      </c>
      <c r="F462">
        <v>0.98423686091569196</v>
      </c>
      <c r="G462">
        <v>0.98269440577856404</v>
      </c>
      <c r="H462" t="str">
        <f t="shared" si="7"/>
        <v>Q2</v>
      </c>
    </row>
    <row r="463" spans="1:8">
      <c r="A463">
        <v>697050</v>
      </c>
      <c r="B463" t="s">
        <v>1080</v>
      </c>
      <c r="C463">
        <v>821</v>
      </c>
      <c r="D463">
        <v>1.19769190402359</v>
      </c>
      <c r="E463">
        <v>983.30505320336704</v>
      </c>
      <c r="F463">
        <v>0.99593694744366301</v>
      </c>
      <c r="G463">
        <v>0.98265678492155994</v>
      </c>
      <c r="H463" t="str">
        <f t="shared" si="7"/>
        <v>Q2</v>
      </c>
    </row>
    <row r="464" spans="1:8">
      <c r="A464">
        <v>707293</v>
      </c>
      <c r="B464" t="s">
        <v>778</v>
      </c>
      <c r="C464">
        <v>333</v>
      </c>
      <c r="D464">
        <v>2.9414058086817501</v>
      </c>
      <c r="E464">
        <v>979.48813429102302</v>
      </c>
      <c r="F464">
        <v>0.97893232007825104</v>
      </c>
      <c r="G464">
        <v>0.98261916406455696</v>
      </c>
      <c r="H464" t="str">
        <f t="shared" si="7"/>
        <v>Q2</v>
      </c>
    </row>
    <row r="465" spans="1:8">
      <c r="A465">
        <v>789331</v>
      </c>
      <c r="B465" t="s">
        <v>2635</v>
      </c>
      <c r="C465">
        <v>125</v>
      </c>
      <c r="D465">
        <v>7.8293966427445403</v>
      </c>
      <c r="E465">
        <v>978.67458034306799</v>
      </c>
      <c r="F465">
        <v>0.93028855197321403</v>
      </c>
      <c r="G465">
        <v>0.98258154320755398</v>
      </c>
      <c r="H465" t="str">
        <f t="shared" si="7"/>
        <v>Q3</v>
      </c>
    </row>
    <row r="466" spans="1:8">
      <c r="A466">
        <v>710194</v>
      </c>
      <c r="B466" t="s">
        <v>4249</v>
      </c>
      <c r="C466">
        <v>462</v>
      </c>
      <c r="D466">
        <v>2.1176314320076601</v>
      </c>
      <c r="E466">
        <v>978.34572158753895</v>
      </c>
      <c r="F466">
        <v>0.98713366690493198</v>
      </c>
      <c r="G466">
        <v>0.98254392235055099</v>
      </c>
      <c r="H466" t="str">
        <f t="shared" si="7"/>
        <v>Q2</v>
      </c>
    </row>
    <row r="467" spans="1:8">
      <c r="A467">
        <v>760975</v>
      </c>
      <c r="B467" t="s">
        <v>4720</v>
      </c>
      <c r="C467">
        <v>307</v>
      </c>
      <c r="D467">
        <v>3.1855683188266601</v>
      </c>
      <c r="E467">
        <v>977.969473879784</v>
      </c>
      <c r="F467">
        <v>0.97675031037207005</v>
      </c>
      <c r="G467">
        <v>0.98250630149354801</v>
      </c>
      <c r="H467" t="str">
        <f t="shared" si="7"/>
        <v>Q2</v>
      </c>
    </row>
    <row r="468" spans="1:8">
      <c r="A468">
        <v>707742</v>
      </c>
      <c r="B468" t="s">
        <v>2429</v>
      </c>
      <c r="C468">
        <v>217</v>
      </c>
      <c r="D468">
        <v>4.49546207266126</v>
      </c>
      <c r="E468">
        <v>975.51526976749301</v>
      </c>
      <c r="F468">
        <v>0.96320680185094598</v>
      </c>
      <c r="G468">
        <v>0.98246868063654502</v>
      </c>
      <c r="H468" t="str">
        <f t="shared" si="7"/>
        <v>Q2</v>
      </c>
    </row>
    <row r="469" spans="1:8">
      <c r="A469">
        <v>763282</v>
      </c>
      <c r="B469" t="s">
        <v>1815</v>
      </c>
      <c r="C469">
        <v>290</v>
      </c>
      <c r="D469">
        <v>3.3620864864246101</v>
      </c>
      <c r="E469">
        <v>975.005081063136</v>
      </c>
      <c r="F469">
        <v>0.97460592152289205</v>
      </c>
      <c r="G469">
        <v>0.98243105977954204</v>
      </c>
      <c r="H469" t="str">
        <f t="shared" si="7"/>
        <v>Q2</v>
      </c>
    </row>
    <row r="470" spans="1:8">
      <c r="A470">
        <v>777628</v>
      </c>
      <c r="B470" t="s">
        <v>4982</v>
      </c>
      <c r="C470">
        <v>175</v>
      </c>
      <c r="D470">
        <v>5.5710798725485802</v>
      </c>
      <c r="E470">
        <v>974.93897769600198</v>
      </c>
      <c r="F470">
        <v>0.95188292389300599</v>
      </c>
      <c r="G470">
        <v>0.98239343892253905</v>
      </c>
      <c r="H470" t="str">
        <f t="shared" si="7"/>
        <v>Q1</v>
      </c>
    </row>
    <row r="471" spans="1:8">
      <c r="A471">
        <v>788326</v>
      </c>
      <c r="B471" t="s">
        <v>4680</v>
      </c>
      <c r="C471">
        <v>123</v>
      </c>
      <c r="D471">
        <v>7.9252308613158799</v>
      </c>
      <c r="E471">
        <v>974.80339594185398</v>
      </c>
      <c r="F471">
        <v>0.92893420112110203</v>
      </c>
      <c r="G471">
        <v>0.98235581806553596</v>
      </c>
      <c r="H471" t="str">
        <f t="shared" si="7"/>
        <v>Q3</v>
      </c>
    </row>
    <row r="472" spans="1:8">
      <c r="A472">
        <v>716045</v>
      </c>
      <c r="B472" t="s">
        <v>3649</v>
      </c>
      <c r="C472">
        <v>94</v>
      </c>
      <c r="D472">
        <v>10.3633788830422</v>
      </c>
      <c r="E472">
        <v>974.15761500597</v>
      </c>
      <c r="F472">
        <v>0.906700274632256</v>
      </c>
      <c r="G472">
        <v>0.98231819720853197</v>
      </c>
      <c r="H472" t="str">
        <f t="shared" si="7"/>
        <v>Q3</v>
      </c>
    </row>
    <row r="473" spans="1:8">
      <c r="A473">
        <v>689005</v>
      </c>
      <c r="B473" t="s">
        <v>5153</v>
      </c>
      <c r="C473">
        <v>377</v>
      </c>
      <c r="D473">
        <v>2.5819448736898898</v>
      </c>
      <c r="E473">
        <v>973.39321738109004</v>
      </c>
      <c r="F473">
        <v>0.98235581806553596</v>
      </c>
      <c r="G473">
        <v>0.98228057635152899</v>
      </c>
      <c r="H473" t="str">
        <f t="shared" si="7"/>
        <v>Q2</v>
      </c>
    </row>
    <row r="474" spans="1:8">
      <c r="A474">
        <v>711416</v>
      </c>
      <c r="B474" t="s">
        <v>1000</v>
      </c>
      <c r="C474">
        <v>121</v>
      </c>
      <c r="D474">
        <v>8.0290797251191997</v>
      </c>
      <c r="E474">
        <v>971.51864673942305</v>
      </c>
      <c r="F474">
        <v>0.92788081712501402</v>
      </c>
      <c r="G474">
        <v>0.982242955494526</v>
      </c>
      <c r="H474" t="str">
        <f t="shared" si="7"/>
        <v>Q3</v>
      </c>
    </row>
    <row r="475" spans="1:8">
      <c r="A475">
        <v>650122</v>
      </c>
      <c r="B475" t="s">
        <v>860</v>
      </c>
      <c r="C475">
        <v>163</v>
      </c>
      <c r="D475">
        <v>5.9539669758977301</v>
      </c>
      <c r="E475">
        <v>970.496617071331</v>
      </c>
      <c r="F475">
        <v>0.94751890448064402</v>
      </c>
      <c r="G475">
        <v>0.98220533463752302</v>
      </c>
      <c r="H475" t="str">
        <f t="shared" si="7"/>
        <v>Q3</v>
      </c>
    </row>
    <row r="476" spans="1:8">
      <c r="A476">
        <v>692709</v>
      </c>
      <c r="B476" t="s">
        <v>410</v>
      </c>
      <c r="C476">
        <v>346</v>
      </c>
      <c r="D476">
        <v>2.8023219254201601</v>
      </c>
      <c r="E476">
        <v>969.60338619537697</v>
      </c>
      <c r="F476">
        <v>0.98024905007336105</v>
      </c>
      <c r="G476">
        <v>0.98216771378052004</v>
      </c>
      <c r="H476" t="str">
        <f t="shared" si="7"/>
        <v>Q2</v>
      </c>
    </row>
    <row r="477" spans="1:8">
      <c r="A477">
        <v>733106</v>
      </c>
      <c r="B477" t="s">
        <v>4088</v>
      </c>
      <c r="C477">
        <v>387</v>
      </c>
      <c r="D477">
        <v>2.4979240516109198</v>
      </c>
      <c r="E477">
        <v>966.69660797342704</v>
      </c>
      <c r="F477">
        <v>0.98284488920657598</v>
      </c>
      <c r="G477">
        <v>0.98213009292351705</v>
      </c>
      <c r="H477" t="str">
        <f t="shared" si="7"/>
        <v>Q2</v>
      </c>
    </row>
    <row r="478" spans="1:8">
      <c r="A478">
        <v>719209</v>
      </c>
      <c r="B478" t="s">
        <v>2442</v>
      </c>
      <c r="C478">
        <v>305</v>
      </c>
      <c r="D478">
        <v>3.1663072872601599</v>
      </c>
      <c r="E478">
        <v>965.72372261434805</v>
      </c>
      <c r="F478">
        <v>0.97656220608705502</v>
      </c>
      <c r="G478">
        <v>0.98209247206651396</v>
      </c>
      <c r="H478" t="str">
        <f t="shared" si="7"/>
        <v>Q2</v>
      </c>
    </row>
    <row r="479" spans="1:8">
      <c r="A479">
        <v>788324</v>
      </c>
      <c r="B479" t="s">
        <v>1691</v>
      </c>
      <c r="C479">
        <v>172</v>
      </c>
      <c r="D479">
        <v>5.6121109088687904</v>
      </c>
      <c r="E479">
        <v>965.28307632543101</v>
      </c>
      <c r="F479">
        <v>0.95082953989691898</v>
      </c>
      <c r="G479">
        <v>0.98205485120951097</v>
      </c>
      <c r="H479" t="str">
        <f t="shared" si="7"/>
        <v>Q1</v>
      </c>
    </row>
    <row r="480" spans="1:8">
      <c r="A480">
        <v>547365</v>
      </c>
      <c r="B480" t="s">
        <v>1739</v>
      </c>
      <c r="C480">
        <v>637</v>
      </c>
      <c r="D480">
        <v>1.5127211194003001</v>
      </c>
      <c r="E480">
        <v>963.60335305798799</v>
      </c>
      <c r="F480">
        <v>0.99315300402543205</v>
      </c>
      <c r="G480">
        <v>0.98201723035250699</v>
      </c>
      <c r="H480" t="str">
        <f t="shared" si="7"/>
        <v>Q2</v>
      </c>
    </row>
    <row r="481" spans="1:8">
      <c r="A481">
        <v>660726</v>
      </c>
      <c r="B481" t="s">
        <v>660</v>
      </c>
      <c r="C481">
        <v>305</v>
      </c>
      <c r="D481">
        <v>3.1575159276606599</v>
      </c>
      <c r="E481">
        <v>963.04235793650196</v>
      </c>
      <c r="F481">
        <v>0.97656220608705502</v>
      </c>
      <c r="G481">
        <v>0.981979609495504</v>
      </c>
      <c r="H481" t="str">
        <f t="shared" si="7"/>
        <v>Q2</v>
      </c>
    </row>
    <row r="482" spans="1:8">
      <c r="A482">
        <v>736592</v>
      </c>
      <c r="B482" t="s">
        <v>4632</v>
      </c>
      <c r="C482">
        <v>395</v>
      </c>
      <c r="D482">
        <v>2.4331516882145299</v>
      </c>
      <c r="E482">
        <v>961.09491684474096</v>
      </c>
      <c r="F482">
        <v>0.983333960347617</v>
      </c>
      <c r="G482">
        <v>0.98194198863850102</v>
      </c>
      <c r="H482" t="str">
        <f t="shared" si="7"/>
        <v>Q2</v>
      </c>
    </row>
    <row r="483" spans="1:8">
      <c r="A483">
        <v>614622</v>
      </c>
      <c r="B483" t="s">
        <v>2139</v>
      </c>
      <c r="C483">
        <v>104</v>
      </c>
      <c r="D483">
        <v>9.2318449921619408</v>
      </c>
      <c r="E483">
        <v>960.111879184842</v>
      </c>
      <c r="F483">
        <v>0.91524020917196502</v>
      </c>
      <c r="G483">
        <v>0.98190436778149803</v>
      </c>
      <c r="H483" t="str">
        <f t="shared" si="7"/>
        <v>Q3</v>
      </c>
    </row>
    <row r="484" spans="1:8">
      <c r="A484">
        <v>740519</v>
      </c>
      <c r="B484" t="s">
        <v>4574</v>
      </c>
      <c r="C484">
        <v>200</v>
      </c>
      <c r="D484">
        <v>4.7987797348760104</v>
      </c>
      <c r="E484">
        <v>959.75594697520103</v>
      </c>
      <c r="F484">
        <v>0.95903088672360004</v>
      </c>
      <c r="G484">
        <v>0.98186674692449505</v>
      </c>
      <c r="H484" t="str">
        <f t="shared" si="7"/>
        <v>Q2</v>
      </c>
    </row>
    <row r="485" spans="1:8">
      <c r="A485">
        <v>698302</v>
      </c>
      <c r="B485" t="s">
        <v>2089</v>
      </c>
      <c r="C485">
        <v>462</v>
      </c>
      <c r="D485">
        <v>2.0763114967093199</v>
      </c>
      <c r="E485">
        <v>959.25591147970397</v>
      </c>
      <c r="F485">
        <v>0.98713366690493198</v>
      </c>
      <c r="G485">
        <v>0.98182912606749195</v>
      </c>
      <c r="H485" t="str">
        <f t="shared" si="7"/>
        <v>Q2</v>
      </c>
    </row>
    <row r="486" spans="1:8">
      <c r="A486">
        <v>783497</v>
      </c>
      <c r="B486" t="s">
        <v>303</v>
      </c>
      <c r="C486">
        <v>169</v>
      </c>
      <c r="D486">
        <v>5.6736236471219899</v>
      </c>
      <c r="E486">
        <v>958.84239636361599</v>
      </c>
      <c r="F486">
        <v>0.94973853504382799</v>
      </c>
      <c r="G486">
        <v>0.98179150521048897</v>
      </c>
      <c r="H486" t="str">
        <f t="shared" si="7"/>
        <v>Q1</v>
      </c>
    </row>
    <row r="487" spans="1:8">
      <c r="A487">
        <v>794819</v>
      </c>
      <c r="B487" t="s">
        <v>1787</v>
      </c>
      <c r="C487">
        <v>405</v>
      </c>
      <c r="D487">
        <v>2.3600585938051899</v>
      </c>
      <c r="E487">
        <v>955.82373049110197</v>
      </c>
      <c r="F487">
        <v>0.98404875663067604</v>
      </c>
      <c r="G487">
        <v>0.98175388435348598</v>
      </c>
      <c r="H487" t="str">
        <f t="shared" si="7"/>
        <v>Q2</v>
      </c>
    </row>
    <row r="488" spans="1:8">
      <c r="A488">
        <v>704065</v>
      </c>
      <c r="B488" t="s">
        <v>3285</v>
      </c>
      <c r="C488">
        <v>303</v>
      </c>
      <c r="D488">
        <v>3.1524808222901299</v>
      </c>
      <c r="E488">
        <v>955.20168915391002</v>
      </c>
      <c r="F488">
        <v>0.976336480945036</v>
      </c>
      <c r="G488">
        <v>0.981716263496482</v>
      </c>
      <c r="H488" t="str">
        <f t="shared" si="7"/>
        <v>Q2</v>
      </c>
    </row>
    <row r="489" spans="1:8">
      <c r="A489">
        <v>734435</v>
      </c>
      <c r="B489" t="s">
        <v>4269</v>
      </c>
      <c r="C489">
        <v>205</v>
      </c>
      <c r="D489">
        <v>4.6500207392907704</v>
      </c>
      <c r="E489">
        <v>953.254251554608</v>
      </c>
      <c r="F489">
        <v>0.96038523757571204</v>
      </c>
      <c r="G489">
        <v>0.98167864263947902</v>
      </c>
      <c r="H489" t="str">
        <f t="shared" si="7"/>
        <v>Q2</v>
      </c>
    </row>
    <row r="490" spans="1:8">
      <c r="A490">
        <v>490113</v>
      </c>
      <c r="B490" t="s">
        <v>2803</v>
      </c>
      <c r="C490">
        <v>265</v>
      </c>
      <c r="D490">
        <v>3.5916277708239699</v>
      </c>
      <c r="E490">
        <v>951.78135926835205</v>
      </c>
      <c r="F490">
        <v>0.97114480267860503</v>
      </c>
      <c r="G490">
        <v>0.98164102178247603</v>
      </c>
      <c r="H490" t="str">
        <f t="shared" si="7"/>
        <v>Q2</v>
      </c>
    </row>
    <row r="491" spans="1:8">
      <c r="A491">
        <v>747198</v>
      </c>
      <c r="B491" t="s">
        <v>1944</v>
      </c>
      <c r="C491">
        <v>396</v>
      </c>
      <c r="D491">
        <v>2.40298322792344</v>
      </c>
      <c r="E491">
        <v>951.58135825768102</v>
      </c>
      <c r="F491">
        <v>0.98340920206162297</v>
      </c>
      <c r="G491">
        <v>0.98160340092547305</v>
      </c>
      <c r="H491" t="str">
        <f t="shared" si="7"/>
        <v>Q2</v>
      </c>
    </row>
    <row r="492" spans="1:8">
      <c r="A492">
        <v>760633</v>
      </c>
      <c r="B492" t="s">
        <v>1089</v>
      </c>
      <c r="C492">
        <v>256</v>
      </c>
      <c r="D492">
        <v>3.7103681188455102</v>
      </c>
      <c r="E492">
        <v>949.85423842445005</v>
      </c>
      <c r="F492">
        <v>0.96994093525450498</v>
      </c>
      <c r="G492">
        <v>0.98156578006846995</v>
      </c>
      <c r="H492" t="str">
        <f t="shared" si="7"/>
        <v>Q2</v>
      </c>
    </row>
    <row r="493" spans="1:8">
      <c r="A493">
        <v>665089</v>
      </c>
      <c r="B493" t="s">
        <v>861</v>
      </c>
      <c r="C493">
        <v>360</v>
      </c>
      <c r="D493">
        <v>2.6330790378981201</v>
      </c>
      <c r="E493">
        <v>947.90845364332199</v>
      </c>
      <c r="F493">
        <v>0.98118957149843899</v>
      </c>
      <c r="G493">
        <v>0.98152815921146697</v>
      </c>
      <c r="H493" t="str">
        <f t="shared" si="7"/>
        <v>Q2</v>
      </c>
    </row>
    <row r="494" spans="1:8">
      <c r="A494">
        <v>663282</v>
      </c>
      <c r="B494" t="s">
        <v>2328</v>
      </c>
      <c r="C494">
        <v>281</v>
      </c>
      <c r="D494">
        <v>3.350648411891</v>
      </c>
      <c r="E494">
        <v>941.53220374137197</v>
      </c>
      <c r="F494">
        <v>0.97340205409879199</v>
      </c>
      <c r="G494">
        <v>0.98149053835446398</v>
      </c>
      <c r="H494" t="str">
        <f t="shared" si="7"/>
        <v>Q2</v>
      </c>
    </row>
    <row r="495" spans="1:8">
      <c r="A495">
        <v>704126</v>
      </c>
      <c r="B495" t="s">
        <v>4664</v>
      </c>
      <c r="C495">
        <v>293</v>
      </c>
      <c r="D495">
        <v>3.2088505256755799</v>
      </c>
      <c r="E495">
        <v>940.19320402294397</v>
      </c>
      <c r="F495">
        <v>0.97517023437793904</v>
      </c>
      <c r="G495">
        <v>0.981452917497461</v>
      </c>
      <c r="H495" t="str">
        <f t="shared" si="7"/>
        <v>Q2</v>
      </c>
    </row>
    <row r="496" spans="1:8">
      <c r="A496">
        <v>700701</v>
      </c>
      <c r="B496" t="s">
        <v>3568</v>
      </c>
      <c r="C496">
        <v>385</v>
      </c>
      <c r="D496">
        <v>2.4382742748341801</v>
      </c>
      <c r="E496">
        <v>938.73559581115796</v>
      </c>
      <c r="F496">
        <v>0.98273202663556702</v>
      </c>
      <c r="G496">
        <v>0.98141529664045701</v>
      </c>
      <c r="H496" t="str">
        <f t="shared" si="7"/>
        <v>Q2</v>
      </c>
    </row>
    <row r="497" spans="1:8">
      <c r="A497">
        <v>692155</v>
      </c>
      <c r="B497" t="s">
        <v>3903</v>
      </c>
      <c r="C497">
        <v>118</v>
      </c>
      <c r="D497">
        <v>7.9552858815354801</v>
      </c>
      <c r="E497">
        <v>938.72373402118706</v>
      </c>
      <c r="F497">
        <v>0.92592453256085205</v>
      </c>
      <c r="G497">
        <v>0.98137767578345403</v>
      </c>
      <c r="H497" t="str">
        <f t="shared" si="7"/>
        <v>Q3</v>
      </c>
    </row>
    <row r="498" spans="1:8">
      <c r="A498">
        <v>791293</v>
      </c>
      <c r="B498" t="s">
        <v>1956</v>
      </c>
      <c r="C498">
        <v>313</v>
      </c>
      <c r="D498">
        <v>2.9990631396682899</v>
      </c>
      <c r="E498">
        <v>938.70676271617401</v>
      </c>
      <c r="F498">
        <v>0.97727700237011395</v>
      </c>
      <c r="G498">
        <v>0.98134005492645104</v>
      </c>
      <c r="H498" t="str">
        <f t="shared" si="7"/>
        <v>Q2</v>
      </c>
    </row>
    <row r="499" spans="1:8">
      <c r="A499">
        <v>752516</v>
      </c>
      <c r="B499" t="s">
        <v>1237</v>
      </c>
      <c r="C499">
        <v>292</v>
      </c>
      <c r="D499">
        <v>3.21321104013693</v>
      </c>
      <c r="E499">
        <v>938.25762371998303</v>
      </c>
      <c r="F499">
        <v>0.97501975094992699</v>
      </c>
      <c r="G499">
        <v>0.98130243406944795</v>
      </c>
      <c r="H499" t="str">
        <f t="shared" si="7"/>
        <v>Q2</v>
      </c>
    </row>
    <row r="500" spans="1:8">
      <c r="A500">
        <v>745232</v>
      </c>
      <c r="B500" t="s">
        <v>4496</v>
      </c>
      <c r="C500">
        <v>387</v>
      </c>
      <c r="D500">
        <v>2.4229448641234099</v>
      </c>
      <c r="E500">
        <v>937.679662415758</v>
      </c>
      <c r="F500">
        <v>0.98284488920657598</v>
      </c>
      <c r="G500">
        <v>0.98126481321244496</v>
      </c>
      <c r="H500" t="str">
        <f t="shared" si="7"/>
        <v>Q2</v>
      </c>
    </row>
    <row r="501" spans="1:8">
      <c r="A501">
        <v>772832</v>
      </c>
      <c r="B501" t="s">
        <v>1797</v>
      </c>
      <c r="C501">
        <v>134</v>
      </c>
      <c r="D501">
        <v>6.9971920449787097</v>
      </c>
      <c r="E501">
        <v>937.62373402714695</v>
      </c>
      <c r="F501">
        <v>0.93551785109664798</v>
      </c>
      <c r="G501">
        <v>0.98122719235544198</v>
      </c>
      <c r="H501" t="str">
        <f t="shared" si="7"/>
        <v>Q3</v>
      </c>
    </row>
    <row r="502" spans="1:8">
      <c r="A502">
        <v>671852</v>
      </c>
      <c r="B502" t="s">
        <v>1995</v>
      </c>
      <c r="C502">
        <v>318</v>
      </c>
      <c r="D502">
        <v>2.94688731818548</v>
      </c>
      <c r="E502">
        <v>937.11016718298197</v>
      </c>
      <c r="F502">
        <v>0.97784131522516105</v>
      </c>
      <c r="G502">
        <v>0.98118957149843899</v>
      </c>
      <c r="H502" t="str">
        <f t="shared" si="7"/>
        <v>Q2</v>
      </c>
    </row>
    <row r="503" spans="1:8">
      <c r="A503">
        <v>779068</v>
      </c>
      <c r="B503" t="s">
        <v>2370</v>
      </c>
      <c r="C503">
        <v>200</v>
      </c>
      <c r="D503">
        <v>4.6832882259041098</v>
      </c>
      <c r="E503">
        <v>936.65764518082096</v>
      </c>
      <c r="F503">
        <v>0.95903088672360004</v>
      </c>
      <c r="G503">
        <v>0.98115195064143601</v>
      </c>
      <c r="H503" t="str">
        <f t="shared" si="7"/>
        <v>Q2</v>
      </c>
    </row>
    <row r="504" spans="1:8">
      <c r="A504">
        <v>779842</v>
      </c>
      <c r="B504" t="s">
        <v>3964</v>
      </c>
      <c r="C504">
        <v>121</v>
      </c>
      <c r="D504">
        <v>7.7406779793668399</v>
      </c>
      <c r="E504">
        <v>936.622035503387</v>
      </c>
      <c r="F504">
        <v>0.92788081712501402</v>
      </c>
      <c r="G504">
        <v>0.98111432978443203</v>
      </c>
      <c r="H504" t="str">
        <f t="shared" si="7"/>
        <v>Q3</v>
      </c>
    </row>
    <row r="505" spans="1:8">
      <c r="A505">
        <v>529953</v>
      </c>
      <c r="B505" t="s">
        <v>3735</v>
      </c>
      <c r="C505">
        <v>293</v>
      </c>
      <c r="D505">
        <v>3.19488048744181</v>
      </c>
      <c r="E505">
        <v>936.09998282045103</v>
      </c>
      <c r="F505">
        <v>0.97517023437793904</v>
      </c>
      <c r="G505">
        <v>0.98107670892742904</v>
      </c>
      <c r="H505" t="str">
        <f t="shared" si="7"/>
        <v>Q2</v>
      </c>
    </row>
    <row r="506" spans="1:8">
      <c r="A506">
        <v>699082</v>
      </c>
      <c r="B506" t="s">
        <v>3222</v>
      </c>
      <c r="C506">
        <v>420</v>
      </c>
      <c r="D506">
        <v>2.2237126735992598</v>
      </c>
      <c r="E506">
        <v>933.95932291168697</v>
      </c>
      <c r="F506">
        <v>0.984951657198751</v>
      </c>
      <c r="G506">
        <v>0.98103908807042595</v>
      </c>
      <c r="H506" t="str">
        <f t="shared" si="7"/>
        <v>Q2</v>
      </c>
    </row>
    <row r="507" spans="1:8">
      <c r="A507">
        <v>629758</v>
      </c>
      <c r="B507" t="s">
        <v>1966</v>
      </c>
      <c r="C507">
        <v>564</v>
      </c>
      <c r="D507">
        <v>1.6556556666837901</v>
      </c>
      <c r="E507">
        <v>933.78979600965999</v>
      </c>
      <c r="F507">
        <v>0.99123434031827196</v>
      </c>
      <c r="G507">
        <v>0.98100146721342296</v>
      </c>
      <c r="H507" t="str">
        <f t="shared" si="7"/>
        <v>Q2</v>
      </c>
    </row>
    <row r="508" spans="1:8">
      <c r="A508">
        <v>721273</v>
      </c>
      <c r="B508" t="s">
        <v>4222</v>
      </c>
      <c r="C508">
        <v>242</v>
      </c>
      <c r="D508">
        <v>3.8514988235205698</v>
      </c>
      <c r="E508">
        <v>932.06271529197704</v>
      </c>
      <c r="F508">
        <v>0.96760844212031105</v>
      </c>
      <c r="G508">
        <v>0.98096384635641998</v>
      </c>
      <c r="H508" t="str">
        <f t="shared" si="7"/>
        <v>Q2</v>
      </c>
    </row>
    <row r="509" spans="1:8">
      <c r="A509">
        <v>705966</v>
      </c>
      <c r="B509" t="s">
        <v>4596</v>
      </c>
      <c r="C509">
        <v>325</v>
      </c>
      <c r="D509">
        <v>2.85490476683928</v>
      </c>
      <c r="E509">
        <v>927.84404922276701</v>
      </c>
      <c r="F509">
        <v>0.97840562808020803</v>
      </c>
      <c r="G509">
        <v>0.98092622549941699</v>
      </c>
      <c r="H509" t="str">
        <f t="shared" si="7"/>
        <v>Q2</v>
      </c>
    </row>
    <row r="510" spans="1:8">
      <c r="A510">
        <v>735122</v>
      </c>
      <c r="B510" t="s">
        <v>545</v>
      </c>
      <c r="C510">
        <v>223</v>
      </c>
      <c r="D510">
        <v>4.1586684184190696</v>
      </c>
      <c r="E510">
        <v>927.38305730745196</v>
      </c>
      <c r="F510">
        <v>0.96410970241902105</v>
      </c>
      <c r="G510">
        <v>0.98088860464241401</v>
      </c>
      <c r="H510" t="str">
        <f t="shared" si="7"/>
        <v>Q2</v>
      </c>
    </row>
    <row r="511" spans="1:8">
      <c r="A511">
        <v>778064</v>
      </c>
      <c r="B511" t="s">
        <v>1060</v>
      </c>
      <c r="C511">
        <v>1146</v>
      </c>
      <c r="D511">
        <v>0.80684473497116904</v>
      </c>
      <c r="E511">
        <v>924.64406627695996</v>
      </c>
      <c r="F511">
        <v>0.99766750686580596</v>
      </c>
      <c r="G511">
        <v>0.98085098378541102</v>
      </c>
      <c r="H511" t="str">
        <f t="shared" si="7"/>
        <v>Q2</v>
      </c>
    </row>
    <row r="512" spans="1:8">
      <c r="A512">
        <v>756318</v>
      </c>
      <c r="B512" t="s">
        <v>2747</v>
      </c>
      <c r="C512">
        <v>239</v>
      </c>
      <c r="D512">
        <v>3.8673711192470699</v>
      </c>
      <c r="E512">
        <v>924.30169750004995</v>
      </c>
      <c r="F512">
        <v>0.96700650840826197</v>
      </c>
      <c r="G512">
        <v>0.98081336292840704</v>
      </c>
      <c r="H512" t="str">
        <f t="shared" si="7"/>
        <v>Q2</v>
      </c>
    </row>
    <row r="513" spans="1:8">
      <c r="A513">
        <v>656649</v>
      </c>
      <c r="B513" t="s">
        <v>330</v>
      </c>
      <c r="C513">
        <v>230</v>
      </c>
      <c r="D513">
        <v>4.01284451312993</v>
      </c>
      <c r="E513">
        <v>922.95423801988397</v>
      </c>
      <c r="F513">
        <v>0.96538881155712697</v>
      </c>
      <c r="G513">
        <v>0.98077574207140406</v>
      </c>
      <c r="H513" t="str">
        <f t="shared" si="7"/>
        <v>Q2</v>
      </c>
    </row>
    <row r="514" spans="1:8">
      <c r="A514">
        <v>806388</v>
      </c>
      <c r="B514" t="s">
        <v>4858</v>
      </c>
      <c r="C514">
        <v>718</v>
      </c>
      <c r="D514">
        <v>1.28535478535396</v>
      </c>
      <c r="E514">
        <v>922.88473588414502</v>
      </c>
      <c r="F514">
        <v>0.99454497573454703</v>
      </c>
      <c r="G514">
        <v>0.98073812121440096</v>
      </c>
      <c r="H514" t="str">
        <f t="shared" si="7"/>
        <v>Q2</v>
      </c>
    </row>
    <row r="515" spans="1:8">
      <c r="A515">
        <v>826492</v>
      </c>
      <c r="B515" t="s">
        <v>1249</v>
      </c>
      <c r="C515">
        <v>295</v>
      </c>
      <c r="D515">
        <v>3.1259580209093598</v>
      </c>
      <c r="E515">
        <v>922.15761616826103</v>
      </c>
      <c r="F515">
        <v>0.97550882209096701</v>
      </c>
      <c r="G515">
        <v>0.98070050035739798</v>
      </c>
      <c r="H515" t="str">
        <f t="shared" ref="H515:H578" si="8">IF(C515&gt;$J$2,
   IF(D515&gt;$J$3,"Q1","Q2"),
   IF(D515&gt;$J$3,"Q3","Q4"))</f>
        <v>Q2</v>
      </c>
    </row>
    <row r="516" spans="1:8">
      <c r="A516">
        <v>708471</v>
      </c>
      <c r="B516" t="s">
        <v>1577</v>
      </c>
      <c r="C516">
        <v>379</v>
      </c>
      <c r="D516">
        <v>2.4326416566761599</v>
      </c>
      <c r="E516">
        <v>921.97118788026296</v>
      </c>
      <c r="F516">
        <v>0.98246868063654502</v>
      </c>
      <c r="G516">
        <v>0.98066287950039499</v>
      </c>
      <c r="H516" t="str">
        <f t="shared" si="8"/>
        <v>Q2</v>
      </c>
    </row>
    <row r="517" spans="1:8">
      <c r="A517">
        <v>507909</v>
      </c>
      <c r="B517" t="s">
        <v>4014</v>
      </c>
      <c r="C517">
        <v>461</v>
      </c>
      <c r="D517">
        <v>1.99606235547157</v>
      </c>
      <c r="E517">
        <v>920.18474587239302</v>
      </c>
      <c r="F517">
        <v>0.987096046047929</v>
      </c>
      <c r="G517">
        <v>0.98062525864339201</v>
      </c>
      <c r="H517" t="str">
        <f t="shared" si="8"/>
        <v>Q2</v>
      </c>
    </row>
    <row r="518" spans="1:8">
      <c r="A518">
        <v>664133</v>
      </c>
      <c r="B518" t="s">
        <v>362</v>
      </c>
      <c r="C518">
        <v>268</v>
      </c>
      <c r="D518">
        <v>3.4307930717564501</v>
      </c>
      <c r="E518">
        <v>919.45254323072697</v>
      </c>
      <c r="F518">
        <v>0.97148339039163301</v>
      </c>
      <c r="G518">
        <v>0.98058763778638902</v>
      </c>
      <c r="H518" t="str">
        <f t="shared" si="8"/>
        <v>Q2</v>
      </c>
    </row>
    <row r="519" spans="1:8">
      <c r="A519">
        <v>698387</v>
      </c>
      <c r="B519" t="s">
        <v>136</v>
      </c>
      <c r="C519">
        <v>112</v>
      </c>
      <c r="D519">
        <v>8.2008172458569906</v>
      </c>
      <c r="E519">
        <v>918.49153153598297</v>
      </c>
      <c r="F519">
        <v>0.92156051314848997</v>
      </c>
      <c r="G519">
        <v>0.98055001692938604</v>
      </c>
      <c r="H519" t="str">
        <f t="shared" si="8"/>
        <v>Q3</v>
      </c>
    </row>
    <row r="520" spans="1:8">
      <c r="A520">
        <v>566140</v>
      </c>
      <c r="B520" t="s">
        <v>4902</v>
      </c>
      <c r="C520">
        <v>629</v>
      </c>
      <c r="D520">
        <v>1.46013306245054</v>
      </c>
      <c r="E520">
        <v>918.42369628138795</v>
      </c>
      <c r="F520">
        <v>0.993002520597419</v>
      </c>
      <c r="G520">
        <v>0.98051239607238205</v>
      </c>
      <c r="H520" t="str">
        <f t="shared" si="8"/>
        <v>Q2</v>
      </c>
    </row>
    <row r="521" spans="1:8">
      <c r="A521">
        <v>785018</v>
      </c>
      <c r="B521" t="s">
        <v>4371</v>
      </c>
      <c r="C521">
        <v>573</v>
      </c>
      <c r="D521">
        <v>1.6026325310933101</v>
      </c>
      <c r="E521">
        <v>918.30844031646802</v>
      </c>
      <c r="F521">
        <v>0.99149768631729396</v>
      </c>
      <c r="G521">
        <v>0.98047477521537896</v>
      </c>
      <c r="H521" t="str">
        <f t="shared" si="8"/>
        <v>Q2</v>
      </c>
    </row>
    <row r="522" spans="1:8">
      <c r="A522">
        <v>750398</v>
      </c>
      <c r="B522" t="s">
        <v>936</v>
      </c>
      <c r="C522">
        <v>286</v>
      </c>
      <c r="D522">
        <v>3.2061632820307402</v>
      </c>
      <c r="E522">
        <v>916.96269866079103</v>
      </c>
      <c r="F522">
        <v>0.97407922952484904</v>
      </c>
      <c r="G522">
        <v>0.98043715435837597</v>
      </c>
      <c r="H522" t="str">
        <f t="shared" si="8"/>
        <v>Q2</v>
      </c>
    </row>
    <row r="523" spans="1:8">
      <c r="A523">
        <v>755360</v>
      </c>
      <c r="B523" t="s">
        <v>3075</v>
      </c>
      <c r="C523">
        <v>174</v>
      </c>
      <c r="D523">
        <v>5.2692966792603997</v>
      </c>
      <c r="E523">
        <v>916.85762219131004</v>
      </c>
      <c r="F523">
        <v>0.95150671532297504</v>
      </c>
      <c r="G523">
        <v>0.98039953350137299</v>
      </c>
      <c r="H523" t="str">
        <f t="shared" si="8"/>
        <v>Q1</v>
      </c>
    </row>
    <row r="524" spans="1:8">
      <c r="A524">
        <v>789772</v>
      </c>
      <c r="B524" t="s">
        <v>2197</v>
      </c>
      <c r="C524">
        <v>376</v>
      </c>
      <c r="D524">
        <v>2.4357600078145198</v>
      </c>
      <c r="E524">
        <v>915.84576293826103</v>
      </c>
      <c r="F524">
        <v>0.98231819720853197</v>
      </c>
      <c r="G524">
        <v>0.98036191264437</v>
      </c>
      <c r="H524" t="str">
        <f t="shared" si="8"/>
        <v>Q2</v>
      </c>
    </row>
    <row r="525" spans="1:8">
      <c r="A525">
        <v>742087</v>
      </c>
      <c r="B525" t="s">
        <v>1901</v>
      </c>
      <c r="C525">
        <v>375</v>
      </c>
      <c r="D525">
        <v>2.4381920980910499</v>
      </c>
      <c r="E525">
        <v>914.32203678414203</v>
      </c>
      <c r="F525">
        <v>0.98220533463752302</v>
      </c>
      <c r="G525">
        <v>0.98032429178736702</v>
      </c>
      <c r="H525" t="str">
        <f t="shared" si="8"/>
        <v>Q2</v>
      </c>
    </row>
    <row r="526" spans="1:8">
      <c r="A526">
        <v>790167</v>
      </c>
      <c r="B526" t="s">
        <v>5262</v>
      </c>
      <c r="C526">
        <v>95</v>
      </c>
      <c r="D526">
        <v>9.6222125013407904</v>
      </c>
      <c r="E526">
        <v>914.11018762737501</v>
      </c>
      <c r="F526">
        <v>0.90760317520033096</v>
      </c>
      <c r="G526">
        <v>0.98028667093036403</v>
      </c>
      <c r="H526" t="str">
        <f t="shared" si="8"/>
        <v>Q3</v>
      </c>
    </row>
    <row r="527" spans="1:8">
      <c r="A527">
        <v>569562</v>
      </c>
      <c r="B527" t="s">
        <v>924</v>
      </c>
      <c r="C527">
        <v>241</v>
      </c>
      <c r="D527">
        <v>3.79281243467819</v>
      </c>
      <c r="E527">
        <v>914.06779675744497</v>
      </c>
      <c r="F527">
        <v>0.96742033783529602</v>
      </c>
      <c r="G527">
        <v>0.98024905007336105</v>
      </c>
      <c r="H527" t="str">
        <f t="shared" si="8"/>
        <v>Q2</v>
      </c>
    </row>
    <row r="528" spans="1:8">
      <c r="A528">
        <v>786176</v>
      </c>
      <c r="B528" t="s">
        <v>592</v>
      </c>
      <c r="C528">
        <v>117</v>
      </c>
      <c r="D528">
        <v>7.7806895837569803</v>
      </c>
      <c r="E528">
        <v>910.340681299567</v>
      </c>
      <c r="F528">
        <v>0.925247357134796</v>
      </c>
      <c r="G528">
        <v>0.98021142921635795</v>
      </c>
      <c r="H528" t="str">
        <f t="shared" si="8"/>
        <v>Q3</v>
      </c>
    </row>
    <row r="529" spans="1:8">
      <c r="A529">
        <v>773719</v>
      </c>
      <c r="B529" t="s">
        <v>2999</v>
      </c>
      <c r="C529">
        <v>181</v>
      </c>
      <c r="D529">
        <v>5.0249649746888903</v>
      </c>
      <c r="E529">
        <v>909.51866041868902</v>
      </c>
      <c r="F529">
        <v>0.95387682931417195</v>
      </c>
      <c r="G529">
        <v>0.98017380835935397</v>
      </c>
      <c r="H529" t="str">
        <f t="shared" si="8"/>
        <v>Q1</v>
      </c>
    </row>
    <row r="530" spans="1:8">
      <c r="A530">
        <v>733936</v>
      </c>
      <c r="B530" t="s">
        <v>3925</v>
      </c>
      <c r="C530">
        <v>427</v>
      </c>
      <c r="D530">
        <v>2.1291826199522101</v>
      </c>
      <c r="E530">
        <v>909.16097871959198</v>
      </c>
      <c r="F530">
        <v>0.98566645348181003</v>
      </c>
      <c r="G530">
        <v>0.98013618750235099</v>
      </c>
      <c r="H530" t="str">
        <f t="shared" si="8"/>
        <v>Q2</v>
      </c>
    </row>
    <row r="531" spans="1:8">
      <c r="A531">
        <v>608213</v>
      </c>
      <c r="B531" t="s">
        <v>1515</v>
      </c>
      <c r="C531">
        <v>279</v>
      </c>
      <c r="D531">
        <v>3.2484234848116502</v>
      </c>
      <c r="E531">
        <v>906.31015226244904</v>
      </c>
      <c r="F531">
        <v>0.97313870809977099</v>
      </c>
      <c r="G531">
        <v>0.980098566645348</v>
      </c>
      <c r="H531" t="str">
        <f t="shared" si="8"/>
        <v>Q2</v>
      </c>
    </row>
    <row r="532" spans="1:8">
      <c r="A532">
        <v>764624</v>
      </c>
      <c r="B532" t="s">
        <v>875</v>
      </c>
      <c r="C532">
        <v>401</v>
      </c>
      <c r="D532">
        <v>2.2592670907802899</v>
      </c>
      <c r="E532">
        <v>905.96610340289806</v>
      </c>
      <c r="F532">
        <v>0.98363492720364198</v>
      </c>
      <c r="G532">
        <v>0.98006094578834502</v>
      </c>
      <c r="H532" t="str">
        <f t="shared" si="8"/>
        <v>Q2</v>
      </c>
    </row>
    <row r="533" spans="1:8">
      <c r="A533">
        <v>737040</v>
      </c>
      <c r="B533" t="s">
        <v>4413</v>
      </c>
      <c r="C533">
        <v>423</v>
      </c>
      <c r="D533">
        <v>2.1370837012477599</v>
      </c>
      <c r="E533">
        <v>903.98640562780201</v>
      </c>
      <c r="F533">
        <v>0.98525262405477598</v>
      </c>
      <c r="G533">
        <v>0.98002332493134203</v>
      </c>
      <c r="H533" t="str">
        <f t="shared" si="8"/>
        <v>Q2</v>
      </c>
    </row>
    <row r="534" spans="1:8">
      <c r="A534">
        <v>637283</v>
      </c>
      <c r="B534" t="s">
        <v>4824</v>
      </c>
      <c r="C534">
        <v>159</v>
      </c>
      <c r="D534">
        <v>5.6764738669373003</v>
      </c>
      <c r="E534">
        <v>902.55934484302998</v>
      </c>
      <c r="F534">
        <v>0.94597644934351599</v>
      </c>
      <c r="G534">
        <v>0.97998570407433905</v>
      </c>
      <c r="H534" t="str">
        <f t="shared" si="8"/>
        <v>Q3</v>
      </c>
    </row>
    <row r="535" spans="1:8">
      <c r="A535">
        <v>727029</v>
      </c>
      <c r="B535" t="s">
        <v>4188</v>
      </c>
      <c r="C535">
        <v>440</v>
      </c>
      <c r="D535">
        <v>2.0496108521580401</v>
      </c>
      <c r="E535">
        <v>901.82877494953595</v>
      </c>
      <c r="F535">
        <v>0.98623076633685702</v>
      </c>
      <c r="G535">
        <v>0.97994808321733595</v>
      </c>
      <c r="H535" t="str">
        <f t="shared" si="8"/>
        <v>Q2</v>
      </c>
    </row>
    <row r="536" spans="1:8">
      <c r="A536">
        <v>739974</v>
      </c>
      <c r="B536" t="s">
        <v>442</v>
      </c>
      <c r="C536">
        <v>379</v>
      </c>
      <c r="D536">
        <v>2.3740262132246102</v>
      </c>
      <c r="E536">
        <v>899.755934812129</v>
      </c>
      <c r="F536">
        <v>0.98246868063654502</v>
      </c>
      <c r="G536">
        <v>0.97991046236033297</v>
      </c>
      <c r="H536" t="str">
        <f t="shared" si="8"/>
        <v>Q2</v>
      </c>
    </row>
    <row r="537" spans="1:8">
      <c r="A537">
        <v>487827</v>
      </c>
      <c r="B537" t="s">
        <v>4462</v>
      </c>
      <c r="C537">
        <v>329</v>
      </c>
      <c r="D537">
        <v>2.7306630632820301</v>
      </c>
      <c r="E537">
        <v>898.38814781978704</v>
      </c>
      <c r="F537">
        <v>0.97863135322222605</v>
      </c>
      <c r="G537">
        <v>0.97987284150332898</v>
      </c>
      <c r="H537" t="str">
        <f t="shared" si="8"/>
        <v>Q2</v>
      </c>
    </row>
    <row r="538" spans="1:8">
      <c r="A538">
        <v>746073</v>
      </c>
      <c r="B538" t="s">
        <v>4732</v>
      </c>
      <c r="C538">
        <v>279</v>
      </c>
      <c r="D538">
        <v>3.2196038549492201</v>
      </c>
      <c r="E538">
        <v>898.26947553083301</v>
      </c>
      <c r="F538">
        <v>0.97313870809977099</v>
      </c>
      <c r="G538">
        <v>0.979835220646326</v>
      </c>
      <c r="H538" t="str">
        <f t="shared" si="8"/>
        <v>Q2</v>
      </c>
    </row>
    <row r="539" spans="1:8">
      <c r="A539">
        <v>580770</v>
      </c>
      <c r="B539" t="s">
        <v>2443</v>
      </c>
      <c r="C539">
        <v>272</v>
      </c>
      <c r="D539">
        <v>3.2940490349360201</v>
      </c>
      <c r="E539">
        <v>895.98133750259899</v>
      </c>
      <c r="F539">
        <v>0.97212294496068596</v>
      </c>
      <c r="G539">
        <v>0.97979759978932301</v>
      </c>
      <c r="H539" t="str">
        <f t="shared" si="8"/>
        <v>Q2</v>
      </c>
    </row>
    <row r="540" spans="1:8">
      <c r="A540">
        <v>301656</v>
      </c>
      <c r="B540" t="s">
        <v>4381</v>
      </c>
      <c r="C540">
        <v>190</v>
      </c>
      <c r="D540">
        <v>4.7121856253790204</v>
      </c>
      <c r="E540">
        <v>895.31526882201399</v>
      </c>
      <c r="F540">
        <v>0.95635980587637803</v>
      </c>
      <c r="G540">
        <v>0.97975997893232003</v>
      </c>
      <c r="H540" t="str">
        <f t="shared" si="8"/>
        <v>Q2</v>
      </c>
    </row>
    <row r="541" spans="1:8">
      <c r="A541">
        <v>678942</v>
      </c>
      <c r="B541" t="s">
        <v>2037</v>
      </c>
      <c r="C541">
        <v>552</v>
      </c>
      <c r="D541">
        <v>1.62023452112276</v>
      </c>
      <c r="E541">
        <v>894.36945565976202</v>
      </c>
      <c r="F541">
        <v>0.99089575260524398</v>
      </c>
      <c r="G541">
        <v>0.97972235807531705</v>
      </c>
      <c r="H541" t="str">
        <f t="shared" si="8"/>
        <v>Q2</v>
      </c>
    </row>
    <row r="542" spans="1:8">
      <c r="A542">
        <v>705988</v>
      </c>
      <c r="B542" t="s">
        <v>3293</v>
      </c>
      <c r="C542">
        <v>372</v>
      </c>
      <c r="D542">
        <v>2.40288409016406</v>
      </c>
      <c r="E542">
        <v>893.87288154102896</v>
      </c>
      <c r="F542">
        <v>0.98205485120951097</v>
      </c>
      <c r="G542">
        <v>0.97968473721831395</v>
      </c>
      <c r="H542" t="str">
        <f t="shared" si="8"/>
        <v>Q2</v>
      </c>
    </row>
    <row r="543" spans="1:8">
      <c r="A543">
        <v>763284</v>
      </c>
      <c r="B543" t="s">
        <v>5127</v>
      </c>
      <c r="C543">
        <v>158</v>
      </c>
      <c r="D543">
        <v>5.65435540261148</v>
      </c>
      <c r="E543">
        <v>893.38815361261402</v>
      </c>
      <c r="F543">
        <v>0.94563786163048802</v>
      </c>
      <c r="G543">
        <v>0.97964711636131097</v>
      </c>
      <c r="H543" t="str">
        <f t="shared" si="8"/>
        <v>Q3</v>
      </c>
    </row>
    <row r="544" spans="1:8">
      <c r="A544">
        <v>759871</v>
      </c>
      <c r="B544" t="s">
        <v>4878</v>
      </c>
      <c r="C544">
        <v>1809</v>
      </c>
      <c r="D544">
        <v>0.493344034508721</v>
      </c>
      <c r="E544">
        <v>892.45935842627705</v>
      </c>
      <c r="F544">
        <v>0.99943568714495301</v>
      </c>
      <c r="G544">
        <v>0.97960949550430798</v>
      </c>
      <c r="H544" t="str">
        <f t="shared" si="8"/>
        <v>Q2</v>
      </c>
    </row>
    <row r="545" spans="1:8">
      <c r="A545">
        <v>605690</v>
      </c>
      <c r="B545" t="s">
        <v>757</v>
      </c>
      <c r="C545">
        <v>564</v>
      </c>
      <c r="D545">
        <v>1.5820260190219999</v>
      </c>
      <c r="E545">
        <v>892.262674728408</v>
      </c>
      <c r="F545">
        <v>0.99123434031827196</v>
      </c>
      <c r="G545">
        <v>0.979571874647304</v>
      </c>
      <c r="H545" t="str">
        <f t="shared" si="8"/>
        <v>Q2</v>
      </c>
    </row>
    <row r="546" spans="1:8">
      <c r="A546">
        <v>802023</v>
      </c>
      <c r="B546" t="s">
        <v>3618</v>
      </c>
      <c r="C546">
        <v>370</v>
      </c>
      <c r="D546">
        <v>2.4113513567056999</v>
      </c>
      <c r="E546">
        <v>892.20000198110904</v>
      </c>
      <c r="F546">
        <v>0.98190436778149803</v>
      </c>
      <c r="G546">
        <v>0.97953425379030101</v>
      </c>
      <c r="H546" t="str">
        <f t="shared" si="8"/>
        <v>Q2</v>
      </c>
    </row>
    <row r="547" spans="1:8">
      <c r="A547">
        <v>754374</v>
      </c>
      <c r="B547" t="s">
        <v>3200</v>
      </c>
      <c r="C547">
        <v>550</v>
      </c>
      <c r="D547">
        <v>1.62174107574604</v>
      </c>
      <c r="E547">
        <v>891.95759166032099</v>
      </c>
      <c r="F547">
        <v>0.99074526917723205</v>
      </c>
      <c r="G547">
        <v>0.97949663293329803</v>
      </c>
      <c r="H547" t="str">
        <f t="shared" si="8"/>
        <v>Q2</v>
      </c>
    </row>
    <row r="548" spans="1:8">
      <c r="A548">
        <v>579541</v>
      </c>
      <c r="B548" t="s">
        <v>811</v>
      </c>
      <c r="C548">
        <v>547</v>
      </c>
      <c r="D548">
        <v>1.62780335738274</v>
      </c>
      <c r="E548">
        <v>890.40843648836005</v>
      </c>
      <c r="F548">
        <v>0.99070764832022895</v>
      </c>
      <c r="G548">
        <v>0.97945901207629504</v>
      </c>
      <c r="H548" t="str">
        <f t="shared" si="8"/>
        <v>Q2</v>
      </c>
    </row>
    <row r="549" spans="1:8">
      <c r="A549">
        <v>729936</v>
      </c>
      <c r="B549" t="s">
        <v>5038</v>
      </c>
      <c r="C549">
        <v>194</v>
      </c>
      <c r="D549">
        <v>4.5878910310758396</v>
      </c>
      <c r="E549">
        <v>890.05086002871406</v>
      </c>
      <c r="F549">
        <v>0.95741318987246504</v>
      </c>
      <c r="G549">
        <v>0.97942139121929195</v>
      </c>
      <c r="H549" t="str">
        <f t="shared" si="8"/>
        <v>Q2</v>
      </c>
    </row>
    <row r="550" spans="1:8">
      <c r="A550">
        <v>805275</v>
      </c>
      <c r="B550" t="s">
        <v>772</v>
      </c>
      <c r="C550">
        <v>142</v>
      </c>
      <c r="D550">
        <v>6.2652541599957896</v>
      </c>
      <c r="E550">
        <v>889.66609071940195</v>
      </c>
      <c r="F550">
        <v>0.93954328279598198</v>
      </c>
      <c r="G550">
        <v>0.97938377036228896</v>
      </c>
      <c r="H550" t="str">
        <f t="shared" si="8"/>
        <v>Q3</v>
      </c>
    </row>
    <row r="551" spans="1:8">
      <c r="A551">
        <v>710729</v>
      </c>
      <c r="B551" t="s">
        <v>5063</v>
      </c>
      <c r="C551">
        <v>288</v>
      </c>
      <c r="D551">
        <v>3.0860227794619299</v>
      </c>
      <c r="E551">
        <v>888.77456048503495</v>
      </c>
      <c r="F551">
        <v>0.97426733380986397</v>
      </c>
      <c r="G551">
        <v>0.97934614950528598</v>
      </c>
      <c r="H551" t="str">
        <f t="shared" si="8"/>
        <v>Q2</v>
      </c>
    </row>
    <row r="552" spans="1:8">
      <c r="A552">
        <v>740943</v>
      </c>
      <c r="B552" t="s">
        <v>3624</v>
      </c>
      <c r="C552">
        <v>561</v>
      </c>
      <c r="D552">
        <v>1.58008090826332</v>
      </c>
      <c r="E552">
        <v>886.425389535725</v>
      </c>
      <c r="F552">
        <v>0.99115909860426599</v>
      </c>
      <c r="G552">
        <v>0.97930852864828299</v>
      </c>
      <c r="H552" t="str">
        <f t="shared" si="8"/>
        <v>Q2</v>
      </c>
    </row>
    <row r="553" spans="1:8">
      <c r="A553">
        <v>675070</v>
      </c>
      <c r="B553" t="s">
        <v>625</v>
      </c>
      <c r="C553">
        <v>466</v>
      </c>
      <c r="D553">
        <v>1.89950898141788</v>
      </c>
      <c r="E553">
        <v>885.17118534073199</v>
      </c>
      <c r="F553">
        <v>0.987359392046951</v>
      </c>
      <c r="G553">
        <v>0.97927090779127901</v>
      </c>
      <c r="H553" t="str">
        <f t="shared" si="8"/>
        <v>Q2</v>
      </c>
    </row>
    <row r="554" spans="1:8">
      <c r="A554">
        <v>788651</v>
      </c>
      <c r="B554" t="s">
        <v>4099</v>
      </c>
      <c r="C554">
        <v>196</v>
      </c>
      <c r="D554">
        <v>4.5151764812061996</v>
      </c>
      <c r="E554">
        <v>884.97459031641495</v>
      </c>
      <c r="F554">
        <v>0.95790226101350595</v>
      </c>
      <c r="G554">
        <v>0.97923328693427603</v>
      </c>
      <c r="H554" t="str">
        <f t="shared" si="8"/>
        <v>Q2</v>
      </c>
    </row>
    <row r="555" spans="1:8">
      <c r="A555">
        <v>636207</v>
      </c>
      <c r="B555" t="s">
        <v>4513</v>
      </c>
      <c r="C555">
        <v>270</v>
      </c>
      <c r="D555">
        <v>3.2737664181601098</v>
      </c>
      <c r="E555">
        <v>883.91693290322996</v>
      </c>
      <c r="F555">
        <v>0.97170911553365202</v>
      </c>
      <c r="G555">
        <v>0.97919566607727304</v>
      </c>
      <c r="H555" t="str">
        <f t="shared" si="8"/>
        <v>Q2</v>
      </c>
    </row>
    <row r="556" spans="1:8">
      <c r="A556">
        <v>715343</v>
      </c>
      <c r="B556" t="s">
        <v>2670</v>
      </c>
      <c r="C556">
        <v>221</v>
      </c>
      <c r="D556">
        <v>3.9913030143203501</v>
      </c>
      <c r="E556">
        <v>882.077966164798</v>
      </c>
      <c r="F556">
        <v>0.96380873556299596</v>
      </c>
      <c r="G556">
        <v>0.97915804522026995</v>
      </c>
      <c r="H556" t="str">
        <f t="shared" si="8"/>
        <v>Q2</v>
      </c>
    </row>
    <row r="557" spans="1:8">
      <c r="A557">
        <v>697060</v>
      </c>
      <c r="B557" t="s">
        <v>5234</v>
      </c>
      <c r="C557">
        <v>491</v>
      </c>
      <c r="D557">
        <v>1.7964858992324899</v>
      </c>
      <c r="E557">
        <v>882.07457652315497</v>
      </c>
      <c r="F557">
        <v>0.98826229261502596</v>
      </c>
      <c r="G557">
        <v>0.97912042436326696</v>
      </c>
      <c r="H557" t="str">
        <f t="shared" si="8"/>
        <v>Q2</v>
      </c>
    </row>
    <row r="558" spans="1:8">
      <c r="A558">
        <v>731425</v>
      </c>
      <c r="B558" t="s">
        <v>3323</v>
      </c>
      <c r="C558">
        <v>349</v>
      </c>
      <c r="D558">
        <v>2.5154290332547</v>
      </c>
      <c r="E558">
        <v>877.88473260588898</v>
      </c>
      <c r="F558">
        <v>0.98043715435837597</v>
      </c>
      <c r="G558">
        <v>0.97908280350626398</v>
      </c>
      <c r="H558" t="str">
        <f t="shared" si="8"/>
        <v>Q2</v>
      </c>
    </row>
    <row r="559" spans="1:8">
      <c r="A559">
        <v>745477</v>
      </c>
      <c r="B559" t="s">
        <v>1770</v>
      </c>
      <c r="C559">
        <v>312</v>
      </c>
      <c r="D559">
        <v>2.81001190051962</v>
      </c>
      <c r="E559">
        <v>876.723712962121</v>
      </c>
      <c r="F559">
        <v>0.97716413979910499</v>
      </c>
      <c r="G559">
        <v>0.97904518264926099</v>
      </c>
      <c r="H559" t="str">
        <f t="shared" si="8"/>
        <v>Q2</v>
      </c>
    </row>
    <row r="560" spans="1:8">
      <c r="A560">
        <v>708379</v>
      </c>
      <c r="B560" t="s">
        <v>4426</v>
      </c>
      <c r="C560">
        <v>567</v>
      </c>
      <c r="D560">
        <v>1.54611837559066</v>
      </c>
      <c r="E560">
        <v>876.64911895990394</v>
      </c>
      <c r="F560">
        <v>0.991384823746285</v>
      </c>
      <c r="G560">
        <v>0.97900756179225801</v>
      </c>
      <c r="H560" t="str">
        <f t="shared" si="8"/>
        <v>Q2</v>
      </c>
    </row>
    <row r="561" spans="1:8">
      <c r="A561">
        <v>636505</v>
      </c>
      <c r="B561" t="s">
        <v>4351</v>
      </c>
      <c r="C561">
        <v>179</v>
      </c>
      <c r="D561">
        <v>4.8956444320482202</v>
      </c>
      <c r="E561">
        <v>876.32035333663202</v>
      </c>
      <c r="F561">
        <v>0.95308679131710605</v>
      </c>
      <c r="G561">
        <v>0.97896994093525402</v>
      </c>
      <c r="H561" t="str">
        <f t="shared" si="8"/>
        <v>Q2</v>
      </c>
    </row>
    <row r="562" spans="1:8">
      <c r="A562">
        <v>771338</v>
      </c>
      <c r="B562" t="s">
        <v>1298</v>
      </c>
      <c r="C562">
        <v>292</v>
      </c>
      <c r="D562">
        <v>3.0007023016654299</v>
      </c>
      <c r="E562">
        <v>876.20507208630397</v>
      </c>
      <c r="F562">
        <v>0.97501975094992699</v>
      </c>
      <c r="G562">
        <v>0.97893232007825104</v>
      </c>
      <c r="H562" t="str">
        <f t="shared" si="8"/>
        <v>Q2</v>
      </c>
    </row>
    <row r="563" spans="1:8">
      <c r="A563">
        <v>562245</v>
      </c>
      <c r="B563" t="s">
        <v>2923</v>
      </c>
      <c r="C563">
        <v>480</v>
      </c>
      <c r="D563">
        <v>1.8214971256869199</v>
      </c>
      <c r="E563">
        <v>874.31862032972299</v>
      </c>
      <c r="F563">
        <v>0.98777322147398505</v>
      </c>
      <c r="G563">
        <v>0.97889469922124805</v>
      </c>
      <c r="H563" t="str">
        <f t="shared" si="8"/>
        <v>Q2</v>
      </c>
    </row>
    <row r="564" spans="1:8">
      <c r="A564">
        <v>749400</v>
      </c>
      <c r="B564" t="s">
        <v>4941</v>
      </c>
      <c r="C564">
        <v>544</v>
      </c>
      <c r="D564">
        <v>1.6044023539186201</v>
      </c>
      <c r="E564">
        <v>872.79488053172804</v>
      </c>
      <c r="F564">
        <v>0.99051954403521303</v>
      </c>
      <c r="G564">
        <v>0.97885707836424496</v>
      </c>
      <c r="H564" t="str">
        <f t="shared" si="8"/>
        <v>Q2</v>
      </c>
    </row>
    <row r="565" spans="1:8">
      <c r="A565">
        <v>517762</v>
      </c>
      <c r="B565" t="s">
        <v>3109</v>
      </c>
      <c r="C565">
        <v>272</v>
      </c>
      <c r="D565">
        <v>3.2086427663136199</v>
      </c>
      <c r="E565">
        <v>872.75083243730501</v>
      </c>
      <c r="F565">
        <v>0.97212294496068596</v>
      </c>
      <c r="G565">
        <v>0.97881945750724197</v>
      </c>
      <c r="H565" t="str">
        <f t="shared" si="8"/>
        <v>Q2</v>
      </c>
    </row>
    <row r="566" spans="1:8">
      <c r="A566">
        <v>734440</v>
      </c>
      <c r="B566" t="s">
        <v>5067</v>
      </c>
      <c r="C566">
        <v>273</v>
      </c>
      <c r="D566">
        <v>3.1959396022825701</v>
      </c>
      <c r="E566">
        <v>872.49151142314099</v>
      </c>
      <c r="F566">
        <v>0.97242391181671095</v>
      </c>
      <c r="G566">
        <v>0.97878183665023899</v>
      </c>
      <c r="H566" t="str">
        <f t="shared" si="8"/>
        <v>Q2</v>
      </c>
    </row>
    <row r="567" spans="1:8">
      <c r="A567">
        <v>761712</v>
      </c>
      <c r="B567" t="s">
        <v>1046</v>
      </c>
      <c r="C567">
        <v>320</v>
      </c>
      <c r="D567">
        <v>2.72218219266506</v>
      </c>
      <c r="E567">
        <v>871.09830165281903</v>
      </c>
      <c r="F567">
        <v>0.97814228208118603</v>
      </c>
      <c r="G567">
        <v>0.97874421579323601</v>
      </c>
      <c r="H567" t="str">
        <f t="shared" si="8"/>
        <v>Q2</v>
      </c>
    </row>
    <row r="568" spans="1:8">
      <c r="A568">
        <v>680318</v>
      </c>
      <c r="B568" t="s">
        <v>3463</v>
      </c>
      <c r="C568">
        <v>299</v>
      </c>
      <c r="D568">
        <v>2.90953459336506</v>
      </c>
      <c r="E568">
        <v>869.95084341615404</v>
      </c>
      <c r="F568">
        <v>0.97599789323200803</v>
      </c>
      <c r="G568">
        <v>0.97870659493623302</v>
      </c>
      <c r="H568" t="str">
        <f t="shared" si="8"/>
        <v>Q2</v>
      </c>
    </row>
    <row r="569" spans="1:8">
      <c r="A569">
        <v>705786</v>
      </c>
      <c r="B569" t="s">
        <v>3537</v>
      </c>
      <c r="C569">
        <v>97</v>
      </c>
      <c r="D569">
        <v>8.9520008620066704</v>
      </c>
      <c r="E569">
        <v>868.34408361464705</v>
      </c>
      <c r="F569">
        <v>0.909108009480456</v>
      </c>
      <c r="G569">
        <v>0.97866897407922904</v>
      </c>
      <c r="H569" t="str">
        <f t="shared" si="8"/>
        <v>Q3</v>
      </c>
    </row>
    <row r="570" spans="1:8">
      <c r="A570">
        <v>678688</v>
      </c>
      <c r="B570" t="s">
        <v>1091</v>
      </c>
      <c r="C570">
        <v>216</v>
      </c>
      <c r="D570">
        <v>4.0177495382657202</v>
      </c>
      <c r="E570">
        <v>867.83390026539598</v>
      </c>
      <c r="F570">
        <v>0.96301869756593095</v>
      </c>
      <c r="G570">
        <v>0.97863135322222605</v>
      </c>
      <c r="H570" t="str">
        <f t="shared" si="8"/>
        <v>Q2</v>
      </c>
    </row>
    <row r="571" spans="1:8">
      <c r="A571">
        <v>507883</v>
      </c>
      <c r="B571" t="s">
        <v>1582</v>
      </c>
      <c r="C571">
        <v>678</v>
      </c>
      <c r="D571">
        <v>1.2726388568440501</v>
      </c>
      <c r="E571">
        <v>862.84914494026498</v>
      </c>
      <c r="F571">
        <v>0.99394304202249695</v>
      </c>
      <c r="G571">
        <v>0.97859373236522296</v>
      </c>
      <c r="H571" t="str">
        <f t="shared" si="8"/>
        <v>Q2</v>
      </c>
    </row>
    <row r="572" spans="1:8">
      <c r="A572">
        <v>603582</v>
      </c>
      <c r="B572" t="s">
        <v>4832</v>
      </c>
      <c r="C572">
        <v>741</v>
      </c>
      <c r="D572">
        <v>1.16443877195117</v>
      </c>
      <c r="E572">
        <v>862.84913001582004</v>
      </c>
      <c r="F572">
        <v>0.99495880516158197</v>
      </c>
      <c r="G572">
        <v>0.97855611150821997</v>
      </c>
      <c r="H572" t="str">
        <f t="shared" si="8"/>
        <v>Q2</v>
      </c>
    </row>
    <row r="573" spans="1:8">
      <c r="A573">
        <v>707717</v>
      </c>
      <c r="B573" t="s">
        <v>1361</v>
      </c>
      <c r="C573">
        <v>464</v>
      </c>
      <c r="D573">
        <v>1.8568527033745199</v>
      </c>
      <c r="E573">
        <v>861.57965436577797</v>
      </c>
      <c r="F573">
        <v>0.98724652947594105</v>
      </c>
      <c r="G573">
        <v>0.97851849065121699</v>
      </c>
      <c r="H573" t="str">
        <f t="shared" si="8"/>
        <v>Q2</v>
      </c>
    </row>
    <row r="574" spans="1:8">
      <c r="A574">
        <v>681373</v>
      </c>
      <c r="B574" t="s">
        <v>985</v>
      </c>
      <c r="C574">
        <v>591</v>
      </c>
      <c r="D574">
        <v>1.4577933986215801</v>
      </c>
      <c r="E574">
        <v>861.555898585357</v>
      </c>
      <c r="F574">
        <v>0.99191151574432901</v>
      </c>
      <c r="G574">
        <v>0.978480869794214</v>
      </c>
      <c r="H574" t="str">
        <f t="shared" si="8"/>
        <v>Q2</v>
      </c>
    </row>
    <row r="575" spans="1:8">
      <c r="A575">
        <v>752811</v>
      </c>
      <c r="B575" t="s">
        <v>3827</v>
      </c>
      <c r="C575">
        <v>438</v>
      </c>
      <c r="D575">
        <v>1.96465436501012</v>
      </c>
      <c r="E575">
        <v>860.51861187443103</v>
      </c>
      <c r="F575">
        <v>0.98604266205184199</v>
      </c>
      <c r="G575">
        <v>0.97844324893721102</v>
      </c>
      <c r="H575" t="str">
        <f t="shared" si="8"/>
        <v>Q2</v>
      </c>
    </row>
    <row r="576" spans="1:8">
      <c r="A576">
        <v>639838</v>
      </c>
      <c r="B576" t="s">
        <v>4842</v>
      </c>
      <c r="C576">
        <v>184</v>
      </c>
      <c r="D576">
        <v>4.6754514408783701</v>
      </c>
      <c r="E576">
        <v>860.28306512162101</v>
      </c>
      <c r="F576">
        <v>0.95477972988224702</v>
      </c>
      <c r="G576">
        <v>0.97840562808020803</v>
      </c>
      <c r="H576" t="str">
        <f t="shared" si="8"/>
        <v>Q2</v>
      </c>
    </row>
    <row r="577" spans="1:8">
      <c r="A577">
        <v>744712</v>
      </c>
      <c r="B577" t="s">
        <v>862</v>
      </c>
      <c r="C577">
        <v>334</v>
      </c>
      <c r="D577">
        <v>2.5708108738867801</v>
      </c>
      <c r="E577">
        <v>858.65083187818504</v>
      </c>
      <c r="F577">
        <v>0.97904518264926099</v>
      </c>
      <c r="G577">
        <v>0.97836800722320405</v>
      </c>
      <c r="H577" t="str">
        <f t="shared" si="8"/>
        <v>Q2</v>
      </c>
    </row>
    <row r="578" spans="1:8">
      <c r="A578">
        <v>699080</v>
      </c>
      <c r="B578" t="s">
        <v>2667</v>
      </c>
      <c r="C578">
        <v>289</v>
      </c>
      <c r="D578">
        <v>2.9662952225036601</v>
      </c>
      <c r="E578">
        <v>857.25931930355705</v>
      </c>
      <c r="F578">
        <v>0.97449305895188298</v>
      </c>
      <c r="G578">
        <v>0.97833038636620095</v>
      </c>
      <c r="H578" t="str">
        <f t="shared" si="8"/>
        <v>Q2</v>
      </c>
    </row>
    <row r="579" spans="1:8">
      <c r="A579">
        <v>811099</v>
      </c>
      <c r="B579" t="s">
        <v>5192</v>
      </c>
      <c r="C579">
        <v>215</v>
      </c>
      <c r="D579">
        <v>3.9859046314864699</v>
      </c>
      <c r="E579">
        <v>856.96949576959003</v>
      </c>
      <c r="F579">
        <v>0.96275535156690895</v>
      </c>
      <c r="G579">
        <v>0.97829276550919797</v>
      </c>
      <c r="H579" t="str">
        <f t="shared" ref="H579:H642" si="9">IF(C579&gt;$J$2,
   IF(D579&gt;$J$3,"Q1","Q2"),
   IF(D579&gt;$J$3,"Q3","Q4"))</f>
        <v>Q2</v>
      </c>
    </row>
    <row r="580" spans="1:8">
      <c r="A580">
        <v>721270</v>
      </c>
      <c r="B580" t="s">
        <v>3854</v>
      </c>
      <c r="C580">
        <v>193</v>
      </c>
      <c r="D580">
        <v>4.4379556165535199</v>
      </c>
      <c r="E580">
        <v>856.52543399483</v>
      </c>
      <c r="F580">
        <v>0.95726270644445299</v>
      </c>
      <c r="G580">
        <v>0.97825514465219499</v>
      </c>
      <c r="H580" t="str">
        <f t="shared" si="9"/>
        <v>Q2</v>
      </c>
    </row>
    <row r="581" spans="1:8">
      <c r="A581">
        <v>593184</v>
      </c>
      <c r="B581" t="s">
        <v>1087</v>
      </c>
      <c r="C581">
        <v>78</v>
      </c>
      <c r="D581">
        <v>10.9631462977865</v>
      </c>
      <c r="E581">
        <v>855.12541122734501</v>
      </c>
      <c r="F581">
        <v>0.88867988412776</v>
      </c>
      <c r="G581">
        <v>0.978217523795192</v>
      </c>
      <c r="H581" t="str">
        <f t="shared" si="9"/>
        <v>Q3</v>
      </c>
    </row>
    <row r="582" spans="1:8">
      <c r="A582">
        <v>615970</v>
      </c>
      <c r="B582" t="s">
        <v>697</v>
      </c>
      <c r="C582">
        <v>208</v>
      </c>
      <c r="D582">
        <v>4.1082383153619801</v>
      </c>
      <c r="E582">
        <v>854.51356959529198</v>
      </c>
      <c r="F582">
        <v>0.96102479214476499</v>
      </c>
      <c r="G582">
        <v>0.97817990293818902</v>
      </c>
      <c r="H582" t="str">
        <f t="shared" si="9"/>
        <v>Q2</v>
      </c>
    </row>
    <row r="583" spans="1:8">
      <c r="A583">
        <v>629420</v>
      </c>
      <c r="B583" t="s">
        <v>1059</v>
      </c>
      <c r="C583">
        <v>1042</v>
      </c>
      <c r="D583">
        <v>0.82002342274169404</v>
      </c>
      <c r="E583">
        <v>854.46440649684496</v>
      </c>
      <c r="F583">
        <v>0.99732891915277799</v>
      </c>
      <c r="G583">
        <v>0.97814228208118603</v>
      </c>
      <c r="H583" t="str">
        <f t="shared" si="9"/>
        <v>Q2</v>
      </c>
    </row>
    <row r="584" spans="1:8">
      <c r="A584">
        <v>237347</v>
      </c>
      <c r="B584" t="s">
        <v>4859</v>
      </c>
      <c r="C584">
        <v>276</v>
      </c>
      <c r="D584">
        <v>3.0909603991397301</v>
      </c>
      <c r="E584">
        <v>853.10507016256497</v>
      </c>
      <c r="F584">
        <v>0.97272487867273605</v>
      </c>
      <c r="G584">
        <v>0.97810466122418305</v>
      </c>
      <c r="H584" t="str">
        <f t="shared" si="9"/>
        <v>Q2</v>
      </c>
    </row>
    <row r="585" spans="1:8">
      <c r="A585">
        <v>512251</v>
      </c>
      <c r="B585" t="s">
        <v>4565</v>
      </c>
      <c r="C585">
        <v>413</v>
      </c>
      <c r="D585">
        <v>2.06137808946302</v>
      </c>
      <c r="E585">
        <v>851.349150948226</v>
      </c>
      <c r="F585">
        <v>0.98453782777171694</v>
      </c>
      <c r="G585">
        <v>0.97806704036717995</v>
      </c>
      <c r="H585" t="str">
        <f t="shared" si="9"/>
        <v>Q2</v>
      </c>
    </row>
    <row r="586" spans="1:8">
      <c r="A586">
        <v>586896</v>
      </c>
      <c r="B586" t="s">
        <v>284</v>
      </c>
      <c r="C586">
        <v>616</v>
      </c>
      <c r="D586">
        <v>1.38119630316762</v>
      </c>
      <c r="E586">
        <v>850.81692275125499</v>
      </c>
      <c r="F586">
        <v>0.99262631202738805</v>
      </c>
      <c r="G586">
        <v>0.97802941951017597</v>
      </c>
      <c r="H586" t="str">
        <f t="shared" si="9"/>
        <v>Q2</v>
      </c>
    </row>
    <row r="587" spans="1:8">
      <c r="A587">
        <v>787883</v>
      </c>
      <c r="B587" t="s">
        <v>2046</v>
      </c>
      <c r="C587">
        <v>135</v>
      </c>
      <c r="D587">
        <v>6.2985310179215901</v>
      </c>
      <c r="E587">
        <v>850.30168741941498</v>
      </c>
      <c r="F587">
        <v>0.93615740566570105</v>
      </c>
      <c r="G587">
        <v>0.97799179865317298</v>
      </c>
      <c r="H587" t="str">
        <f t="shared" si="9"/>
        <v>Q3</v>
      </c>
    </row>
    <row r="588" spans="1:8">
      <c r="A588">
        <v>742924</v>
      </c>
      <c r="B588" t="s">
        <v>790</v>
      </c>
      <c r="C588">
        <v>622</v>
      </c>
      <c r="D588">
        <v>1.3668864330207999</v>
      </c>
      <c r="E588">
        <v>850.20336133893602</v>
      </c>
      <c r="F588">
        <v>0.99285203716940695</v>
      </c>
      <c r="G588">
        <v>0.97795417779617</v>
      </c>
      <c r="H588" t="str">
        <f t="shared" si="9"/>
        <v>Q2</v>
      </c>
    </row>
    <row r="589" spans="1:8">
      <c r="A589">
        <v>823317</v>
      </c>
      <c r="B589" t="s">
        <v>4066</v>
      </c>
      <c r="C589">
        <v>219</v>
      </c>
      <c r="D589">
        <v>3.8803575602976701</v>
      </c>
      <c r="E589">
        <v>849.79830570519005</v>
      </c>
      <c r="F589">
        <v>0.96350776870697097</v>
      </c>
      <c r="G589">
        <v>0.97791655693916701</v>
      </c>
      <c r="H589" t="str">
        <f t="shared" si="9"/>
        <v>Q2</v>
      </c>
    </row>
    <row r="590" spans="1:8">
      <c r="A590">
        <v>750423</v>
      </c>
      <c r="B590" t="s">
        <v>1290</v>
      </c>
      <c r="C590">
        <v>222</v>
      </c>
      <c r="D590">
        <v>3.8221942286032302</v>
      </c>
      <c r="E590">
        <v>848.52711874991701</v>
      </c>
      <c r="F590">
        <v>0.963959218991009</v>
      </c>
      <c r="G590">
        <v>0.97787893608216403</v>
      </c>
      <c r="H590" t="str">
        <f t="shared" si="9"/>
        <v>Q2</v>
      </c>
    </row>
    <row r="591" spans="1:8">
      <c r="A591">
        <v>488561</v>
      </c>
      <c r="B591" t="s">
        <v>4826</v>
      </c>
      <c r="C591">
        <v>323</v>
      </c>
      <c r="D591">
        <v>2.6196200291023501</v>
      </c>
      <c r="E591">
        <v>846.13726940005995</v>
      </c>
      <c r="F591">
        <v>0.978217523795192</v>
      </c>
      <c r="G591">
        <v>0.97784131522516105</v>
      </c>
      <c r="H591" t="str">
        <f t="shared" si="9"/>
        <v>Q2</v>
      </c>
    </row>
    <row r="592" spans="1:8">
      <c r="A592">
        <v>714384</v>
      </c>
      <c r="B592" t="s">
        <v>2487</v>
      </c>
      <c r="C592">
        <v>398</v>
      </c>
      <c r="D592">
        <v>2.1244825856133001</v>
      </c>
      <c r="E592">
        <v>845.54406907409395</v>
      </c>
      <c r="F592">
        <v>0.98352206463263203</v>
      </c>
      <c r="G592">
        <v>0.97780369436815795</v>
      </c>
      <c r="H592" t="str">
        <f t="shared" si="9"/>
        <v>Q2</v>
      </c>
    </row>
    <row r="593" spans="1:8">
      <c r="A593">
        <v>744906</v>
      </c>
      <c r="B593" t="s">
        <v>3105</v>
      </c>
      <c r="C593">
        <v>197</v>
      </c>
      <c r="D593">
        <v>4.2834896773931899</v>
      </c>
      <c r="E593">
        <v>843.84746644645895</v>
      </c>
      <c r="F593">
        <v>0.95824084872653403</v>
      </c>
      <c r="G593">
        <v>0.97776607351115497</v>
      </c>
      <c r="H593" t="str">
        <f t="shared" si="9"/>
        <v>Q2</v>
      </c>
    </row>
    <row r="594" spans="1:8">
      <c r="A594">
        <v>543054</v>
      </c>
      <c r="B594" t="s">
        <v>1255</v>
      </c>
      <c r="C594">
        <v>263</v>
      </c>
      <c r="D594">
        <v>3.2062060925613798</v>
      </c>
      <c r="E594">
        <v>843.23220234364305</v>
      </c>
      <c r="F594">
        <v>0.97084383582258005</v>
      </c>
      <c r="G594">
        <v>0.97772845265415098</v>
      </c>
      <c r="H594" t="str">
        <f t="shared" si="9"/>
        <v>Q2</v>
      </c>
    </row>
    <row r="595" spans="1:8">
      <c r="A595">
        <v>717874</v>
      </c>
      <c r="B595" t="s">
        <v>4768</v>
      </c>
      <c r="C595">
        <v>208</v>
      </c>
      <c r="D595">
        <v>4.0497229459176101</v>
      </c>
      <c r="E595">
        <v>842.34237275086298</v>
      </c>
      <c r="F595">
        <v>0.96102479214476499</v>
      </c>
      <c r="G595">
        <v>0.977690831797148</v>
      </c>
      <c r="H595" t="str">
        <f t="shared" si="9"/>
        <v>Q2</v>
      </c>
    </row>
    <row r="596" spans="1:8">
      <c r="A596">
        <v>739347</v>
      </c>
      <c r="B596" t="s">
        <v>2474</v>
      </c>
      <c r="C596">
        <v>420</v>
      </c>
      <c r="D596">
        <v>1.99987481642027</v>
      </c>
      <c r="E596">
        <v>839.94742289651197</v>
      </c>
      <c r="F596">
        <v>0.984951657198751</v>
      </c>
      <c r="G596">
        <v>0.97765321094014501</v>
      </c>
      <c r="H596" t="str">
        <f t="shared" si="9"/>
        <v>Q2</v>
      </c>
    </row>
    <row r="597" spans="1:8">
      <c r="A597">
        <v>746775</v>
      </c>
      <c r="B597" t="s">
        <v>1232</v>
      </c>
      <c r="C597">
        <v>426</v>
      </c>
      <c r="D597">
        <v>1.97165990379495</v>
      </c>
      <c r="E597">
        <v>839.927119016647</v>
      </c>
      <c r="F597">
        <v>0.98562883262480705</v>
      </c>
      <c r="G597">
        <v>0.97761559008314203</v>
      </c>
      <c r="H597" t="str">
        <f t="shared" si="9"/>
        <v>Q2</v>
      </c>
    </row>
    <row r="598" spans="1:8">
      <c r="A598">
        <v>751994</v>
      </c>
      <c r="B598" t="s">
        <v>4514</v>
      </c>
      <c r="C598">
        <v>175</v>
      </c>
      <c r="D598">
        <v>4.79540928985391</v>
      </c>
      <c r="E598">
        <v>839.19662572443497</v>
      </c>
      <c r="F598">
        <v>0.95188292389300599</v>
      </c>
      <c r="G598">
        <v>0.97757796922613904</v>
      </c>
      <c r="H598" t="str">
        <f t="shared" si="9"/>
        <v>Q2</v>
      </c>
    </row>
    <row r="599" spans="1:8">
      <c r="A599">
        <v>778534</v>
      </c>
      <c r="B599" t="s">
        <v>1365</v>
      </c>
      <c r="C599">
        <v>233</v>
      </c>
      <c r="D599">
        <v>3.5843893266063098</v>
      </c>
      <c r="E599">
        <v>835.16271309927095</v>
      </c>
      <c r="F599">
        <v>0.96614122869718999</v>
      </c>
      <c r="G599">
        <v>0.97754034836913595</v>
      </c>
      <c r="H599" t="str">
        <f t="shared" si="9"/>
        <v>Q2</v>
      </c>
    </row>
    <row r="600" spans="1:8">
      <c r="A600">
        <v>721299</v>
      </c>
      <c r="B600" t="s">
        <v>871</v>
      </c>
      <c r="C600">
        <v>342</v>
      </c>
      <c r="D600">
        <v>2.4414610000577799</v>
      </c>
      <c r="E600">
        <v>834.97966201975896</v>
      </c>
      <c r="F600">
        <v>0.97987284150332898</v>
      </c>
      <c r="G600">
        <v>0.97750272751213296</v>
      </c>
      <c r="H600" t="str">
        <f t="shared" si="9"/>
        <v>Q2</v>
      </c>
    </row>
    <row r="601" spans="1:8">
      <c r="A601">
        <v>732511</v>
      </c>
      <c r="B601" t="s">
        <v>2188</v>
      </c>
      <c r="C601">
        <v>133</v>
      </c>
      <c r="D601">
        <v>6.2779023403063796</v>
      </c>
      <c r="E601">
        <v>834.96101126074802</v>
      </c>
      <c r="F601">
        <v>0.93476543395658596</v>
      </c>
      <c r="G601">
        <v>0.97746510665512998</v>
      </c>
      <c r="H601" t="str">
        <f t="shared" si="9"/>
        <v>Q3</v>
      </c>
    </row>
    <row r="602" spans="1:8">
      <c r="A602">
        <v>716671</v>
      </c>
      <c r="B602" t="s">
        <v>1573</v>
      </c>
      <c r="C602">
        <v>281</v>
      </c>
      <c r="D602">
        <v>2.9693165532184</v>
      </c>
      <c r="E602">
        <v>834.37795145437099</v>
      </c>
      <c r="F602">
        <v>0.97340205409879199</v>
      </c>
      <c r="G602">
        <v>0.97742748579812599</v>
      </c>
      <c r="H602" t="str">
        <f t="shared" si="9"/>
        <v>Q2</v>
      </c>
    </row>
    <row r="603" spans="1:8">
      <c r="A603">
        <v>750330</v>
      </c>
      <c r="B603" t="s">
        <v>133</v>
      </c>
      <c r="C603">
        <v>171</v>
      </c>
      <c r="D603">
        <v>4.8683715733694104</v>
      </c>
      <c r="E603">
        <v>832.49153904616799</v>
      </c>
      <c r="F603">
        <v>0.95041571046988405</v>
      </c>
      <c r="G603">
        <v>0.97738986494112301</v>
      </c>
      <c r="H603" t="str">
        <f t="shared" si="9"/>
        <v>Q2</v>
      </c>
    </row>
    <row r="604" spans="1:8">
      <c r="A604">
        <v>733076</v>
      </c>
      <c r="B604" t="s">
        <v>4019</v>
      </c>
      <c r="C604">
        <v>162</v>
      </c>
      <c r="D604">
        <v>5.13092694620107</v>
      </c>
      <c r="E604">
        <v>831.21016528457403</v>
      </c>
      <c r="F604">
        <v>0.94714269591061295</v>
      </c>
      <c r="G604">
        <v>0.97735224408412003</v>
      </c>
      <c r="H604" t="str">
        <f t="shared" si="9"/>
        <v>Q3</v>
      </c>
    </row>
    <row r="605" spans="1:8">
      <c r="A605">
        <v>735840</v>
      </c>
      <c r="B605" t="s">
        <v>718</v>
      </c>
      <c r="C605">
        <v>271</v>
      </c>
      <c r="D605">
        <v>3.0658764867764998</v>
      </c>
      <c r="E605">
        <v>830.85252791643097</v>
      </c>
      <c r="F605">
        <v>0.97193484067567104</v>
      </c>
      <c r="G605">
        <v>0.97731462322711704</v>
      </c>
      <c r="H605" t="str">
        <f t="shared" si="9"/>
        <v>Q2</v>
      </c>
    </row>
    <row r="606" spans="1:8">
      <c r="A606">
        <v>777124</v>
      </c>
      <c r="B606" t="s">
        <v>458</v>
      </c>
      <c r="C606">
        <v>170</v>
      </c>
      <c r="D606">
        <v>4.8851745488012499</v>
      </c>
      <c r="E606">
        <v>830.47967329621304</v>
      </c>
      <c r="F606">
        <v>0.95018998532786603</v>
      </c>
      <c r="G606">
        <v>0.97727700237011395</v>
      </c>
      <c r="H606" t="str">
        <f t="shared" si="9"/>
        <v>Q2</v>
      </c>
    </row>
    <row r="607" spans="1:8">
      <c r="A607">
        <v>714826</v>
      </c>
      <c r="B607" t="s">
        <v>4363</v>
      </c>
      <c r="C607">
        <v>323</v>
      </c>
      <c r="D607">
        <v>2.5687831066168201</v>
      </c>
      <c r="E607">
        <v>829.71694343723402</v>
      </c>
      <c r="F607">
        <v>0.978217523795192</v>
      </c>
      <c r="G607">
        <v>0.97723938151311096</v>
      </c>
      <c r="H607" t="str">
        <f t="shared" si="9"/>
        <v>Q2</v>
      </c>
    </row>
    <row r="608" spans="1:8">
      <c r="A608">
        <v>721059</v>
      </c>
      <c r="B608" t="s">
        <v>2861</v>
      </c>
      <c r="C608">
        <v>293</v>
      </c>
      <c r="D608">
        <v>2.8301324593634298</v>
      </c>
      <c r="E608">
        <v>829.22881059348595</v>
      </c>
      <c r="F608">
        <v>0.97517023437793904</v>
      </c>
      <c r="G608">
        <v>0.97720176065610798</v>
      </c>
      <c r="H608" t="str">
        <f t="shared" si="9"/>
        <v>Q2</v>
      </c>
    </row>
    <row r="609" spans="1:8">
      <c r="A609">
        <v>723874</v>
      </c>
      <c r="B609" t="s">
        <v>3077</v>
      </c>
      <c r="C609">
        <v>259</v>
      </c>
      <c r="D609">
        <v>3.1985798785930402</v>
      </c>
      <c r="E609">
        <v>828.43218855559803</v>
      </c>
      <c r="F609">
        <v>0.97027952296753295</v>
      </c>
      <c r="G609">
        <v>0.97716413979910499</v>
      </c>
      <c r="H609" t="str">
        <f t="shared" si="9"/>
        <v>Q2</v>
      </c>
    </row>
    <row r="610" spans="1:8">
      <c r="A610">
        <v>594264</v>
      </c>
      <c r="B610" t="s">
        <v>2164</v>
      </c>
      <c r="C610">
        <v>349</v>
      </c>
      <c r="D610">
        <v>2.3733330128666399</v>
      </c>
      <c r="E610">
        <v>828.293221490458</v>
      </c>
      <c r="F610">
        <v>0.98043715435837597</v>
      </c>
      <c r="G610">
        <v>0.97712651894210101</v>
      </c>
      <c r="H610" t="str">
        <f t="shared" si="9"/>
        <v>Q2</v>
      </c>
    </row>
    <row r="611" spans="1:8">
      <c r="A611">
        <v>739590</v>
      </c>
      <c r="B611" t="s">
        <v>4885</v>
      </c>
      <c r="C611">
        <v>513</v>
      </c>
      <c r="D611">
        <v>1.6144513156170599</v>
      </c>
      <c r="E611">
        <v>828.21352491155301</v>
      </c>
      <c r="F611">
        <v>0.98916519318310103</v>
      </c>
      <c r="G611">
        <v>0.97708889808509802</v>
      </c>
      <c r="H611" t="str">
        <f t="shared" si="9"/>
        <v>Q2</v>
      </c>
    </row>
    <row r="612" spans="1:8">
      <c r="A612">
        <v>747984</v>
      </c>
      <c r="B612" t="s">
        <v>4087</v>
      </c>
      <c r="C612">
        <v>304</v>
      </c>
      <c r="D612">
        <v>2.7241636893258598</v>
      </c>
      <c r="E612">
        <v>828.14576155506097</v>
      </c>
      <c r="F612">
        <v>0.97648696437304805</v>
      </c>
      <c r="G612">
        <v>0.97705127722809504</v>
      </c>
      <c r="H612" t="str">
        <f t="shared" si="9"/>
        <v>Q2</v>
      </c>
    </row>
    <row r="613" spans="1:8">
      <c r="A613">
        <v>723104</v>
      </c>
      <c r="B613" t="s">
        <v>1199</v>
      </c>
      <c r="C613">
        <v>171</v>
      </c>
      <c r="D613">
        <v>4.8421945553599697</v>
      </c>
      <c r="E613">
        <v>828.01526896655605</v>
      </c>
      <c r="F613">
        <v>0.95041571046988405</v>
      </c>
      <c r="G613">
        <v>0.97701365637109205</v>
      </c>
      <c r="H613" t="str">
        <f t="shared" si="9"/>
        <v>Q2</v>
      </c>
    </row>
    <row r="614" spans="1:8">
      <c r="A614">
        <v>583534</v>
      </c>
      <c r="B614" t="s">
        <v>698</v>
      </c>
      <c r="C614">
        <v>503</v>
      </c>
      <c r="D614">
        <v>1.6445024035293301</v>
      </c>
      <c r="E614">
        <v>827.18470897525503</v>
      </c>
      <c r="F614">
        <v>0.98886422632707605</v>
      </c>
      <c r="G614">
        <v>0.97697603551408896</v>
      </c>
      <c r="H614" t="str">
        <f t="shared" si="9"/>
        <v>Q2</v>
      </c>
    </row>
    <row r="615" spans="1:8">
      <c r="A615">
        <v>721481</v>
      </c>
      <c r="B615" t="s">
        <v>1912</v>
      </c>
      <c r="C615">
        <v>212</v>
      </c>
      <c r="D615">
        <v>3.8903022307972899</v>
      </c>
      <c r="E615">
        <v>824.74407292902504</v>
      </c>
      <c r="F615">
        <v>0.96200293442684603</v>
      </c>
      <c r="G615">
        <v>0.97693841465708597</v>
      </c>
      <c r="H615" t="str">
        <f t="shared" si="9"/>
        <v>Q2</v>
      </c>
    </row>
    <row r="616" spans="1:8">
      <c r="A616">
        <v>727948</v>
      </c>
      <c r="B616" t="s">
        <v>1965</v>
      </c>
      <c r="C616">
        <v>335</v>
      </c>
      <c r="D616">
        <v>2.4589172600587799</v>
      </c>
      <c r="E616">
        <v>823.73728211969103</v>
      </c>
      <c r="F616">
        <v>0.97915804522026995</v>
      </c>
      <c r="G616">
        <v>0.97690079380008299</v>
      </c>
      <c r="H616" t="str">
        <f t="shared" si="9"/>
        <v>Q2</v>
      </c>
    </row>
    <row r="617" spans="1:8">
      <c r="A617">
        <v>708472</v>
      </c>
      <c r="B617" t="s">
        <v>1824</v>
      </c>
      <c r="C617">
        <v>522</v>
      </c>
      <c r="D617">
        <v>1.5780374761028499</v>
      </c>
      <c r="E617">
        <v>823.73556252569006</v>
      </c>
      <c r="F617">
        <v>0.98957902261013497</v>
      </c>
      <c r="G617">
        <v>0.97686317294308</v>
      </c>
      <c r="H617" t="str">
        <f t="shared" si="9"/>
        <v>Q2</v>
      </c>
    </row>
    <row r="618" spans="1:8">
      <c r="A618">
        <v>771822</v>
      </c>
      <c r="B618" t="s">
        <v>4315</v>
      </c>
      <c r="C618">
        <v>128</v>
      </c>
      <c r="D618">
        <v>6.4272774689015897</v>
      </c>
      <c r="E618">
        <v>822.69151601940405</v>
      </c>
      <c r="F618">
        <v>0.93201911139535798</v>
      </c>
      <c r="G618">
        <v>0.97682555208607702</v>
      </c>
      <c r="H618" t="str">
        <f t="shared" si="9"/>
        <v>Q3</v>
      </c>
    </row>
    <row r="619" spans="1:8">
      <c r="A619">
        <v>723151</v>
      </c>
      <c r="B619" t="s">
        <v>675</v>
      </c>
      <c r="C619">
        <v>579</v>
      </c>
      <c r="D619">
        <v>1.4208219470118499</v>
      </c>
      <c r="E619">
        <v>822.65590731985901</v>
      </c>
      <c r="F619">
        <v>0.99161054888830402</v>
      </c>
      <c r="G619">
        <v>0.97678793122907304</v>
      </c>
      <c r="H619" t="str">
        <f t="shared" si="9"/>
        <v>Q2</v>
      </c>
    </row>
    <row r="620" spans="1:8">
      <c r="A620">
        <v>708499</v>
      </c>
      <c r="B620" t="s">
        <v>2378</v>
      </c>
      <c r="C620">
        <v>517</v>
      </c>
      <c r="D620">
        <v>1.5907024888130801</v>
      </c>
      <c r="E620">
        <v>822.39318671636295</v>
      </c>
      <c r="F620">
        <v>0.98935329746811596</v>
      </c>
      <c r="G620">
        <v>0.97675031037207005</v>
      </c>
      <c r="H620" t="str">
        <f t="shared" si="9"/>
        <v>Q2</v>
      </c>
    </row>
    <row r="621" spans="1:8">
      <c r="A621">
        <v>788006</v>
      </c>
      <c r="B621" t="s">
        <v>2226</v>
      </c>
      <c r="C621">
        <v>153</v>
      </c>
      <c r="D621">
        <v>5.3682175385796196</v>
      </c>
      <c r="E621">
        <v>821.33728340268101</v>
      </c>
      <c r="F621">
        <v>0.94405778563635701</v>
      </c>
      <c r="G621">
        <v>0.97671268951506696</v>
      </c>
      <c r="H621" t="str">
        <f t="shared" si="9"/>
        <v>Q3</v>
      </c>
    </row>
    <row r="622" spans="1:8">
      <c r="A622">
        <v>700515</v>
      </c>
      <c r="B622" t="s">
        <v>4140</v>
      </c>
      <c r="C622">
        <v>112</v>
      </c>
      <c r="D622">
        <v>7.3309625257804498</v>
      </c>
      <c r="E622">
        <v>821.06780288741004</v>
      </c>
      <c r="F622">
        <v>0.92156051314848997</v>
      </c>
      <c r="G622">
        <v>0.97667506865806397</v>
      </c>
      <c r="H622" t="str">
        <f t="shared" si="9"/>
        <v>Q3</v>
      </c>
    </row>
    <row r="623" spans="1:8">
      <c r="A623">
        <v>705937</v>
      </c>
      <c r="B623" t="s">
        <v>4735</v>
      </c>
      <c r="C623">
        <v>174</v>
      </c>
      <c r="D623">
        <v>4.7179134594726104</v>
      </c>
      <c r="E623">
        <v>820.91694194823503</v>
      </c>
      <c r="F623">
        <v>0.95150671532297504</v>
      </c>
      <c r="G623">
        <v>0.97663744780106099</v>
      </c>
      <c r="H623" t="str">
        <f t="shared" si="9"/>
        <v>Q2</v>
      </c>
    </row>
    <row r="624" spans="1:8">
      <c r="A624">
        <v>532578</v>
      </c>
      <c r="B624" t="s">
        <v>309</v>
      </c>
      <c r="C624">
        <v>504</v>
      </c>
      <c r="D624">
        <v>1.6272733288277501</v>
      </c>
      <c r="E624">
        <v>820.14575772918795</v>
      </c>
      <c r="F624">
        <v>0.98890184718407903</v>
      </c>
      <c r="G624">
        <v>0.976599826944058</v>
      </c>
      <c r="H624" t="str">
        <f t="shared" si="9"/>
        <v>Q2</v>
      </c>
    </row>
    <row r="625" spans="1:8">
      <c r="A625">
        <v>572582</v>
      </c>
      <c r="B625" t="s">
        <v>3023</v>
      </c>
      <c r="C625">
        <v>241</v>
      </c>
      <c r="D625">
        <v>3.3981433277369999</v>
      </c>
      <c r="E625">
        <v>818.95254198461805</v>
      </c>
      <c r="F625">
        <v>0.96742033783529602</v>
      </c>
      <c r="G625">
        <v>0.97656220608705502</v>
      </c>
      <c r="H625" t="str">
        <f t="shared" si="9"/>
        <v>Q2</v>
      </c>
    </row>
    <row r="626" spans="1:8">
      <c r="A626">
        <v>700851</v>
      </c>
      <c r="B626" t="s">
        <v>2564</v>
      </c>
      <c r="C626">
        <v>254</v>
      </c>
      <c r="D626">
        <v>3.21833037947283</v>
      </c>
      <c r="E626">
        <v>817.45591638609801</v>
      </c>
      <c r="F626">
        <v>0.96967758925548297</v>
      </c>
      <c r="G626">
        <v>0.97652458523005203</v>
      </c>
      <c r="H626" t="str">
        <f t="shared" si="9"/>
        <v>Q2</v>
      </c>
    </row>
    <row r="627" spans="1:8">
      <c r="A627">
        <v>697564</v>
      </c>
      <c r="B627" t="s">
        <v>2517</v>
      </c>
      <c r="C627">
        <v>544</v>
      </c>
      <c r="D627">
        <v>1.5022400953646</v>
      </c>
      <c r="E627">
        <v>817.21861187834304</v>
      </c>
      <c r="F627">
        <v>0.99051954403521303</v>
      </c>
      <c r="G627">
        <v>0.97648696437304805</v>
      </c>
      <c r="H627" t="str">
        <f t="shared" si="9"/>
        <v>Q2</v>
      </c>
    </row>
    <row r="628" spans="1:8">
      <c r="A628">
        <v>678086</v>
      </c>
      <c r="B628" t="s">
        <v>2169</v>
      </c>
      <c r="C628">
        <v>352</v>
      </c>
      <c r="D628">
        <v>2.3194578222253099</v>
      </c>
      <c r="E628">
        <v>816.44915342330899</v>
      </c>
      <c r="F628">
        <v>0.98058763778638902</v>
      </c>
      <c r="G628">
        <v>0.97644934351604495</v>
      </c>
      <c r="H628" t="str">
        <f t="shared" si="9"/>
        <v>Q2</v>
      </c>
    </row>
    <row r="629" spans="1:8">
      <c r="A629">
        <v>736218</v>
      </c>
      <c r="B629" t="s">
        <v>4211</v>
      </c>
      <c r="C629">
        <v>257</v>
      </c>
      <c r="D629">
        <v>3.1609707276412999</v>
      </c>
      <c r="E629">
        <v>812.36947700381302</v>
      </c>
      <c r="F629">
        <v>0.97016666039652399</v>
      </c>
      <c r="G629">
        <v>0.97641172265904197</v>
      </c>
      <c r="H629" t="str">
        <f t="shared" si="9"/>
        <v>Q2</v>
      </c>
    </row>
    <row r="630" spans="1:8">
      <c r="A630">
        <v>669882</v>
      </c>
      <c r="B630" t="s">
        <v>4853</v>
      </c>
      <c r="C630">
        <v>339</v>
      </c>
      <c r="D630">
        <v>2.3952102452066</v>
      </c>
      <c r="E630">
        <v>811.97627312503801</v>
      </c>
      <c r="F630">
        <v>0.97942139121929195</v>
      </c>
      <c r="G630">
        <v>0.97637410180203899</v>
      </c>
      <c r="H630" t="str">
        <f t="shared" si="9"/>
        <v>Q2</v>
      </c>
    </row>
    <row r="631" spans="1:8">
      <c r="A631">
        <v>720506</v>
      </c>
      <c r="B631" t="s">
        <v>2201</v>
      </c>
      <c r="C631">
        <v>146</v>
      </c>
      <c r="D631">
        <v>5.5556653399173497</v>
      </c>
      <c r="E631">
        <v>811.12713962793396</v>
      </c>
      <c r="F631">
        <v>0.94127384221812604</v>
      </c>
      <c r="G631">
        <v>0.976336480945036</v>
      </c>
      <c r="H631" t="str">
        <f t="shared" si="9"/>
        <v>Q3</v>
      </c>
    </row>
    <row r="632" spans="1:8">
      <c r="A632">
        <v>625358</v>
      </c>
      <c r="B632" t="s">
        <v>3479</v>
      </c>
      <c r="C632">
        <v>267</v>
      </c>
      <c r="D632">
        <v>3.0312320911622002</v>
      </c>
      <c r="E632">
        <v>809.33896834030702</v>
      </c>
      <c r="F632">
        <v>0.97133290696362096</v>
      </c>
      <c r="G632">
        <v>0.97629886008803302</v>
      </c>
      <c r="H632" t="str">
        <f t="shared" si="9"/>
        <v>Q2</v>
      </c>
    </row>
    <row r="633" spans="1:8">
      <c r="A633">
        <v>781758</v>
      </c>
      <c r="B633" t="s">
        <v>1799</v>
      </c>
      <c r="C633">
        <v>332</v>
      </c>
      <c r="D633">
        <v>2.4370175685329598</v>
      </c>
      <c r="E633">
        <v>809.08983275294304</v>
      </c>
      <c r="F633">
        <v>0.97881945750724197</v>
      </c>
      <c r="G633">
        <v>0.97626123923103003</v>
      </c>
      <c r="H633" t="str">
        <f t="shared" si="9"/>
        <v>Q2</v>
      </c>
    </row>
    <row r="634" spans="1:8">
      <c r="A634">
        <v>708868</v>
      </c>
      <c r="B634" t="s">
        <v>4192</v>
      </c>
      <c r="C634">
        <v>130</v>
      </c>
      <c r="D634">
        <v>6.1894523495665004</v>
      </c>
      <c r="E634">
        <v>804.62880544364498</v>
      </c>
      <c r="F634">
        <v>0.93307249539144499</v>
      </c>
      <c r="G634">
        <v>0.97622361837402705</v>
      </c>
      <c r="H634" t="str">
        <f t="shared" si="9"/>
        <v>Q3</v>
      </c>
    </row>
    <row r="635" spans="1:8">
      <c r="A635">
        <v>717365</v>
      </c>
      <c r="B635" t="s">
        <v>1190</v>
      </c>
      <c r="C635">
        <v>291</v>
      </c>
      <c r="D635">
        <v>2.76466299702903</v>
      </c>
      <c r="E635">
        <v>804.51693213544797</v>
      </c>
      <c r="F635">
        <v>0.97475640495090499</v>
      </c>
      <c r="G635">
        <v>0.97618599751702295</v>
      </c>
      <c r="H635" t="str">
        <f t="shared" si="9"/>
        <v>Q2</v>
      </c>
    </row>
    <row r="636" spans="1:8">
      <c r="A636">
        <v>733094</v>
      </c>
      <c r="B636" t="s">
        <v>4962</v>
      </c>
      <c r="C636">
        <v>271</v>
      </c>
      <c r="D636">
        <v>2.9658201951327401</v>
      </c>
      <c r="E636">
        <v>803.73727288097098</v>
      </c>
      <c r="F636">
        <v>0.97193484067567104</v>
      </c>
      <c r="G636">
        <v>0.97614837666001997</v>
      </c>
      <c r="H636" t="str">
        <f t="shared" si="9"/>
        <v>Q2</v>
      </c>
    </row>
    <row r="637" spans="1:8">
      <c r="A637">
        <v>614854</v>
      </c>
      <c r="B637" t="s">
        <v>1728</v>
      </c>
      <c r="C637">
        <v>516</v>
      </c>
      <c r="D637">
        <v>1.5574956702406</v>
      </c>
      <c r="E637">
        <v>803.66776584414799</v>
      </c>
      <c r="F637">
        <v>0.98927805575410999</v>
      </c>
      <c r="G637">
        <v>0.97611075580301698</v>
      </c>
      <c r="H637" t="str">
        <f t="shared" si="9"/>
        <v>Q2</v>
      </c>
    </row>
    <row r="638" spans="1:8">
      <c r="A638">
        <v>736489</v>
      </c>
      <c r="B638" t="s">
        <v>5253</v>
      </c>
      <c r="C638">
        <v>205</v>
      </c>
      <c r="D638">
        <v>3.9130715169466801</v>
      </c>
      <c r="E638">
        <v>802.17966097406998</v>
      </c>
      <c r="F638">
        <v>0.96038523757571204</v>
      </c>
      <c r="G638">
        <v>0.976073134946014</v>
      </c>
      <c r="H638" t="str">
        <f t="shared" si="9"/>
        <v>Q2</v>
      </c>
    </row>
    <row r="639" spans="1:8">
      <c r="A639">
        <v>683001</v>
      </c>
      <c r="B639" t="s">
        <v>3673</v>
      </c>
      <c r="C639">
        <v>536</v>
      </c>
      <c r="D639">
        <v>1.4961832217522899</v>
      </c>
      <c r="E639">
        <v>801.95420685922704</v>
      </c>
      <c r="F639">
        <v>0.99036906060720098</v>
      </c>
      <c r="G639">
        <v>0.97603551408901101</v>
      </c>
      <c r="H639" t="str">
        <f t="shared" si="9"/>
        <v>Q2</v>
      </c>
    </row>
    <row r="640" spans="1:8">
      <c r="A640">
        <v>633152</v>
      </c>
      <c r="B640" t="s">
        <v>4328</v>
      </c>
      <c r="C640">
        <v>264</v>
      </c>
      <c r="D640">
        <v>3.0357215751075399</v>
      </c>
      <c r="E640">
        <v>801.43049582839001</v>
      </c>
      <c r="F640">
        <v>0.97099431925059299</v>
      </c>
      <c r="G640">
        <v>0.97599789323200803</v>
      </c>
      <c r="H640" t="str">
        <f t="shared" si="9"/>
        <v>Q2</v>
      </c>
    </row>
    <row r="641" spans="1:8">
      <c r="A641">
        <v>629381</v>
      </c>
      <c r="B641" t="s">
        <v>2918</v>
      </c>
      <c r="C641">
        <v>404</v>
      </c>
      <c r="D641">
        <v>1.9829082066460599</v>
      </c>
      <c r="E641">
        <v>801.09491548501001</v>
      </c>
      <c r="F641">
        <v>0.98397351491666996</v>
      </c>
      <c r="G641">
        <v>0.97596027237500504</v>
      </c>
      <c r="H641" t="str">
        <f t="shared" si="9"/>
        <v>Q2</v>
      </c>
    </row>
    <row r="642" spans="1:8">
      <c r="A642">
        <v>815026</v>
      </c>
      <c r="B642" t="s">
        <v>240</v>
      </c>
      <c r="C642">
        <v>73</v>
      </c>
      <c r="D642">
        <v>10.9688877651136</v>
      </c>
      <c r="E642">
        <v>800.72880685329403</v>
      </c>
      <c r="F642">
        <v>0.88111809187013301</v>
      </c>
      <c r="G642">
        <v>0.97592265151800195</v>
      </c>
      <c r="H642" t="str">
        <f t="shared" si="9"/>
        <v>Q3</v>
      </c>
    </row>
    <row r="643" spans="1:8">
      <c r="A643">
        <v>768759</v>
      </c>
      <c r="B643" t="s">
        <v>2284</v>
      </c>
      <c r="C643">
        <v>373</v>
      </c>
      <c r="D643">
        <v>2.1439722859008499</v>
      </c>
      <c r="E643">
        <v>799.70166264101897</v>
      </c>
      <c r="F643">
        <v>0.98209247206651396</v>
      </c>
      <c r="G643">
        <v>0.97588503066099797</v>
      </c>
      <c r="H643" t="str">
        <f t="shared" ref="H643:H706" si="10">IF(C643&gt;$J$2,
   IF(D643&gt;$J$3,"Q1","Q2"),
   IF(D643&gt;$J$3,"Q3","Q4"))</f>
        <v>Q2</v>
      </c>
    </row>
    <row r="644" spans="1:8">
      <c r="A644">
        <v>689898</v>
      </c>
      <c r="B644" t="s">
        <v>4893</v>
      </c>
      <c r="C644">
        <v>363</v>
      </c>
      <c r="D644">
        <v>2.2030116284019798</v>
      </c>
      <c r="E644">
        <v>799.69322110991902</v>
      </c>
      <c r="F644">
        <v>0.981452917497461</v>
      </c>
      <c r="G644">
        <v>0.97584740980399498</v>
      </c>
      <c r="H644" t="str">
        <f t="shared" si="10"/>
        <v>Q2</v>
      </c>
    </row>
    <row r="645" spans="1:8">
      <c r="A645">
        <v>751534</v>
      </c>
      <c r="B645" t="s">
        <v>1280</v>
      </c>
      <c r="C645">
        <v>288</v>
      </c>
      <c r="D645">
        <v>2.7759121806917002</v>
      </c>
      <c r="E645">
        <v>799.46270803920902</v>
      </c>
      <c r="F645">
        <v>0.97426733380986397</v>
      </c>
      <c r="G645">
        <v>0.975809788946992</v>
      </c>
      <c r="H645" t="str">
        <f t="shared" si="10"/>
        <v>Q2</v>
      </c>
    </row>
    <row r="646" spans="1:8">
      <c r="A646">
        <v>766654</v>
      </c>
      <c r="B646" t="s">
        <v>4062</v>
      </c>
      <c r="C646">
        <v>172</v>
      </c>
      <c r="D646">
        <v>4.6456839461529302</v>
      </c>
      <c r="E646">
        <v>799.05763873830404</v>
      </c>
      <c r="F646">
        <v>0.95082953989691898</v>
      </c>
      <c r="G646">
        <v>0.97577216808998901</v>
      </c>
      <c r="H646" t="str">
        <f t="shared" si="10"/>
        <v>Q2</v>
      </c>
    </row>
    <row r="647" spans="1:8">
      <c r="A647">
        <v>762796</v>
      </c>
      <c r="B647" t="s">
        <v>4432</v>
      </c>
      <c r="C647">
        <v>249</v>
      </c>
      <c r="D647">
        <v>3.2046762859845299</v>
      </c>
      <c r="E647">
        <v>797.96439521014702</v>
      </c>
      <c r="F647">
        <v>0.96873706783040503</v>
      </c>
      <c r="G647">
        <v>0.97573454723298603</v>
      </c>
      <c r="H647" t="str">
        <f t="shared" si="10"/>
        <v>Q2</v>
      </c>
    </row>
    <row r="648" spans="1:8">
      <c r="A648">
        <v>775328</v>
      </c>
      <c r="B648" t="s">
        <v>5085</v>
      </c>
      <c r="C648">
        <v>653</v>
      </c>
      <c r="D648">
        <v>1.2206114866203199</v>
      </c>
      <c r="E648">
        <v>797.05930076306697</v>
      </c>
      <c r="F648">
        <v>0.99352921259546301</v>
      </c>
      <c r="G648">
        <v>0.97569692637598304</v>
      </c>
      <c r="H648" t="str">
        <f t="shared" si="10"/>
        <v>Q2</v>
      </c>
    </row>
    <row r="649" spans="1:8">
      <c r="A649">
        <v>844915</v>
      </c>
      <c r="B649" t="s">
        <v>1596</v>
      </c>
      <c r="C649">
        <v>127</v>
      </c>
      <c r="D649">
        <v>6.2734151097733202</v>
      </c>
      <c r="E649">
        <v>796.72371894121204</v>
      </c>
      <c r="F649">
        <v>0.93141717768330801</v>
      </c>
      <c r="G649">
        <v>0.97565930551897995</v>
      </c>
      <c r="H649" t="str">
        <f t="shared" si="10"/>
        <v>Q3</v>
      </c>
    </row>
    <row r="650" spans="1:8">
      <c r="A650">
        <v>723349</v>
      </c>
      <c r="B650" t="s">
        <v>4861</v>
      </c>
      <c r="C650">
        <v>449</v>
      </c>
      <c r="D650">
        <v>1.7733381016237999</v>
      </c>
      <c r="E650">
        <v>796.22880762908596</v>
      </c>
      <c r="F650">
        <v>0.98660697490688798</v>
      </c>
      <c r="G650">
        <v>0.97562168466197696</v>
      </c>
      <c r="H650" t="str">
        <f t="shared" si="10"/>
        <v>Q2</v>
      </c>
    </row>
    <row r="651" spans="1:8">
      <c r="A651">
        <v>788176</v>
      </c>
      <c r="B651" t="s">
        <v>680</v>
      </c>
      <c r="C651">
        <v>291</v>
      </c>
      <c r="D651">
        <v>2.73614067318641</v>
      </c>
      <c r="E651">
        <v>796.216935897246</v>
      </c>
      <c r="F651">
        <v>0.97475640495090499</v>
      </c>
      <c r="G651">
        <v>0.97558406380497298</v>
      </c>
      <c r="H651" t="str">
        <f t="shared" si="10"/>
        <v>Q2</v>
      </c>
    </row>
    <row r="652" spans="1:8">
      <c r="A652">
        <v>564358</v>
      </c>
      <c r="B652" t="s">
        <v>3678</v>
      </c>
      <c r="C652">
        <v>273</v>
      </c>
      <c r="D652">
        <v>2.9058545485016101</v>
      </c>
      <c r="E652">
        <v>793.29829174093902</v>
      </c>
      <c r="F652">
        <v>0.97242391181671095</v>
      </c>
      <c r="G652">
        <v>0.97554644294796999</v>
      </c>
      <c r="H652" t="str">
        <f t="shared" si="10"/>
        <v>Q2</v>
      </c>
    </row>
    <row r="653" spans="1:8">
      <c r="A653">
        <v>837368</v>
      </c>
      <c r="B653" t="s">
        <v>1747</v>
      </c>
      <c r="C653">
        <v>163</v>
      </c>
      <c r="D653">
        <v>4.8614121699260098</v>
      </c>
      <c r="E653">
        <v>792.41018369793903</v>
      </c>
      <c r="F653">
        <v>0.94751890448064402</v>
      </c>
      <c r="G653">
        <v>0.97550882209096701</v>
      </c>
      <c r="H653" t="str">
        <f t="shared" si="10"/>
        <v>Q4</v>
      </c>
    </row>
    <row r="654" spans="1:8">
      <c r="A654">
        <v>713995</v>
      </c>
      <c r="B654" t="s">
        <v>3605</v>
      </c>
      <c r="C654">
        <v>81</v>
      </c>
      <c r="D654">
        <v>9.7725886138684999</v>
      </c>
      <c r="E654">
        <v>791.57967772334803</v>
      </c>
      <c r="F654">
        <v>0.89293104096911302</v>
      </c>
      <c r="G654">
        <v>0.97547120123396402</v>
      </c>
      <c r="H654" t="str">
        <f t="shared" si="10"/>
        <v>Q3</v>
      </c>
    </row>
    <row r="655" spans="1:8">
      <c r="A655">
        <v>742769</v>
      </c>
      <c r="B655" t="s">
        <v>265</v>
      </c>
      <c r="C655">
        <v>302</v>
      </c>
      <c r="D655">
        <v>2.61813888807368</v>
      </c>
      <c r="E655">
        <v>790.677944198251</v>
      </c>
      <c r="F655">
        <v>0.97618599751702295</v>
      </c>
      <c r="G655">
        <v>0.97543358037696104</v>
      </c>
      <c r="H655" t="str">
        <f t="shared" si="10"/>
        <v>Q2</v>
      </c>
    </row>
    <row r="656" spans="1:8">
      <c r="A656">
        <v>703826</v>
      </c>
      <c r="B656" t="s">
        <v>3412</v>
      </c>
      <c r="C656">
        <v>206</v>
      </c>
      <c r="D656">
        <v>3.8381273627678998</v>
      </c>
      <c r="E656">
        <v>790.65423673018802</v>
      </c>
      <c r="F656">
        <v>0.96064858357473404</v>
      </c>
      <c r="G656">
        <v>0.97539595951995794</v>
      </c>
      <c r="H656" t="str">
        <f t="shared" si="10"/>
        <v>Q2</v>
      </c>
    </row>
    <row r="657" spans="1:8">
      <c r="A657">
        <v>821031</v>
      </c>
      <c r="B657" t="s">
        <v>2358</v>
      </c>
      <c r="C657">
        <v>127</v>
      </c>
      <c r="D657">
        <v>6.21461359945339</v>
      </c>
      <c r="E657">
        <v>789.25592713057995</v>
      </c>
      <c r="F657">
        <v>0.93141717768330801</v>
      </c>
      <c r="G657">
        <v>0.97535833866295496</v>
      </c>
      <c r="H657" t="str">
        <f t="shared" si="10"/>
        <v>Q3</v>
      </c>
    </row>
    <row r="658" spans="1:8">
      <c r="A658">
        <v>785710</v>
      </c>
      <c r="B658" t="s">
        <v>2995</v>
      </c>
      <c r="C658">
        <v>249</v>
      </c>
      <c r="D658">
        <v>3.1684500288712001</v>
      </c>
      <c r="E658">
        <v>788.94405718892801</v>
      </c>
      <c r="F658">
        <v>0.96873706783040503</v>
      </c>
      <c r="G658">
        <v>0.97532071780595198</v>
      </c>
      <c r="H658" t="str">
        <f t="shared" si="10"/>
        <v>Q2</v>
      </c>
    </row>
    <row r="659" spans="1:8">
      <c r="A659">
        <v>698387</v>
      </c>
      <c r="B659" t="s">
        <v>140</v>
      </c>
      <c r="C659">
        <v>97</v>
      </c>
      <c r="D659">
        <v>8.1301066333178404</v>
      </c>
      <c r="E659">
        <v>788.62034343182995</v>
      </c>
      <c r="F659">
        <v>0.909108009480456</v>
      </c>
      <c r="G659">
        <v>0.97528309694894899</v>
      </c>
      <c r="H659" t="str">
        <f t="shared" si="10"/>
        <v>Q3</v>
      </c>
    </row>
    <row r="660" spans="1:8">
      <c r="A660">
        <v>751941</v>
      </c>
      <c r="B660" t="s">
        <v>652</v>
      </c>
      <c r="C660">
        <v>196</v>
      </c>
      <c r="D660">
        <v>4.0230024126073198</v>
      </c>
      <c r="E660">
        <v>788.508472871035</v>
      </c>
      <c r="F660">
        <v>0.95790226101350595</v>
      </c>
      <c r="G660">
        <v>0.97524547609194501</v>
      </c>
      <c r="H660" t="str">
        <f t="shared" si="10"/>
        <v>Q2</v>
      </c>
    </row>
    <row r="661" spans="1:8">
      <c r="A661">
        <v>767377</v>
      </c>
      <c r="B661" t="s">
        <v>2588</v>
      </c>
      <c r="C661">
        <v>163</v>
      </c>
      <c r="D661">
        <v>4.8331393028946597</v>
      </c>
      <c r="E661">
        <v>787.80170637182903</v>
      </c>
      <c r="F661">
        <v>0.94751890448064402</v>
      </c>
      <c r="G661">
        <v>0.97520785523494202</v>
      </c>
      <c r="H661" t="str">
        <f t="shared" si="10"/>
        <v>Q4</v>
      </c>
    </row>
    <row r="662" spans="1:8">
      <c r="A662">
        <v>705258</v>
      </c>
      <c r="B662" t="s">
        <v>1281</v>
      </c>
      <c r="C662">
        <v>126</v>
      </c>
      <c r="D662">
        <v>6.2477804129085799</v>
      </c>
      <c r="E662">
        <v>787.22033202648197</v>
      </c>
      <c r="F662">
        <v>0.93096572739926997</v>
      </c>
      <c r="G662">
        <v>0.97517023437793904</v>
      </c>
      <c r="H662" t="str">
        <f t="shared" si="10"/>
        <v>Q3</v>
      </c>
    </row>
    <row r="663" spans="1:8">
      <c r="A663">
        <v>807379</v>
      </c>
      <c r="B663" t="s">
        <v>1311</v>
      </c>
      <c r="C663">
        <v>511</v>
      </c>
      <c r="D663">
        <v>1.5392019098566301</v>
      </c>
      <c r="E663">
        <v>786.53217593673605</v>
      </c>
      <c r="F663">
        <v>0.98908995146909495</v>
      </c>
      <c r="G663">
        <v>0.97513261352093605</v>
      </c>
      <c r="H663" t="str">
        <f t="shared" si="10"/>
        <v>Q2</v>
      </c>
    </row>
    <row r="664" spans="1:8">
      <c r="A664">
        <v>752000</v>
      </c>
      <c r="B664" t="s">
        <v>4162</v>
      </c>
      <c r="C664">
        <v>256</v>
      </c>
      <c r="D664">
        <v>3.07178888706403</v>
      </c>
      <c r="E664">
        <v>786.37795508839201</v>
      </c>
      <c r="F664">
        <v>0.96994093525450498</v>
      </c>
      <c r="G664">
        <v>0.97509499266393296</v>
      </c>
      <c r="H664" t="str">
        <f t="shared" si="10"/>
        <v>Q2</v>
      </c>
    </row>
    <row r="665" spans="1:8">
      <c r="A665">
        <v>727808</v>
      </c>
      <c r="B665" t="s">
        <v>4093</v>
      </c>
      <c r="C665">
        <v>129</v>
      </c>
      <c r="D665">
        <v>6.0954801666066603</v>
      </c>
      <c r="E665">
        <v>786.31694149225996</v>
      </c>
      <c r="F665">
        <v>0.93247056167939502</v>
      </c>
      <c r="G665">
        <v>0.97505737180692997</v>
      </c>
      <c r="H665" t="str">
        <f t="shared" si="10"/>
        <v>Q3</v>
      </c>
    </row>
    <row r="666" spans="1:8">
      <c r="A666">
        <v>740210</v>
      </c>
      <c r="B666" t="s">
        <v>4977</v>
      </c>
      <c r="C666">
        <v>104</v>
      </c>
      <c r="D666">
        <v>7.5604302916102704</v>
      </c>
      <c r="E666">
        <v>786.28475032746803</v>
      </c>
      <c r="F666">
        <v>0.91524020917196502</v>
      </c>
      <c r="G666">
        <v>0.97501975094992699</v>
      </c>
      <c r="H666" t="str">
        <f t="shared" si="10"/>
        <v>Q3</v>
      </c>
    </row>
    <row r="667" spans="1:8">
      <c r="A667">
        <v>490176</v>
      </c>
      <c r="B667" t="s">
        <v>1234</v>
      </c>
      <c r="C667">
        <v>389</v>
      </c>
      <c r="D667">
        <v>2.0208574811734099</v>
      </c>
      <c r="E667">
        <v>786.11356017645403</v>
      </c>
      <c r="F667">
        <v>0.98303299349159201</v>
      </c>
      <c r="G667">
        <v>0.974982130092924</v>
      </c>
      <c r="H667" t="str">
        <f t="shared" si="10"/>
        <v>Q2</v>
      </c>
    </row>
    <row r="668" spans="1:8">
      <c r="A668">
        <v>572797</v>
      </c>
      <c r="B668" t="s">
        <v>1642</v>
      </c>
      <c r="C668">
        <v>786</v>
      </c>
      <c r="D668">
        <v>0.99994822259537397</v>
      </c>
      <c r="E668">
        <v>785.95930295996402</v>
      </c>
      <c r="F668">
        <v>0.99541025544561901</v>
      </c>
      <c r="G668">
        <v>0.97494450923592002</v>
      </c>
      <c r="H668" t="str">
        <f t="shared" si="10"/>
        <v>Q2</v>
      </c>
    </row>
    <row r="669" spans="1:8">
      <c r="A669">
        <v>743594</v>
      </c>
      <c r="B669" t="s">
        <v>4573</v>
      </c>
      <c r="C669">
        <v>174</v>
      </c>
      <c r="D669">
        <v>4.5160335729476699</v>
      </c>
      <c r="E669">
        <v>785.78984169289504</v>
      </c>
      <c r="F669">
        <v>0.95150671532297504</v>
      </c>
      <c r="G669">
        <v>0.97490688837891704</v>
      </c>
      <c r="H669" t="str">
        <f t="shared" si="10"/>
        <v>Q2</v>
      </c>
    </row>
    <row r="670" spans="1:8">
      <c r="A670">
        <v>735625</v>
      </c>
      <c r="B670" t="s">
        <v>2906</v>
      </c>
      <c r="C670">
        <v>144</v>
      </c>
      <c r="D670">
        <v>5.4502002312801796</v>
      </c>
      <c r="E670">
        <v>784.82883330434595</v>
      </c>
      <c r="F670">
        <v>0.94048380422106004</v>
      </c>
      <c r="G670">
        <v>0.97486926752191405</v>
      </c>
      <c r="H670" t="str">
        <f t="shared" si="10"/>
        <v>Q3</v>
      </c>
    </row>
    <row r="671" spans="1:8">
      <c r="A671">
        <v>697058</v>
      </c>
      <c r="B671" t="s">
        <v>1395</v>
      </c>
      <c r="C671">
        <v>297</v>
      </c>
      <c r="D671">
        <v>2.64172225920891</v>
      </c>
      <c r="E671">
        <v>784.59151098504697</v>
      </c>
      <c r="F671">
        <v>0.97562168466197696</v>
      </c>
      <c r="G671">
        <v>0.97483164666491096</v>
      </c>
      <c r="H671" t="str">
        <f t="shared" si="10"/>
        <v>Q2</v>
      </c>
    </row>
    <row r="672" spans="1:8">
      <c r="A672">
        <v>697564</v>
      </c>
      <c r="B672" t="s">
        <v>2514</v>
      </c>
      <c r="C672">
        <v>489</v>
      </c>
      <c r="D672">
        <v>1.6043325393805401</v>
      </c>
      <c r="E672">
        <v>784.51861175708495</v>
      </c>
      <c r="F672">
        <v>0.98822467175802298</v>
      </c>
      <c r="G672">
        <v>0.97479402580790797</v>
      </c>
      <c r="H672" t="str">
        <f t="shared" si="10"/>
        <v>Q2</v>
      </c>
    </row>
    <row r="673" spans="1:8">
      <c r="A673">
        <v>722439</v>
      </c>
      <c r="B673" t="s">
        <v>432</v>
      </c>
      <c r="C673">
        <v>277</v>
      </c>
      <c r="D673">
        <v>2.8291500402137002</v>
      </c>
      <c r="E673">
        <v>783.67456113919604</v>
      </c>
      <c r="F673">
        <v>0.97291298295775197</v>
      </c>
      <c r="G673">
        <v>0.97475640495090499</v>
      </c>
      <c r="H673" t="str">
        <f t="shared" si="10"/>
        <v>Q2</v>
      </c>
    </row>
    <row r="674" spans="1:8">
      <c r="A674">
        <v>699423</v>
      </c>
      <c r="B674" t="s">
        <v>4058</v>
      </c>
      <c r="C674">
        <v>314</v>
      </c>
      <c r="D674">
        <v>2.49407857813677</v>
      </c>
      <c r="E674">
        <v>783.14067353494499</v>
      </c>
      <c r="F674">
        <v>0.97738986494112301</v>
      </c>
      <c r="G674">
        <v>0.974718784093902</v>
      </c>
      <c r="H674" t="str">
        <f t="shared" si="10"/>
        <v>Q2</v>
      </c>
    </row>
    <row r="675" spans="1:8">
      <c r="A675">
        <v>781660</v>
      </c>
      <c r="B675" t="s">
        <v>2610</v>
      </c>
      <c r="C675">
        <v>97</v>
      </c>
      <c r="D675">
        <v>8.0701905408317298</v>
      </c>
      <c r="E675">
        <v>782.80848246067796</v>
      </c>
      <c r="F675">
        <v>0.909108009480456</v>
      </c>
      <c r="G675">
        <v>0.97468116323689902</v>
      </c>
      <c r="H675" t="str">
        <f t="shared" si="10"/>
        <v>Q3</v>
      </c>
    </row>
    <row r="676" spans="1:8">
      <c r="A676">
        <v>788319</v>
      </c>
      <c r="B676" t="s">
        <v>1691</v>
      </c>
      <c r="C676">
        <v>136</v>
      </c>
      <c r="D676">
        <v>5.7552593691712799</v>
      </c>
      <c r="E676">
        <v>782.71527420729399</v>
      </c>
      <c r="F676">
        <v>0.93630788909371399</v>
      </c>
      <c r="G676">
        <v>0.97464354237989503</v>
      </c>
      <c r="H676" t="str">
        <f t="shared" si="10"/>
        <v>Q3</v>
      </c>
    </row>
    <row r="677" spans="1:8">
      <c r="A677">
        <v>759847</v>
      </c>
      <c r="B677" t="s">
        <v>1552</v>
      </c>
      <c r="C677">
        <v>167</v>
      </c>
      <c r="D677">
        <v>4.6711560980065503</v>
      </c>
      <c r="E677">
        <v>780.08306836709403</v>
      </c>
      <c r="F677">
        <v>0.94898611790376597</v>
      </c>
      <c r="G677">
        <v>0.97460592152289205</v>
      </c>
      <c r="H677" t="str">
        <f t="shared" si="10"/>
        <v>Q4</v>
      </c>
    </row>
    <row r="678" spans="1:8">
      <c r="A678">
        <v>721390</v>
      </c>
      <c r="B678" t="s">
        <v>2390</v>
      </c>
      <c r="C678">
        <v>239</v>
      </c>
      <c r="D678">
        <v>3.2604211917980899</v>
      </c>
      <c r="E678">
        <v>779.24066483974502</v>
      </c>
      <c r="F678">
        <v>0.96700650840826197</v>
      </c>
      <c r="G678">
        <v>0.97456830066588895</v>
      </c>
      <c r="H678" t="str">
        <f t="shared" si="10"/>
        <v>Q2</v>
      </c>
    </row>
    <row r="679" spans="1:8">
      <c r="A679">
        <v>735428</v>
      </c>
      <c r="B679" t="s">
        <v>5008</v>
      </c>
      <c r="C679">
        <v>121</v>
      </c>
      <c r="D679">
        <v>6.4396693702202201</v>
      </c>
      <c r="E679">
        <v>779.19999379664705</v>
      </c>
      <c r="F679">
        <v>0.92788081712501402</v>
      </c>
      <c r="G679">
        <v>0.97453067980888597</v>
      </c>
      <c r="H679" t="str">
        <f t="shared" si="10"/>
        <v>Q3</v>
      </c>
    </row>
    <row r="680" spans="1:8">
      <c r="A680">
        <v>723388</v>
      </c>
      <c r="B680" t="s">
        <v>5073</v>
      </c>
      <c r="C680">
        <v>173</v>
      </c>
      <c r="D680">
        <v>4.49759968572614</v>
      </c>
      <c r="E680">
        <v>778.08474563062202</v>
      </c>
      <c r="F680">
        <v>0.95116812760994696</v>
      </c>
      <c r="G680">
        <v>0.97449305895188298</v>
      </c>
      <c r="H680" t="str">
        <f t="shared" si="10"/>
        <v>Q2</v>
      </c>
    </row>
    <row r="681" spans="1:8">
      <c r="A681">
        <v>640154</v>
      </c>
      <c r="B681" t="s">
        <v>3629</v>
      </c>
      <c r="C681">
        <v>225</v>
      </c>
      <c r="D681">
        <v>3.4575216612882098</v>
      </c>
      <c r="E681">
        <v>777.94237378984701</v>
      </c>
      <c r="F681">
        <v>0.96467401527406804</v>
      </c>
      <c r="G681">
        <v>0.97445543809488</v>
      </c>
      <c r="H681" t="str">
        <f t="shared" si="10"/>
        <v>Q2</v>
      </c>
    </row>
    <row r="682" spans="1:8">
      <c r="A682">
        <v>735583</v>
      </c>
      <c r="B682" t="s">
        <v>3797</v>
      </c>
      <c r="C682">
        <v>162</v>
      </c>
      <c r="D682">
        <v>4.7990375393886602</v>
      </c>
      <c r="E682">
        <v>777.44408138096298</v>
      </c>
      <c r="F682">
        <v>0.94714269591061295</v>
      </c>
      <c r="G682">
        <v>0.97441781723787702</v>
      </c>
      <c r="H682" t="str">
        <f t="shared" si="10"/>
        <v>Q4</v>
      </c>
    </row>
    <row r="683" spans="1:8">
      <c r="A683">
        <v>719463</v>
      </c>
      <c r="B683" t="s">
        <v>2150</v>
      </c>
      <c r="C683">
        <v>249</v>
      </c>
      <c r="D683">
        <v>3.1208834805372501</v>
      </c>
      <c r="E683">
        <v>777.09998665377498</v>
      </c>
      <c r="F683">
        <v>0.96873706783040503</v>
      </c>
      <c r="G683">
        <v>0.97438019638087403</v>
      </c>
      <c r="H683" t="str">
        <f t="shared" si="10"/>
        <v>Q2</v>
      </c>
    </row>
    <row r="684" spans="1:8">
      <c r="A684">
        <v>689365</v>
      </c>
      <c r="B684" t="s">
        <v>730</v>
      </c>
      <c r="C684">
        <v>344</v>
      </c>
      <c r="D684">
        <v>2.2585534118386601</v>
      </c>
      <c r="E684">
        <v>776.94237367250003</v>
      </c>
      <c r="F684">
        <v>0.98002332493134203</v>
      </c>
      <c r="G684">
        <v>0.97434257552387005</v>
      </c>
      <c r="H684" t="str">
        <f t="shared" si="10"/>
        <v>Q2</v>
      </c>
    </row>
    <row r="685" spans="1:8">
      <c r="A685">
        <v>713253</v>
      </c>
      <c r="B685" t="s">
        <v>1664</v>
      </c>
      <c r="C685">
        <v>339</v>
      </c>
      <c r="D685">
        <v>2.2903654779304801</v>
      </c>
      <c r="E685">
        <v>776.43389701843296</v>
      </c>
      <c r="F685">
        <v>0.97942139121929195</v>
      </c>
      <c r="G685">
        <v>0.97430495466686695</v>
      </c>
      <c r="H685" t="str">
        <f t="shared" si="10"/>
        <v>Q2</v>
      </c>
    </row>
    <row r="686" spans="1:8">
      <c r="A686">
        <v>708345</v>
      </c>
      <c r="B686" t="s">
        <v>1329</v>
      </c>
      <c r="C686">
        <v>595</v>
      </c>
      <c r="D686">
        <v>1.3042586082357801</v>
      </c>
      <c r="E686">
        <v>776.03387190029002</v>
      </c>
      <c r="F686">
        <v>0.99202437831533796</v>
      </c>
      <c r="G686">
        <v>0.97426733380986397</v>
      </c>
      <c r="H686" t="str">
        <f t="shared" si="10"/>
        <v>Q2</v>
      </c>
    </row>
    <row r="687" spans="1:8">
      <c r="A687">
        <v>758049</v>
      </c>
      <c r="B687" t="s">
        <v>2880</v>
      </c>
      <c r="C687">
        <v>269</v>
      </c>
      <c r="D687">
        <v>2.88281770436903</v>
      </c>
      <c r="E687">
        <v>775.47796247527003</v>
      </c>
      <c r="F687">
        <v>0.97152101124863599</v>
      </c>
      <c r="G687">
        <v>0.97422971295286098</v>
      </c>
      <c r="H687" t="str">
        <f t="shared" si="10"/>
        <v>Q2</v>
      </c>
    </row>
    <row r="688" spans="1:8">
      <c r="A688">
        <v>738230</v>
      </c>
      <c r="B688" t="s">
        <v>658</v>
      </c>
      <c r="C688">
        <v>140</v>
      </c>
      <c r="D688">
        <v>5.5381236238671203</v>
      </c>
      <c r="E688">
        <v>775.33730734139704</v>
      </c>
      <c r="F688">
        <v>0.93852751965689796</v>
      </c>
      <c r="G688">
        <v>0.974192092095858</v>
      </c>
      <c r="H688" t="str">
        <f t="shared" si="10"/>
        <v>Q3</v>
      </c>
    </row>
    <row r="689" spans="1:8">
      <c r="A689">
        <v>744862</v>
      </c>
      <c r="B689" t="s">
        <v>3404</v>
      </c>
      <c r="C689">
        <v>282</v>
      </c>
      <c r="D689">
        <v>2.7461473587305898</v>
      </c>
      <c r="E689">
        <v>774.41355516202702</v>
      </c>
      <c r="F689">
        <v>0.97359015838380802</v>
      </c>
      <c r="G689">
        <v>0.97415447123885501</v>
      </c>
      <c r="H689" t="str">
        <f t="shared" si="10"/>
        <v>Q2</v>
      </c>
    </row>
    <row r="690" spans="1:8">
      <c r="A690">
        <v>777435</v>
      </c>
      <c r="B690" t="s">
        <v>4303</v>
      </c>
      <c r="C690">
        <v>143</v>
      </c>
      <c r="D690">
        <v>5.4091265763748799</v>
      </c>
      <c r="E690">
        <v>773.50510042160704</v>
      </c>
      <c r="F690">
        <v>0.940032353937023</v>
      </c>
      <c r="G690">
        <v>0.97411685038185203</v>
      </c>
      <c r="H690" t="str">
        <f t="shared" si="10"/>
        <v>Q3</v>
      </c>
    </row>
    <row r="691" spans="1:8">
      <c r="A691">
        <v>746168</v>
      </c>
      <c r="B691" t="s">
        <v>1937</v>
      </c>
      <c r="C691">
        <v>101</v>
      </c>
      <c r="D691">
        <v>7.6516194066198704</v>
      </c>
      <c r="E691">
        <v>772.81356006860699</v>
      </c>
      <c r="F691">
        <v>0.91245626575373395</v>
      </c>
      <c r="G691">
        <v>0.97407922952484904</v>
      </c>
      <c r="H691" t="str">
        <f t="shared" si="10"/>
        <v>Q3</v>
      </c>
    </row>
    <row r="692" spans="1:8">
      <c r="A692">
        <v>678280</v>
      </c>
      <c r="B692" t="s">
        <v>2925</v>
      </c>
      <c r="C692">
        <v>240</v>
      </c>
      <c r="D692">
        <v>3.21976689000924</v>
      </c>
      <c r="E692">
        <v>772.74405360221897</v>
      </c>
      <c r="F692">
        <v>0.96723223355027999</v>
      </c>
      <c r="G692">
        <v>0.97404160866784595</v>
      </c>
      <c r="H692" t="str">
        <f t="shared" si="10"/>
        <v>Q2</v>
      </c>
    </row>
    <row r="693" spans="1:8">
      <c r="A693">
        <v>634426</v>
      </c>
      <c r="B693" t="s">
        <v>4227</v>
      </c>
      <c r="C693">
        <v>207</v>
      </c>
      <c r="D693">
        <v>3.73086056082649</v>
      </c>
      <c r="E693">
        <v>772.28813609108295</v>
      </c>
      <c r="F693">
        <v>0.96083668785974896</v>
      </c>
      <c r="G693">
        <v>0.97400398781084196</v>
      </c>
      <c r="H693" t="str">
        <f t="shared" si="10"/>
        <v>Q2</v>
      </c>
    </row>
    <row r="694" spans="1:8">
      <c r="A694">
        <v>743594</v>
      </c>
      <c r="B694" t="s">
        <v>4577</v>
      </c>
      <c r="C694">
        <v>163</v>
      </c>
      <c r="D694">
        <v>4.7358532419051098</v>
      </c>
      <c r="E694">
        <v>771.94407843053295</v>
      </c>
      <c r="F694">
        <v>0.94751890448064402</v>
      </c>
      <c r="G694">
        <v>0.97396636695383898</v>
      </c>
      <c r="H694" t="str">
        <f t="shared" si="10"/>
        <v>Q4</v>
      </c>
    </row>
    <row r="695" spans="1:8">
      <c r="A695">
        <v>798763</v>
      </c>
      <c r="B695" t="s">
        <v>3238</v>
      </c>
      <c r="C695">
        <v>484</v>
      </c>
      <c r="D695">
        <v>1.59483115219565</v>
      </c>
      <c r="E695">
        <v>771.898277662694</v>
      </c>
      <c r="F695">
        <v>0.98811180918701302</v>
      </c>
      <c r="G695">
        <v>0.973928746096836</v>
      </c>
      <c r="H695" t="str">
        <f t="shared" si="10"/>
        <v>Q2</v>
      </c>
    </row>
    <row r="696" spans="1:8">
      <c r="A696">
        <v>564786</v>
      </c>
      <c r="B696" t="s">
        <v>2480</v>
      </c>
      <c r="C696">
        <v>608</v>
      </c>
      <c r="D696">
        <v>1.2692824146238499</v>
      </c>
      <c r="E696">
        <v>771.72370809130405</v>
      </c>
      <c r="F696">
        <v>0.99243820774237201</v>
      </c>
      <c r="G696">
        <v>0.97389112523983301</v>
      </c>
      <c r="H696" t="str">
        <f t="shared" si="10"/>
        <v>Q2</v>
      </c>
    </row>
    <row r="697" spans="1:8">
      <c r="A697">
        <v>693497</v>
      </c>
      <c r="B697" t="s">
        <v>3049</v>
      </c>
      <c r="C697">
        <v>272</v>
      </c>
      <c r="D697">
        <v>2.8351757161812299</v>
      </c>
      <c r="E697">
        <v>771.16779480129503</v>
      </c>
      <c r="F697">
        <v>0.97212294496068596</v>
      </c>
      <c r="G697">
        <v>0.97385350438283003</v>
      </c>
      <c r="H697" t="str">
        <f t="shared" si="10"/>
        <v>Q2</v>
      </c>
    </row>
    <row r="698" spans="1:8">
      <c r="A698">
        <v>693764</v>
      </c>
      <c r="B698" t="s">
        <v>2623</v>
      </c>
      <c r="C698">
        <v>291</v>
      </c>
      <c r="D698">
        <v>2.6476498233967298</v>
      </c>
      <c r="E698">
        <v>770.46609860844899</v>
      </c>
      <c r="F698">
        <v>0.97475640495090499</v>
      </c>
      <c r="G698">
        <v>0.97381588352582704</v>
      </c>
      <c r="H698" t="str">
        <f t="shared" si="10"/>
        <v>Q2</v>
      </c>
    </row>
    <row r="699" spans="1:8">
      <c r="A699">
        <v>693322</v>
      </c>
      <c r="B699" t="s">
        <v>3585</v>
      </c>
      <c r="C699">
        <v>368</v>
      </c>
      <c r="D699">
        <v>2.0933446139046601</v>
      </c>
      <c r="E699">
        <v>770.35081791691505</v>
      </c>
      <c r="F699">
        <v>0.981716263496482</v>
      </c>
      <c r="G699">
        <v>0.97377826266882395</v>
      </c>
      <c r="H699" t="str">
        <f t="shared" si="10"/>
        <v>Q2</v>
      </c>
    </row>
    <row r="700" spans="1:8">
      <c r="A700">
        <v>687856</v>
      </c>
      <c r="B700" t="s">
        <v>2253</v>
      </c>
      <c r="C700">
        <v>121</v>
      </c>
      <c r="D700">
        <v>6.36650788143647</v>
      </c>
      <c r="E700">
        <v>770.34745365381195</v>
      </c>
      <c r="F700">
        <v>0.92788081712501402</v>
      </c>
      <c r="G700">
        <v>0.97374064181182096</v>
      </c>
      <c r="H700" t="str">
        <f t="shared" si="10"/>
        <v>Q3</v>
      </c>
    </row>
    <row r="701" spans="1:8">
      <c r="A701">
        <v>726003</v>
      </c>
      <c r="B701" t="s">
        <v>5057</v>
      </c>
      <c r="C701">
        <v>138</v>
      </c>
      <c r="D701">
        <v>5.5793663959248301</v>
      </c>
      <c r="E701">
        <v>769.95256263762701</v>
      </c>
      <c r="F701">
        <v>0.93747413566080995</v>
      </c>
      <c r="G701">
        <v>0.97370302095481698</v>
      </c>
      <c r="H701" t="str">
        <f t="shared" si="10"/>
        <v>Q3</v>
      </c>
    </row>
    <row r="702" spans="1:8">
      <c r="A702">
        <v>699755</v>
      </c>
      <c r="B702" t="s">
        <v>5232</v>
      </c>
      <c r="C702">
        <v>211</v>
      </c>
      <c r="D702">
        <v>3.6482609029400299</v>
      </c>
      <c r="E702">
        <v>769.78305052034602</v>
      </c>
      <c r="F702">
        <v>0.961814830141831</v>
      </c>
      <c r="G702">
        <v>0.97366540009781399</v>
      </c>
      <c r="H702" t="str">
        <f t="shared" si="10"/>
        <v>Q2</v>
      </c>
    </row>
    <row r="703" spans="1:8">
      <c r="A703">
        <v>829783</v>
      </c>
      <c r="B703" t="s">
        <v>264</v>
      </c>
      <c r="C703">
        <v>137</v>
      </c>
      <c r="D703">
        <v>5.6166647341999703</v>
      </c>
      <c r="E703">
        <v>769.48306858539604</v>
      </c>
      <c r="F703">
        <v>0.93687220194875998</v>
      </c>
      <c r="G703">
        <v>0.97362777924081101</v>
      </c>
      <c r="H703" t="str">
        <f t="shared" si="10"/>
        <v>Q3</v>
      </c>
    </row>
    <row r="704" spans="1:8">
      <c r="A704">
        <v>763673</v>
      </c>
      <c r="B704" t="s">
        <v>2132</v>
      </c>
      <c r="C704">
        <v>249</v>
      </c>
      <c r="D704">
        <v>3.0880947159715402</v>
      </c>
      <c r="E704">
        <v>768.93558427691505</v>
      </c>
      <c r="F704">
        <v>0.96873706783040503</v>
      </c>
      <c r="G704">
        <v>0.97359015838380802</v>
      </c>
      <c r="H704" t="str">
        <f t="shared" si="10"/>
        <v>Q2</v>
      </c>
    </row>
    <row r="705" spans="1:8">
      <c r="A705">
        <v>554477</v>
      </c>
      <c r="B705" t="s">
        <v>5078</v>
      </c>
      <c r="C705">
        <v>531</v>
      </c>
      <c r="D705">
        <v>1.44706177481375</v>
      </c>
      <c r="E705">
        <v>768.3898024261</v>
      </c>
      <c r="F705">
        <v>0.99014333546518196</v>
      </c>
      <c r="G705">
        <v>0.97355253752680504</v>
      </c>
      <c r="H705" t="str">
        <f t="shared" si="10"/>
        <v>Q2</v>
      </c>
    </row>
    <row r="706" spans="1:8">
      <c r="A706">
        <v>598859</v>
      </c>
      <c r="B706" t="s">
        <v>4509</v>
      </c>
      <c r="C706">
        <v>134</v>
      </c>
      <c r="D706">
        <v>5.7310904529112499</v>
      </c>
      <c r="E706">
        <v>767.966120690107</v>
      </c>
      <c r="F706">
        <v>0.93551785109664798</v>
      </c>
      <c r="G706">
        <v>0.97351491666980206</v>
      </c>
      <c r="H706" t="str">
        <f t="shared" si="10"/>
        <v>Q3</v>
      </c>
    </row>
    <row r="707" spans="1:8">
      <c r="A707">
        <v>725904</v>
      </c>
      <c r="B707" t="s">
        <v>2012</v>
      </c>
      <c r="C707">
        <v>125</v>
      </c>
      <c r="D707">
        <v>6.1424406297504897</v>
      </c>
      <c r="E707">
        <v>767.80507871881105</v>
      </c>
      <c r="F707">
        <v>0.93028855197321403</v>
      </c>
      <c r="G707">
        <v>0.97347729581279896</v>
      </c>
      <c r="H707" t="str">
        <f t="shared" ref="H707:H770" si="11">IF(C707&gt;$J$2,
   IF(D707&gt;$J$3,"Q1","Q2"),
   IF(D707&gt;$J$3,"Q3","Q4"))</f>
        <v>Q3</v>
      </c>
    </row>
    <row r="708" spans="1:8">
      <c r="A708">
        <v>684105</v>
      </c>
      <c r="B708" t="s">
        <v>2554</v>
      </c>
      <c r="C708">
        <v>114</v>
      </c>
      <c r="D708">
        <v>6.71100207490095</v>
      </c>
      <c r="E708">
        <v>765.05423653870798</v>
      </c>
      <c r="F708">
        <v>0.92306534742861401</v>
      </c>
      <c r="G708">
        <v>0.97343967495579597</v>
      </c>
      <c r="H708" t="str">
        <f t="shared" si="11"/>
        <v>Q3</v>
      </c>
    </row>
    <row r="709" spans="1:8">
      <c r="A709">
        <v>700737</v>
      </c>
      <c r="B709" t="s">
        <v>4233</v>
      </c>
      <c r="C709">
        <v>324</v>
      </c>
      <c r="D709">
        <v>2.3607344668427599</v>
      </c>
      <c r="E709">
        <v>764.877967257053</v>
      </c>
      <c r="F709">
        <v>0.97836800722320405</v>
      </c>
      <c r="G709">
        <v>0.97340205409879199</v>
      </c>
      <c r="H709" t="str">
        <f t="shared" si="11"/>
        <v>Q2</v>
      </c>
    </row>
    <row r="710" spans="1:8">
      <c r="A710">
        <v>757303</v>
      </c>
      <c r="B710" t="s">
        <v>2143</v>
      </c>
      <c r="C710">
        <v>264</v>
      </c>
      <c r="D710">
        <v>2.8928351242828998</v>
      </c>
      <c r="E710">
        <v>763.70847281068598</v>
      </c>
      <c r="F710">
        <v>0.97099431925059299</v>
      </c>
      <c r="G710">
        <v>0.97336443324178901</v>
      </c>
      <c r="H710" t="str">
        <f t="shared" si="11"/>
        <v>Q2</v>
      </c>
    </row>
    <row r="711" spans="1:8">
      <c r="A711">
        <v>598515</v>
      </c>
      <c r="B711" t="s">
        <v>1729</v>
      </c>
      <c r="C711">
        <v>502</v>
      </c>
      <c r="D711">
        <v>1.52026802518004</v>
      </c>
      <c r="E711">
        <v>763.174548640382</v>
      </c>
      <c r="F711">
        <v>0.98875136375606598</v>
      </c>
      <c r="G711">
        <v>0.97332681238478602</v>
      </c>
      <c r="H711" t="str">
        <f t="shared" si="11"/>
        <v>Q2</v>
      </c>
    </row>
    <row r="712" spans="1:8">
      <c r="A712">
        <v>708855</v>
      </c>
      <c r="B712" t="s">
        <v>3226</v>
      </c>
      <c r="C712">
        <v>165</v>
      </c>
      <c r="D712">
        <v>4.6251875410477297</v>
      </c>
      <c r="E712">
        <v>763.15594427287601</v>
      </c>
      <c r="F712">
        <v>0.948384184191716</v>
      </c>
      <c r="G712">
        <v>0.97328919152778304</v>
      </c>
      <c r="H712" t="str">
        <f t="shared" si="11"/>
        <v>Q4</v>
      </c>
    </row>
    <row r="713" spans="1:8">
      <c r="A713">
        <v>571706</v>
      </c>
      <c r="B713" t="s">
        <v>4888</v>
      </c>
      <c r="C713">
        <v>357</v>
      </c>
      <c r="D713">
        <v>2.1331338395810699</v>
      </c>
      <c r="E713">
        <v>761.52878073044099</v>
      </c>
      <c r="F713">
        <v>0.98107670892742904</v>
      </c>
      <c r="G713">
        <v>0.97325157067078005</v>
      </c>
      <c r="H713" t="str">
        <f t="shared" si="11"/>
        <v>Q2</v>
      </c>
    </row>
    <row r="714" spans="1:8">
      <c r="A714">
        <v>709187</v>
      </c>
      <c r="B714" t="s">
        <v>394</v>
      </c>
      <c r="C714">
        <v>161</v>
      </c>
      <c r="D714">
        <v>4.7228551244143402</v>
      </c>
      <c r="E714">
        <v>760.37967503070797</v>
      </c>
      <c r="F714">
        <v>0.94680410819758498</v>
      </c>
      <c r="G714">
        <v>0.97321394981377696</v>
      </c>
      <c r="H714" t="str">
        <f t="shared" si="11"/>
        <v>Q4</v>
      </c>
    </row>
    <row r="715" spans="1:8">
      <c r="A715">
        <v>744394</v>
      </c>
      <c r="B715" t="s">
        <v>562</v>
      </c>
      <c r="C715">
        <v>362</v>
      </c>
      <c r="D715">
        <v>2.0999578627865798</v>
      </c>
      <c r="E715">
        <v>760.18474632874097</v>
      </c>
      <c r="F715">
        <v>0.98134005492645104</v>
      </c>
      <c r="G715">
        <v>0.97317632895677397</v>
      </c>
      <c r="H715" t="str">
        <f t="shared" si="11"/>
        <v>Q2</v>
      </c>
    </row>
    <row r="716" spans="1:8">
      <c r="A716">
        <v>746487</v>
      </c>
      <c r="B716" t="s">
        <v>274</v>
      </c>
      <c r="C716">
        <v>104</v>
      </c>
      <c r="D716">
        <v>7.3058993770526</v>
      </c>
      <c r="E716">
        <v>759.81353521347</v>
      </c>
      <c r="F716">
        <v>0.91524020917196502</v>
      </c>
      <c r="G716">
        <v>0.97313870809977099</v>
      </c>
      <c r="H716" t="str">
        <f t="shared" si="11"/>
        <v>Q3</v>
      </c>
    </row>
    <row r="717" spans="1:8">
      <c r="A717">
        <v>734316</v>
      </c>
      <c r="B717" t="s">
        <v>3741</v>
      </c>
      <c r="C717">
        <v>157</v>
      </c>
      <c r="D717">
        <v>4.8320199380729596</v>
      </c>
      <c r="E717">
        <v>758.62713027745497</v>
      </c>
      <c r="F717">
        <v>0.94518641134644998</v>
      </c>
      <c r="G717">
        <v>0.973101087242767</v>
      </c>
      <c r="H717" t="str">
        <f t="shared" si="11"/>
        <v>Q4</v>
      </c>
    </row>
    <row r="718" spans="1:8">
      <c r="A718">
        <v>316441</v>
      </c>
      <c r="B718" t="s">
        <v>2678</v>
      </c>
      <c r="C718">
        <v>496</v>
      </c>
      <c r="D718">
        <v>1.5251161233473201</v>
      </c>
      <c r="E718">
        <v>756.45759718027</v>
      </c>
      <c r="F718">
        <v>0.98852563861404796</v>
      </c>
      <c r="G718">
        <v>0.97306346638576402</v>
      </c>
      <c r="H718" t="str">
        <f t="shared" si="11"/>
        <v>Q2</v>
      </c>
    </row>
    <row r="719" spans="1:8">
      <c r="A719">
        <v>664405</v>
      </c>
      <c r="B719" t="s">
        <v>5103</v>
      </c>
      <c r="C719">
        <v>587</v>
      </c>
      <c r="D719">
        <v>1.2877371167729199</v>
      </c>
      <c r="E719">
        <v>755.90168754570198</v>
      </c>
      <c r="F719">
        <v>0.99176103231631596</v>
      </c>
      <c r="G719">
        <v>0.97302584552876104</v>
      </c>
      <c r="H719" t="str">
        <f t="shared" si="11"/>
        <v>Q2</v>
      </c>
    </row>
    <row r="720" spans="1:8">
      <c r="A720">
        <v>724402</v>
      </c>
      <c r="B720" t="s">
        <v>4576</v>
      </c>
      <c r="C720">
        <v>156</v>
      </c>
      <c r="D720">
        <v>4.8448175538140203</v>
      </c>
      <c r="E720">
        <v>755.79153839498804</v>
      </c>
      <c r="F720">
        <v>0.94503592791843805</v>
      </c>
      <c r="G720">
        <v>0.97298822467175805</v>
      </c>
      <c r="H720" t="str">
        <f t="shared" si="11"/>
        <v>Q4</v>
      </c>
    </row>
    <row r="721" spans="1:8">
      <c r="A721">
        <v>682509</v>
      </c>
      <c r="B721" t="s">
        <v>5186</v>
      </c>
      <c r="C721">
        <v>167</v>
      </c>
      <c r="D721">
        <v>4.52426679231628</v>
      </c>
      <c r="E721">
        <v>755.55255431681906</v>
      </c>
      <c r="F721">
        <v>0.94898611790376597</v>
      </c>
      <c r="G721">
        <v>0.97295060381475496</v>
      </c>
      <c r="H721" t="str">
        <f t="shared" si="11"/>
        <v>Q4</v>
      </c>
    </row>
    <row r="722" spans="1:8">
      <c r="A722">
        <v>617534</v>
      </c>
      <c r="B722" t="s">
        <v>1637</v>
      </c>
      <c r="C722">
        <v>314</v>
      </c>
      <c r="D722">
        <v>2.4036327317641799</v>
      </c>
      <c r="E722">
        <v>754.74067777395203</v>
      </c>
      <c r="F722">
        <v>0.97738986494112301</v>
      </c>
      <c r="G722">
        <v>0.97291298295775197</v>
      </c>
      <c r="H722" t="str">
        <f t="shared" si="11"/>
        <v>Q2</v>
      </c>
    </row>
    <row r="723" spans="1:8">
      <c r="A723">
        <v>733027</v>
      </c>
      <c r="B723" t="s">
        <v>4946</v>
      </c>
      <c r="C723">
        <v>807</v>
      </c>
      <c r="D723">
        <v>0.93497363795656696</v>
      </c>
      <c r="E723">
        <v>754.52372583094996</v>
      </c>
      <c r="F723">
        <v>0.99578646401564996</v>
      </c>
      <c r="G723">
        <v>0.97287536210074899</v>
      </c>
      <c r="H723" t="str">
        <f t="shared" si="11"/>
        <v>Q2</v>
      </c>
    </row>
    <row r="724" spans="1:8">
      <c r="A724">
        <v>470789</v>
      </c>
      <c r="B724" t="s">
        <v>3563</v>
      </c>
      <c r="C724">
        <v>466</v>
      </c>
      <c r="D724">
        <v>1.61685088855242</v>
      </c>
      <c r="E724">
        <v>753.45251406543002</v>
      </c>
      <c r="F724">
        <v>0.987359392046951</v>
      </c>
      <c r="G724">
        <v>0.972837741243746</v>
      </c>
      <c r="H724" t="str">
        <f t="shared" si="11"/>
        <v>Q2</v>
      </c>
    </row>
    <row r="725" spans="1:8">
      <c r="A725">
        <v>633977</v>
      </c>
      <c r="B725" t="s">
        <v>5220</v>
      </c>
      <c r="C725">
        <v>251</v>
      </c>
      <c r="D725">
        <v>2.9987844811062301</v>
      </c>
      <c r="E725">
        <v>752.69490475766395</v>
      </c>
      <c r="F725">
        <v>0.96918851811444295</v>
      </c>
      <c r="G725">
        <v>0.97280012038674202</v>
      </c>
      <c r="H725" t="str">
        <f t="shared" si="11"/>
        <v>Q2</v>
      </c>
    </row>
    <row r="726" spans="1:8">
      <c r="A726">
        <v>758040</v>
      </c>
      <c r="B726" t="s">
        <v>2874</v>
      </c>
      <c r="C726">
        <v>194</v>
      </c>
      <c r="D726">
        <v>3.8758867905119998</v>
      </c>
      <c r="E726">
        <v>751.92203735932696</v>
      </c>
      <c r="F726">
        <v>0.95741318987246504</v>
      </c>
      <c r="G726">
        <v>0.97276249952973903</v>
      </c>
      <c r="H726" t="str">
        <f t="shared" si="11"/>
        <v>Q2</v>
      </c>
    </row>
    <row r="727" spans="1:8">
      <c r="A727">
        <v>708352</v>
      </c>
      <c r="B727" t="s">
        <v>1188</v>
      </c>
      <c r="C727">
        <v>465</v>
      </c>
      <c r="D727">
        <v>1.61694178858431</v>
      </c>
      <c r="E727">
        <v>751.87793169170595</v>
      </c>
      <c r="F727">
        <v>0.98732177118994802</v>
      </c>
      <c r="G727">
        <v>0.97272487867273605</v>
      </c>
      <c r="H727" t="str">
        <f t="shared" si="11"/>
        <v>Q2</v>
      </c>
    </row>
    <row r="728" spans="1:8">
      <c r="A728">
        <v>685816</v>
      </c>
      <c r="B728" t="s">
        <v>4124</v>
      </c>
      <c r="C728">
        <v>936</v>
      </c>
      <c r="D728">
        <v>0.80308561334207396</v>
      </c>
      <c r="E728">
        <v>751.68813408818096</v>
      </c>
      <c r="F728">
        <v>0.99687746886874096</v>
      </c>
      <c r="G728">
        <v>0.97268725781573295</v>
      </c>
      <c r="H728" t="str">
        <f t="shared" si="11"/>
        <v>Q2</v>
      </c>
    </row>
    <row r="729" spans="1:8">
      <c r="A729">
        <v>830770</v>
      </c>
      <c r="B729" t="s">
        <v>3218</v>
      </c>
      <c r="C729">
        <v>235</v>
      </c>
      <c r="D729">
        <v>3.19075365095062</v>
      </c>
      <c r="E729">
        <v>749.82710797339701</v>
      </c>
      <c r="F729">
        <v>0.96655505812422404</v>
      </c>
      <c r="G729">
        <v>0.97264963695872997</v>
      </c>
      <c r="H729" t="str">
        <f t="shared" si="11"/>
        <v>Q2</v>
      </c>
    </row>
    <row r="730" spans="1:8">
      <c r="A730">
        <v>757904</v>
      </c>
      <c r="B730" t="s">
        <v>3131</v>
      </c>
      <c r="C730">
        <v>339</v>
      </c>
      <c r="D730">
        <v>2.2071546458729898</v>
      </c>
      <c r="E730">
        <v>748.22542495094206</v>
      </c>
      <c r="F730">
        <v>0.97942139121929195</v>
      </c>
      <c r="G730">
        <v>0.97261201610172698</v>
      </c>
      <c r="H730" t="str">
        <f t="shared" si="11"/>
        <v>Q2</v>
      </c>
    </row>
    <row r="731" spans="1:8">
      <c r="A731">
        <v>698293</v>
      </c>
      <c r="B731" t="s">
        <v>2437</v>
      </c>
      <c r="C731">
        <v>264</v>
      </c>
      <c r="D731">
        <v>2.83020029874575</v>
      </c>
      <c r="E731">
        <v>747.172878868878</v>
      </c>
      <c r="F731">
        <v>0.97099431925059299</v>
      </c>
      <c r="G731">
        <v>0.972574395244724</v>
      </c>
      <c r="H731" t="str">
        <f t="shared" si="11"/>
        <v>Q2</v>
      </c>
    </row>
    <row r="732" spans="1:8">
      <c r="A732">
        <v>769814</v>
      </c>
      <c r="B732" t="s">
        <v>3544</v>
      </c>
      <c r="C732">
        <v>261</v>
      </c>
      <c r="D732">
        <v>2.8602506173239401</v>
      </c>
      <c r="E732">
        <v>746.52541112154699</v>
      </c>
      <c r="F732">
        <v>0.97054286896655495</v>
      </c>
      <c r="G732">
        <v>0.97253677438772101</v>
      </c>
      <c r="H732" t="str">
        <f t="shared" si="11"/>
        <v>Q2</v>
      </c>
    </row>
    <row r="733" spans="1:8">
      <c r="A733">
        <v>721762</v>
      </c>
      <c r="B733" t="s">
        <v>4319</v>
      </c>
      <c r="C733">
        <v>107</v>
      </c>
      <c r="D733">
        <v>6.9713132116491003</v>
      </c>
      <c r="E733">
        <v>745.93051364645396</v>
      </c>
      <c r="F733">
        <v>0.91791129001918703</v>
      </c>
      <c r="G733">
        <v>0.97249915353071703</v>
      </c>
      <c r="H733" t="str">
        <f t="shared" si="11"/>
        <v>Q3</v>
      </c>
    </row>
    <row r="734" spans="1:8">
      <c r="A734">
        <v>809411</v>
      </c>
      <c r="B734" t="s">
        <v>1389</v>
      </c>
      <c r="C734">
        <v>156</v>
      </c>
      <c r="D734">
        <v>4.7791395957271297</v>
      </c>
      <c r="E734">
        <v>745.54577693343197</v>
      </c>
      <c r="F734">
        <v>0.94503592791843805</v>
      </c>
      <c r="G734">
        <v>0.97246153267371405</v>
      </c>
      <c r="H734" t="str">
        <f t="shared" si="11"/>
        <v>Q4</v>
      </c>
    </row>
    <row r="735" spans="1:8">
      <c r="A735">
        <v>678965</v>
      </c>
      <c r="B735" t="s">
        <v>3336</v>
      </c>
      <c r="C735">
        <v>115</v>
      </c>
      <c r="D735">
        <v>6.4767427661496697</v>
      </c>
      <c r="E735">
        <v>744.82541810721204</v>
      </c>
      <c r="F735">
        <v>0.92370490199766797</v>
      </c>
      <c r="G735">
        <v>0.97242391181671095</v>
      </c>
      <c r="H735" t="str">
        <f t="shared" si="11"/>
        <v>Q3</v>
      </c>
    </row>
    <row r="736" spans="1:8">
      <c r="A736">
        <v>840873</v>
      </c>
      <c r="B736" t="s">
        <v>2231</v>
      </c>
      <c r="C736">
        <v>117</v>
      </c>
      <c r="D736">
        <v>6.3599159240595302</v>
      </c>
      <c r="E736">
        <v>744.11016311496496</v>
      </c>
      <c r="F736">
        <v>0.925247357134796</v>
      </c>
      <c r="G736">
        <v>0.97238629095970797</v>
      </c>
      <c r="H736" t="str">
        <f t="shared" si="11"/>
        <v>Q3</v>
      </c>
    </row>
    <row r="737" spans="1:8">
      <c r="A737">
        <v>755738</v>
      </c>
      <c r="B737" t="s">
        <v>2703</v>
      </c>
      <c r="C737">
        <v>155</v>
      </c>
      <c r="D737">
        <v>4.7895244046324699</v>
      </c>
      <c r="E737">
        <v>742.37628271803305</v>
      </c>
      <c r="F737">
        <v>0.94454685677739703</v>
      </c>
      <c r="G737">
        <v>0.97234867010270498</v>
      </c>
      <c r="H737" t="str">
        <f t="shared" si="11"/>
        <v>Q4</v>
      </c>
    </row>
    <row r="738" spans="1:8">
      <c r="A738">
        <v>793949</v>
      </c>
      <c r="B738" t="s">
        <v>4339</v>
      </c>
      <c r="C738">
        <v>173</v>
      </c>
      <c r="D738">
        <v>4.2892917183179398</v>
      </c>
      <c r="E738">
        <v>742.04746726900305</v>
      </c>
      <c r="F738">
        <v>0.95116812760994696</v>
      </c>
      <c r="G738">
        <v>0.972311049245702</v>
      </c>
      <c r="H738" t="str">
        <f t="shared" si="11"/>
        <v>Q2</v>
      </c>
    </row>
    <row r="739" spans="1:8">
      <c r="A739">
        <v>554477</v>
      </c>
      <c r="B739" t="s">
        <v>5079</v>
      </c>
      <c r="C739">
        <v>480</v>
      </c>
      <c r="D739">
        <v>1.5422810079568701</v>
      </c>
      <c r="E739">
        <v>740.29488381929696</v>
      </c>
      <c r="F739">
        <v>0.98777322147398505</v>
      </c>
      <c r="G739">
        <v>0.97227342838869901</v>
      </c>
      <c r="H739" t="str">
        <f t="shared" si="11"/>
        <v>Q2</v>
      </c>
    </row>
    <row r="740" spans="1:8">
      <c r="A740">
        <v>807329</v>
      </c>
      <c r="B740" t="s">
        <v>4314</v>
      </c>
      <c r="C740">
        <v>116</v>
      </c>
      <c r="D740">
        <v>6.37954406857747</v>
      </c>
      <c r="E740">
        <v>740.02711195498705</v>
      </c>
      <c r="F740">
        <v>0.924720665136752</v>
      </c>
      <c r="G740">
        <v>0.97223580753169603</v>
      </c>
      <c r="H740" t="str">
        <f t="shared" si="11"/>
        <v>Q3</v>
      </c>
    </row>
    <row r="741" spans="1:8">
      <c r="A741">
        <v>741478</v>
      </c>
      <c r="B741" t="s">
        <v>1332</v>
      </c>
      <c r="C741">
        <v>277</v>
      </c>
      <c r="D741">
        <v>2.6714005931162901</v>
      </c>
      <c r="E741">
        <v>739.97796429321204</v>
      </c>
      <c r="F741">
        <v>0.97291298295775197</v>
      </c>
      <c r="G741">
        <v>0.97219818667469204</v>
      </c>
      <c r="H741" t="str">
        <f t="shared" si="11"/>
        <v>Q2</v>
      </c>
    </row>
    <row r="742" spans="1:8">
      <c r="A742">
        <v>723353</v>
      </c>
      <c r="B742" t="s">
        <v>647</v>
      </c>
      <c r="C742">
        <v>480</v>
      </c>
      <c r="D742">
        <v>1.5402753592934499</v>
      </c>
      <c r="E742">
        <v>739.33217246085405</v>
      </c>
      <c r="F742">
        <v>0.98777322147398505</v>
      </c>
      <c r="G742">
        <v>0.97216056581768895</v>
      </c>
      <c r="H742" t="str">
        <f t="shared" si="11"/>
        <v>Q2</v>
      </c>
    </row>
    <row r="743" spans="1:8">
      <c r="A743">
        <v>747216</v>
      </c>
      <c r="B743" t="s">
        <v>1854</v>
      </c>
      <c r="C743">
        <v>364</v>
      </c>
      <c r="D743">
        <v>2.0276308411496902</v>
      </c>
      <c r="E743">
        <v>738.05762617848802</v>
      </c>
      <c r="F743">
        <v>0.98149053835446398</v>
      </c>
      <c r="G743">
        <v>0.97212294496068596</v>
      </c>
      <c r="H743" t="str">
        <f t="shared" si="11"/>
        <v>Q2</v>
      </c>
    </row>
    <row r="744" spans="1:8">
      <c r="A744">
        <v>663564</v>
      </c>
      <c r="B744" t="s">
        <v>4815</v>
      </c>
      <c r="C744">
        <v>115</v>
      </c>
      <c r="D744">
        <v>6.41417828267035</v>
      </c>
      <c r="E744">
        <v>737.63050250709102</v>
      </c>
      <c r="F744">
        <v>0.92370490199766797</v>
      </c>
      <c r="G744">
        <v>0.97208532410368298</v>
      </c>
      <c r="H744" t="str">
        <f t="shared" si="11"/>
        <v>Q3</v>
      </c>
    </row>
    <row r="745" spans="1:8">
      <c r="A745">
        <v>701016</v>
      </c>
      <c r="B745" t="s">
        <v>3934</v>
      </c>
      <c r="C745">
        <v>903</v>
      </c>
      <c r="D745">
        <v>0.81612703370823503</v>
      </c>
      <c r="E745">
        <v>736.96271143853699</v>
      </c>
      <c r="F745">
        <v>0.99650126029871</v>
      </c>
      <c r="G745">
        <v>0.97204770324667999</v>
      </c>
      <c r="H745" t="str">
        <f t="shared" si="11"/>
        <v>Q2</v>
      </c>
    </row>
    <row r="746" spans="1:8">
      <c r="A746">
        <v>699081</v>
      </c>
      <c r="B746" t="s">
        <v>2664</v>
      </c>
      <c r="C746">
        <v>300</v>
      </c>
      <c r="D746">
        <v>2.4563559380670399</v>
      </c>
      <c r="E746">
        <v>736.906781420112</v>
      </c>
      <c r="F746">
        <v>0.97611075580301698</v>
      </c>
      <c r="G746">
        <v>0.97201008238967701</v>
      </c>
      <c r="H746" t="str">
        <f t="shared" si="11"/>
        <v>Q2</v>
      </c>
    </row>
    <row r="747" spans="1:8">
      <c r="A747">
        <v>728444</v>
      </c>
      <c r="B747" t="s">
        <v>1360</v>
      </c>
      <c r="C747">
        <v>502</v>
      </c>
      <c r="D747">
        <v>1.4673880188595101</v>
      </c>
      <c r="E747">
        <v>736.62878546747402</v>
      </c>
      <c r="F747">
        <v>0.98875136375606598</v>
      </c>
      <c r="G747">
        <v>0.97197246153267403</v>
      </c>
      <c r="H747" t="str">
        <f t="shared" si="11"/>
        <v>Q2</v>
      </c>
    </row>
    <row r="748" spans="1:8">
      <c r="A748">
        <v>508318</v>
      </c>
      <c r="B748" t="s">
        <v>2773</v>
      </c>
      <c r="C748">
        <v>257</v>
      </c>
      <c r="D748">
        <v>2.86183471860299</v>
      </c>
      <c r="E748">
        <v>735.49152268096805</v>
      </c>
      <c r="F748">
        <v>0.97016666039652399</v>
      </c>
      <c r="G748">
        <v>0.97193484067567104</v>
      </c>
      <c r="H748" t="str">
        <f t="shared" si="11"/>
        <v>Q2</v>
      </c>
    </row>
    <row r="749" spans="1:8">
      <c r="A749">
        <v>534357</v>
      </c>
      <c r="B749" t="s">
        <v>690</v>
      </c>
      <c r="C749">
        <v>187</v>
      </c>
      <c r="D749">
        <v>3.9300280852233298</v>
      </c>
      <c r="E749">
        <v>734.91525193676398</v>
      </c>
      <c r="F749">
        <v>0.95553214702230904</v>
      </c>
      <c r="G749">
        <v>0.97189721981866795</v>
      </c>
      <c r="H749" t="str">
        <f t="shared" si="11"/>
        <v>Q2</v>
      </c>
    </row>
    <row r="750" spans="1:8">
      <c r="A750">
        <v>752477</v>
      </c>
      <c r="B750" t="s">
        <v>3879</v>
      </c>
      <c r="C750">
        <v>276</v>
      </c>
      <c r="D750">
        <v>2.6582412119698402</v>
      </c>
      <c r="E750">
        <v>733.67457450367499</v>
      </c>
      <c r="F750">
        <v>0.97272487867273605</v>
      </c>
      <c r="G750">
        <v>0.97185959896166396</v>
      </c>
      <c r="H750" t="str">
        <f t="shared" si="11"/>
        <v>Q2</v>
      </c>
    </row>
    <row r="751" spans="1:8">
      <c r="A751">
        <v>718582</v>
      </c>
      <c r="B751" t="s">
        <v>4982</v>
      </c>
      <c r="C751">
        <v>118</v>
      </c>
      <c r="D751">
        <v>6.2022981391746104</v>
      </c>
      <c r="E751">
        <v>731.87118042260397</v>
      </c>
      <c r="F751">
        <v>0.92592453256085205</v>
      </c>
      <c r="G751">
        <v>0.97182197810466098</v>
      </c>
      <c r="H751" t="str">
        <f t="shared" si="11"/>
        <v>Q3</v>
      </c>
    </row>
    <row r="752" spans="1:8">
      <c r="A752">
        <v>607642</v>
      </c>
      <c r="B752" t="s">
        <v>4845</v>
      </c>
      <c r="C752">
        <v>251</v>
      </c>
      <c r="D752">
        <v>2.9130528202332302</v>
      </c>
      <c r="E752">
        <v>731.17625787854195</v>
      </c>
      <c r="F752">
        <v>0.96918851811444295</v>
      </c>
      <c r="G752">
        <v>0.97178435724765799</v>
      </c>
      <c r="H752" t="str">
        <f t="shared" si="11"/>
        <v>Q2</v>
      </c>
    </row>
    <row r="753" spans="1:8">
      <c r="A753">
        <v>722165</v>
      </c>
      <c r="B753" t="s">
        <v>4866</v>
      </c>
      <c r="C753">
        <v>139</v>
      </c>
      <c r="D753">
        <v>5.2487990450408804</v>
      </c>
      <c r="E753">
        <v>729.58306726068304</v>
      </c>
      <c r="F753">
        <v>0.93796320680185097</v>
      </c>
      <c r="G753">
        <v>0.97174673639065501</v>
      </c>
      <c r="H753" t="str">
        <f t="shared" si="11"/>
        <v>Q3</v>
      </c>
    </row>
    <row r="754" spans="1:8">
      <c r="A754">
        <v>603583</v>
      </c>
      <c r="B754" t="s">
        <v>4831</v>
      </c>
      <c r="C754">
        <v>379</v>
      </c>
      <c r="D754">
        <v>1.92431016102689</v>
      </c>
      <c r="E754">
        <v>729.31355102918997</v>
      </c>
      <c r="F754">
        <v>0.98246868063654502</v>
      </c>
      <c r="G754">
        <v>0.97170911553365202</v>
      </c>
      <c r="H754" t="str">
        <f t="shared" si="11"/>
        <v>Q2</v>
      </c>
    </row>
    <row r="755" spans="1:8">
      <c r="A755">
        <v>729928</v>
      </c>
      <c r="B755" t="s">
        <v>2350</v>
      </c>
      <c r="C755">
        <v>299</v>
      </c>
      <c r="D755">
        <v>2.43209569269548</v>
      </c>
      <c r="E755">
        <v>727.19661211594905</v>
      </c>
      <c r="F755">
        <v>0.97599789323200803</v>
      </c>
      <c r="G755">
        <v>0.97167149467664904</v>
      </c>
      <c r="H755" t="str">
        <f t="shared" si="11"/>
        <v>Q2</v>
      </c>
    </row>
    <row r="756" spans="1:8">
      <c r="A756">
        <v>714931</v>
      </c>
      <c r="B756" t="s">
        <v>3233</v>
      </c>
      <c r="C756">
        <v>133</v>
      </c>
      <c r="D756">
        <v>5.4639226651953603</v>
      </c>
      <c r="E756">
        <v>726.70171447098301</v>
      </c>
      <c r="F756">
        <v>0.93476543395658596</v>
      </c>
      <c r="G756">
        <v>0.97163387381964605</v>
      </c>
      <c r="H756" t="str">
        <f t="shared" si="11"/>
        <v>Q3</v>
      </c>
    </row>
    <row r="757" spans="1:8">
      <c r="A757">
        <v>585480</v>
      </c>
      <c r="B757" t="s">
        <v>185</v>
      </c>
      <c r="C757">
        <v>253</v>
      </c>
      <c r="D757">
        <v>2.86786359617038</v>
      </c>
      <c r="E757">
        <v>725.56948983110499</v>
      </c>
      <c r="F757">
        <v>0.96945186411346496</v>
      </c>
      <c r="G757">
        <v>0.97159625296264296</v>
      </c>
      <c r="H757" t="str">
        <f t="shared" si="11"/>
        <v>Q2</v>
      </c>
    </row>
    <row r="758" spans="1:8">
      <c r="A758">
        <v>755754</v>
      </c>
      <c r="B758" t="s">
        <v>2608</v>
      </c>
      <c r="C758">
        <v>164</v>
      </c>
      <c r="D758">
        <v>4.4115854222781801</v>
      </c>
      <c r="E758">
        <v>723.50000925362099</v>
      </c>
      <c r="F758">
        <v>0.94823370076370295</v>
      </c>
      <c r="G758">
        <v>0.97155863210563898</v>
      </c>
      <c r="H758" t="str">
        <f t="shared" si="11"/>
        <v>Q4</v>
      </c>
    </row>
    <row r="759" spans="1:8">
      <c r="A759">
        <v>220094</v>
      </c>
      <c r="B759" t="s">
        <v>194</v>
      </c>
      <c r="C759">
        <v>339</v>
      </c>
      <c r="D759">
        <v>2.1337233045602702</v>
      </c>
      <c r="E759">
        <v>723.33220024593197</v>
      </c>
      <c r="F759">
        <v>0.97942139121929195</v>
      </c>
      <c r="G759">
        <v>0.97152101124863599</v>
      </c>
      <c r="H759" t="str">
        <f t="shared" si="11"/>
        <v>Q2</v>
      </c>
    </row>
    <row r="760" spans="1:8">
      <c r="A760">
        <v>738133</v>
      </c>
      <c r="B760" t="s">
        <v>382</v>
      </c>
      <c r="C760">
        <v>494</v>
      </c>
      <c r="D760">
        <v>1.4625574195350299</v>
      </c>
      <c r="E760">
        <v>722.503365250304</v>
      </c>
      <c r="F760">
        <v>0.98837515518603503</v>
      </c>
      <c r="G760">
        <v>0.97148339039163301</v>
      </c>
      <c r="H760" t="str">
        <f t="shared" si="11"/>
        <v>Q2</v>
      </c>
    </row>
    <row r="761" spans="1:8">
      <c r="A761">
        <v>603145</v>
      </c>
      <c r="B761" t="s">
        <v>292</v>
      </c>
      <c r="C761">
        <v>449</v>
      </c>
      <c r="D761">
        <v>1.6083386166120801</v>
      </c>
      <c r="E761">
        <v>722.14403885882302</v>
      </c>
      <c r="F761">
        <v>0.98660697490688798</v>
      </c>
      <c r="G761">
        <v>0.97144576953463002</v>
      </c>
      <c r="H761" t="str">
        <f t="shared" si="11"/>
        <v>Q2</v>
      </c>
    </row>
    <row r="762" spans="1:8">
      <c r="A762">
        <v>560270</v>
      </c>
      <c r="B762" t="s">
        <v>3471</v>
      </c>
      <c r="C762">
        <v>168</v>
      </c>
      <c r="D762">
        <v>4.2891041830270797</v>
      </c>
      <c r="E762">
        <v>720.56950274854898</v>
      </c>
      <c r="F762">
        <v>0.94936232647379704</v>
      </c>
      <c r="G762">
        <v>0.97140814867762704</v>
      </c>
      <c r="H762" t="str">
        <f t="shared" si="11"/>
        <v>Q4</v>
      </c>
    </row>
    <row r="763" spans="1:8">
      <c r="A763">
        <v>630116</v>
      </c>
      <c r="B763" t="s">
        <v>4748</v>
      </c>
      <c r="C763">
        <v>280</v>
      </c>
      <c r="D763">
        <v>2.5715858921674699</v>
      </c>
      <c r="E763">
        <v>720.04404980689299</v>
      </c>
      <c r="F763">
        <v>0.97328919152778304</v>
      </c>
      <c r="G763">
        <v>0.97137052782062405</v>
      </c>
      <c r="H763" t="str">
        <f t="shared" si="11"/>
        <v>Q2</v>
      </c>
    </row>
    <row r="764" spans="1:8">
      <c r="A764">
        <v>714620</v>
      </c>
      <c r="B764" t="s">
        <v>4780</v>
      </c>
      <c r="C764">
        <v>233</v>
      </c>
      <c r="D764">
        <v>3.0900486876844302</v>
      </c>
      <c r="E764">
        <v>719.98134423047304</v>
      </c>
      <c r="F764">
        <v>0.96614122869718999</v>
      </c>
      <c r="G764">
        <v>0.97133290696362096</v>
      </c>
      <c r="H764" t="str">
        <f t="shared" si="11"/>
        <v>Q2</v>
      </c>
    </row>
    <row r="765" spans="1:8">
      <c r="A765">
        <v>724904</v>
      </c>
      <c r="B765" t="s">
        <v>1916</v>
      </c>
      <c r="C765">
        <v>112</v>
      </c>
      <c r="D765">
        <v>6.4249848048867904</v>
      </c>
      <c r="E765">
        <v>719.59829814732097</v>
      </c>
      <c r="F765">
        <v>0.92156051314848997</v>
      </c>
      <c r="G765">
        <v>0.97129528610661797</v>
      </c>
      <c r="H765" t="str">
        <f t="shared" si="11"/>
        <v>Q3</v>
      </c>
    </row>
    <row r="766" spans="1:8">
      <c r="A766">
        <v>740716</v>
      </c>
      <c r="B766" t="s">
        <v>2344</v>
      </c>
      <c r="C766">
        <v>151</v>
      </c>
      <c r="D766">
        <v>4.7615333639134603</v>
      </c>
      <c r="E766">
        <v>718.99153795093298</v>
      </c>
      <c r="F766">
        <v>0.94323012678228801</v>
      </c>
      <c r="G766">
        <v>0.97125766524961399</v>
      </c>
      <c r="H766" t="str">
        <f t="shared" si="11"/>
        <v>Q4</v>
      </c>
    </row>
    <row r="767" spans="1:8">
      <c r="A767">
        <v>777043</v>
      </c>
      <c r="B767" t="s">
        <v>1939</v>
      </c>
      <c r="C767">
        <v>352</v>
      </c>
      <c r="D767">
        <v>2.0422187173442699</v>
      </c>
      <c r="E767">
        <v>718.86098850518499</v>
      </c>
      <c r="F767">
        <v>0.98058763778638902</v>
      </c>
      <c r="G767">
        <v>0.971220044392611</v>
      </c>
      <c r="H767" t="str">
        <f t="shared" si="11"/>
        <v>Q2</v>
      </c>
    </row>
    <row r="768" spans="1:8">
      <c r="A768">
        <v>700511</v>
      </c>
      <c r="B768" t="s">
        <v>331</v>
      </c>
      <c r="C768">
        <v>123</v>
      </c>
      <c r="D768">
        <v>5.8415598470747998</v>
      </c>
      <c r="E768">
        <v>718.51186119019997</v>
      </c>
      <c r="F768">
        <v>0.92893420112110203</v>
      </c>
      <c r="G768">
        <v>0.97118242353560802</v>
      </c>
      <c r="H768" t="str">
        <f t="shared" si="11"/>
        <v>Q3</v>
      </c>
    </row>
    <row r="769" spans="1:8">
      <c r="A769">
        <v>715606</v>
      </c>
      <c r="B769" t="s">
        <v>4749</v>
      </c>
      <c r="C769">
        <v>223</v>
      </c>
      <c r="D769">
        <v>3.2209849607349801</v>
      </c>
      <c r="E769">
        <v>718.27964624389995</v>
      </c>
      <c r="F769">
        <v>0.96410970241902105</v>
      </c>
      <c r="G769">
        <v>0.97114480267860503</v>
      </c>
      <c r="H769" t="str">
        <f t="shared" si="11"/>
        <v>Q2</v>
      </c>
    </row>
    <row r="770" spans="1:8">
      <c r="A770">
        <v>752468</v>
      </c>
      <c r="B770" t="s">
        <v>620</v>
      </c>
      <c r="C770">
        <v>253</v>
      </c>
      <c r="D770">
        <v>2.8384939531828799</v>
      </c>
      <c r="E770">
        <v>718.13897015526902</v>
      </c>
      <c r="F770">
        <v>0.96945186411346496</v>
      </c>
      <c r="G770">
        <v>0.97110718182160205</v>
      </c>
      <c r="H770" t="str">
        <f t="shared" si="11"/>
        <v>Q2</v>
      </c>
    </row>
    <row r="771" spans="1:8">
      <c r="A771">
        <v>678691</v>
      </c>
      <c r="B771" t="s">
        <v>855</v>
      </c>
      <c r="C771">
        <v>190</v>
      </c>
      <c r="D771">
        <v>3.77736841279425</v>
      </c>
      <c r="E771">
        <v>717.69999843090795</v>
      </c>
      <c r="F771">
        <v>0.95635980587637803</v>
      </c>
      <c r="G771">
        <v>0.97106956096459895</v>
      </c>
      <c r="H771" t="str">
        <f t="shared" ref="H771:H834" si="12">IF(C771&gt;$J$2,
   IF(D771&gt;$J$3,"Q1","Q2"),
   IF(D771&gt;$J$3,"Q3","Q4"))</f>
        <v>Q2</v>
      </c>
    </row>
    <row r="772" spans="1:8">
      <c r="A772">
        <v>782067</v>
      </c>
      <c r="B772" t="s">
        <v>1955</v>
      </c>
      <c r="C772">
        <v>39</v>
      </c>
      <c r="D772">
        <v>18.385832431988799</v>
      </c>
      <c r="E772">
        <v>717.04746484756504</v>
      </c>
      <c r="F772">
        <v>0.80087280388247195</v>
      </c>
      <c r="G772">
        <v>0.97103194010759597</v>
      </c>
      <c r="H772" t="str">
        <f t="shared" si="12"/>
        <v>Q3</v>
      </c>
    </row>
    <row r="773" spans="1:8">
      <c r="A773">
        <v>704630</v>
      </c>
      <c r="B773" t="s">
        <v>3003</v>
      </c>
      <c r="C773">
        <v>126</v>
      </c>
      <c r="D773">
        <v>5.6788809479228997</v>
      </c>
      <c r="E773">
        <v>715.53899943828606</v>
      </c>
      <c r="F773">
        <v>0.93096572739926997</v>
      </c>
      <c r="G773">
        <v>0.97099431925059299</v>
      </c>
      <c r="H773" t="str">
        <f t="shared" si="12"/>
        <v>Q3</v>
      </c>
    </row>
    <row r="774" spans="1:8">
      <c r="A774">
        <v>158340</v>
      </c>
      <c r="B774" t="s">
        <v>2095</v>
      </c>
      <c r="C774">
        <v>573</v>
      </c>
      <c r="D774">
        <v>1.24846925523399</v>
      </c>
      <c r="E774">
        <v>715.37288324907399</v>
      </c>
      <c r="F774">
        <v>0.99149768631729396</v>
      </c>
      <c r="G774">
        <v>0.970956698393589</v>
      </c>
      <c r="H774" t="str">
        <f t="shared" si="12"/>
        <v>Q2</v>
      </c>
    </row>
    <row r="775" spans="1:8">
      <c r="A775">
        <v>817864</v>
      </c>
      <c r="B775" t="s">
        <v>1769</v>
      </c>
      <c r="C775">
        <v>120</v>
      </c>
      <c r="D775">
        <v>5.9558473962048701</v>
      </c>
      <c r="E775">
        <v>714.70168754458405</v>
      </c>
      <c r="F775">
        <v>0.92731650426996703</v>
      </c>
      <c r="G775">
        <v>0.97091907753658602</v>
      </c>
      <c r="H775" t="str">
        <f t="shared" si="12"/>
        <v>Q3</v>
      </c>
    </row>
    <row r="776" spans="1:8">
      <c r="A776">
        <v>768610</v>
      </c>
      <c r="B776" t="s">
        <v>1175</v>
      </c>
      <c r="C776">
        <v>254</v>
      </c>
      <c r="D776">
        <v>2.8130655039439199</v>
      </c>
      <c r="E776">
        <v>714.51863800175499</v>
      </c>
      <c r="F776">
        <v>0.96967758925548297</v>
      </c>
      <c r="G776">
        <v>0.97088145667958303</v>
      </c>
      <c r="H776" t="str">
        <f t="shared" si="12"/>
        <v>Q2</v>
      </c>
    </row>
    <row r="777" spans="1:8">
      <c r="A777">
        <v>762856</v>
      </c>
      <c r="B777" t="s">
        <v>4909</v>
      </c>
      <c r="C777">
        <v>318</v>
      </c>
      <c r="D777">
        <v>2.24640229892618</v>
      </c>
      <c r="E777">
        <v>714.35593105852604</v>
      </c>
      <c r="F777">
        <v>0.97784131522516105</v>
      </c>
      <c r="G777">
        <v>0.97084383582258005</v>
      </c>
      <c r="H777" t="str">
        <f t="shared" si="12"/>
        <v>Q2</v>
      </c>
    </row>
    <row r="778" spans="1:8">
      <c r="A778">
        <v>699867</v>
      </c>
      <c r="B778" t="s">
        <v>2981</v>
      </c>
      <c r="C778">
        <v>345</v>
      </c>
      <c r="D778">
        <v>2.0702823939854702</v>
      </c>
      <c r="E778">
        <v>714.24742592498706</v>
      </c>
      <c r="F778">
        <v>0.98013618750235099</v>
      </c>
      <c r="G778">
        <v>0.97080621496557695</v>
      </c>
      <c r="H778" t="str">
        <f t="shared" si="12"/>
        <v>Q2</v>
      </c>
    </row>
    <row r="779" spans="1:8">
      <c r="A779">
        <v>728162</v>
      </c>
      <c r="B779" t="s">
        <v>4784</v>
      </c>
      <c r="C779">
        <v>875</v>
      </c>
      <c r="D779">
        <v>0.81555641735238704</v>
      </c>
      <c r="E779">
        <v>713.61186518333898</v>
      </c>
      <c r="F779">
        <v>0.99638839772770005</v>
      </c>
      <c r="G779">
        <v>0.97076859410857397</v>
      </c>
      <c r="H779" t="str">
        <f t="shared" si="12"/>
        <v>Q2</v>
      </c>
    </row>
    <row r="780" spans="1:8">
      <c r="A780">
        <v>396135</v>
      </c>
      <c r="B780" t="s">
        <v>1927</v>
      </c>
      <c r="C780">
        <v>468</v>
      </c>
      <c r="D780">
        <v>1.5247753972056299</v>
      </c>
      <c r="E780">
        <v>713.59488589223497</v>
      </c>
      <c r="F780">
        <v>0.98743463376095697</v>
      </c>
      <c r="G780">
        <v>0.97073097325157098</v>
      </c>
      <c r="H780" t="str">
        <f t="shared" si="12"/>
        <v>Q2</v>
      </c>
    </row>
    <row r="781" spans="1:8">
      <c r="A781">
        <v>669091</v>
      </c>
      <c r="B781" t="s">
        <v>4106</v>
      </c>
      <c r="C781">
        <v>220</v>
      </c>
      <c r="D781">
        <v>3.2427888499064901</v>
      </c>
      <c r="E781">
        <v>713.413546979427</v>
      </c>
      <c r="F781">
        <v>0.96365825213498402</v>
      </c>
      <c r="G781">
        <v>0.970693352394568</v>
      </c>
      <c r="H781" t="str">
        <f t="shared" si="12"/>
        <v>Q2</v>
      </c>
    </row>
    <row r="782" spans="1:8">
      <c r="A782">
        <v>747637</v>
      </c>
      <c r="B782" t="s">
        <v>446</v>
      </c>
      <c r="C782">
        <v>142</v>
      </c>
      <c r="D782">
        <v>5.01883515307654</v>
      </c>
      <c r="E782">
        <v>712.67459173686802</v>
      </c>
      <c r="F782">
        <v>0.93954328279598198</v>
      </c>
      <c r="G782">
        <v>0.97065573153756401</v>
      </c>
      <c r="H782" t="str">
        <f t="shared" si="12"/>
        <v>Q3</v>
      </c>
    </row>
    <row r="783" spans="1:8">
      <c r="A783">
        <v>691254</v>
      </c>
      <c r="B783" t="s">
        <v>1310</v>
      </c>
      <c r="C783">
        <v>148</v>
      </c>
      <c r="D783">
        <v>4.8004467178740198</v>
      </c>
      <c r="E783">
        <v>710.46611424535502</v>
      </c>
      <c r="F783">
        <v>0.94236484707121604</v>
      </c>
      <c r="G783">
        <v>0.97061811068056103</v>
      </c>
      <c r="H783" t="str">
        <f t="shared" si="12"/>
        <v>Q4</v>
      </c>
    </row>
    <row r="784" spans="1:8">
      <c r="A784">
        <v>707269</v>
      </c>
      <c r="B784" t="s">
        <v>2543</v>
      </c>
      <c r="C784">
        <v>219</v>
      </c>
      <c r="D784">
        <v>3.2434408548692</v>
      </c>
      <c r="E784">
        <v>710.31354721635603</v>
      </c>
      <c r="F784">
        <v>0.96350776870697097</v>
      </c>
      <c r="G784">
        <v>0.97058048982355805</v>
      </c>
      <c r="H784" t="str">
        <f t="shared" si="12"/>
        <v>Q2</v>
      </c>
    </row>
    <row r="785" spans="1:8">
      <c r="A785">
        <v>678707</v>
      </c>
      <c r="B785" t="s">
        <v>5028</v>
      </c>
      <c r="C785">
        <v>254</v>
      </c>
      <c r="D785">
        <v>2.79378748469524</v>
      </c>
      <c r="E785">
        <v>709.62202111259103</v>
      </c>
      <c r="F785">
        <v>0.96967758925548297</v>
      </c>
      <c r="G785">
        <v>0.97054286896655495</v>
      </c>
      <c r="H785" t="str">
        <f t="shared" si="12"/>
        <v>Q2</v>
      </c>
    </row>
    <row r="786" spans="1:8">
      <c r="A786">
        <v>732103</v>
      </c>
      <c r="B786" t="s">
        <v>2509</v>
      </c>
      <c r="C786">
        <v>315</v>
      </c>
      <c r="D786">
        <v>2.2524939048739698</v>
      </c>
      <c r="E786">
        <v>709.53558003529895</v>
      </c>
      <c r="F786">
        <v>0.97754034836913595</v>
      </c>
      <c r="G786">
        <v>0.97050524810955197</v>
      </c>
      <c r="H786" t="str">
        <f t="shared" si="12"/>
        <v>Q2</v>
      </c>
    </row>
    <row r="787" spans="1:8">
      <c r="A787">
        <v>745199</v>
      </c>
      <c r="B787" t="s">
        <v>4322</v>
      </c>
      <c r="C787">
        <v>252</v>
      </c>
      <c r="D787">
        <v>2.8090462217935301</v>
      </c>
      <c r="E787">
        <v>707.87964789196803</v>
      </c>
      <c r="F787">
        <v>0.96930138068545202</v>
      </c>
      <c r="G787">
        <v>0.97046762725254898</v>
      </c>
      <c r="H787" t="str">
        <f t="shared" si="12"/>
        <v>Q2</v>
      </c>
    </row>
    <row r="788" spans="1:8">
      <c r="A788">
        <v>717942</v>
      </c>
      <c r="B788" t="s">
        <v>167</v>
      </c>
      <c r="C788">
        <v>171</v>
      </c>
      <c r="D788">
        <v>4.1307067215355504</v>
      </c>
      <c r="E788">
        <v>706.35084938257899</v>
      </c>
      <c r="F788">
        <v>0.95041571046988405</v>
      </c>
      <c r="G788">
        <v>0.970430006395546</v>
      </c>
      <c r="H788" t="str">
        <f t="shared" si="12"/>
        <v>Q2</v>
      </c>
    </row>
    <row r="789" spans="1:8">
      <c r="A789">
        <v>683864</v>
      </c>
      <c r="B789" t="s">
        <v>1358</v>
      </c>
      <c r="C789">
        <v>189</v>
      </c>
      <c r="D789">
        <v>3.73491167765919</v>
      </c>
      <c r="E789">
        <v>705.89830707758699</v>
      </c>
      <c r="F789">
        <v>0.95605883902035305</v>
      </c>
      <c r="G789">
        <v>0.97039238553854301</v>
      </c>
      <c r="H789" t="str">
        <f t="shared" si="12"/>
        <v>Q2</v>
      </c>
    </row>
    <row r="790" spans="1:8">
      <c r="A790">
        <v>803592</v>
      </c>
      <c r="B790" t="s">
        <v>2228</v>
      </c>
      <c r="C790">
        <v>230</v>
      </c>
      <c r="D790">
        <v>3.0679144807483798</v>
      </c>
      <c r="E790">
        <v>705.62033057212795</v>
      </c>
      <c r="F790">
        <v>0.96538881155712697</v>
      </c>
      <c r="G790">
        <v>0.97035476468153903</v>
      </c>
      <c r="H790" t="str">
        <f t="shared" si="12"/>
        <v>Q2</v>
      </c>
    </row>
    <row r="791" spans="1:8">
      <c r="A791">
        <v>640156</v>
      </c>
      <c r="B791" t="s">
        <v>2602</v>
      </c>
      <c r="C791">
        <v>184</v>
      </c>
      <c r="D791">
        <v>3.8345431397750001</v>
      </c>
      <c r="E791">
        <v>705.55593771860003</v>
      </c>
      <c r="F791">
        <v>0.95477972988224702</v>
      </c>
      <c r="G791">
        <v>0.97031714382453604</v>
      </c>
      <c r="H791" t="str">
        <f t="shared" si="12"/>
        <v>Q2</v>
      </c>
    </row>
    <row r="792" spans="1:8">
      <c r="A792">
        <v>783245</v>
      </c>
      <c r="B792" t="s">
        <v>722</v>
      </c>
      <c r="C792">
        <v>172</v>
      </c>
      <c r="D792">
        <v>4.0947379176179997</v>
      </c>
      <c r="E792">
        <v>704.29492183029697</v>
      </c>
      <c r="F792">
        <v>0.95082953989691898</v>
      </c>
      <c r="G792">
        <v>0.97027952296753295</v>
      </c>
      <c r="H792" t="str">
        <f t="shared" si="12"/>
        <v>Q2</v>
      </c>
    </row>
    <row r="793" spans="1:8">
      <c r="A793">
        <v>734215</v>
      </c>
      <c r="B793" t="s">
        <v>1467</v>
      </c>
      <c r="C793">
        <v>261</v>
      </c>
      <c r="D793">
        <v>2.6953243547015702</v>
      </c>
      <c r="E793">
        <v>703.47965657710995</v>
      </c>
      <c r="F793">
        <v>0.97054286896655495</v>
      </c>
      <c r="G793">
        <v>0.97024190211052996</v>
      </c>
      <c r="H793" t="str">
        <f t="shared" si="12"/>
        <v>Q2</v>
      </c>
    </row>
    <row r="794" spans="1:8">
      <c r="A794">
        <v>576775</v>
      </c>
      <c r="B794" t="s">
        <v>2190</v>
      </c>
      <c r="C794">
        <v>297</v>
      </c>
      <c r="D794">
        <v>2.3673172083742902</v>
      </c>
      <c r="E794">
        <v>703.09321088716399</v>
      </c>
      <c r="F794">
        <v>0.97562168466197696</v>
      </c>
      <c r="G794">
        <v>0.97020428125352698</v>
      </c>
      <c r="H794" t="str">
        <f t="shared" si="12"/>
        <v>Q2</v>
      </c>
    </row>
    <row r="795" spans="1:8">
      <c r="A795">
        <v>715474</v>
      </c>
      <c r="B795" t="s">
        <v>225</v>
      </c>
      <c r="C795">
        <v>193</v>
      </c>
      <c r="D795">
        <v>3.6368665975455801</v>
      </c>
      <c r="E795">
        <v>701.91525332629703</v>
      </c>
      <c r="F795">
        <v>0.95726270644445299</v>
      </c>
      <c r="G795">
        <v>0.97016666039652399</v>
      </c>
      <c r="H795" t="str">
        <f t="shared" si="12"/>
        <v>Q2</v>
      </c>
    </row>
    <row r="796" spans="1:8">
      <c r="A796">
        <v>748284</v>
      </c>
      <c r="B796" t="s">
        <v>684</v>
      </c>
      <c r="C796">
        <v>192</v>
      </c>
      <c r="D796">
        <v>3.6548728782994102</v>
      </c>
      <c r="E796">
        <v>701.73559263348602</v>
      </c>
      <c r="F796">
        <v>0.95688649787442204</v>
      </c>
      <c r="G796">
        <v>0.97012903953952101</v>
      </c>
      <c r="H796" t="str">
        <f t="shared" si="12"/>
        <v>Q2</v>
      </c>
    </row>
    <row r="797" spans="1:8">
      <c r="A797">
        <v>678942</v>
      </c>
      <c r="B797" t="s">
        <v>2038</v>
      </c>
      <c r="C797">
        <v>430</v>
      </c>
      <c r="D797">
        <v>1.6308473925604401</v>
      </c>
      <c r="E797">
        <v>701.26437880098797</v>
      </c>
      <c r="F797">
        <v>0.985741695195817</v>
      </c>
      <c r="G797">
        <v>0.97009141868251803</v>
      </c>
      <c r="H797" t="str">
        <f t="shared" si="12"/>
        <v>Q2</v>
      </c>
    </row>
    <row r="798" spans="1:8">
      <c r="A798">
        <v>794793</v>
      </c>
      <c r="B798" t="s">
        <v>4786</v>
      </c>
      <c r="C798">
        <v>150</v>
      </c>
      <c r="D798">
        <v>4.66538991034031</v>
      </c>
      <c r="E798">
        <v>699.80848655104603</v>
      </c>
      <c r="F798">
        <v>0.94292915992626303</v>
      </c>
      <c r="G798">
        <v>0.97005379782551404</v>
      </c>
      <c r="H798" t="str">
        <f t="shared" si="12"/>
        <v>Q4</v>
      </c>
    </row>
    <row r="799" spans="1:8">
      <c r="A799">
        <v>733361</v>
      </c>
      <c r="B799" t="s">
        <v>2354</v>
      </c>
      <c r="C799">
        <v>227</v>
      </c>
      <c r="D799">
        <v>3.0777719003119701</v>
      </c>
      <c r="E799">
        <v>698.654221370816</v>
      </c>
      <c r="F799">
        <v>0.96486211955908396</v>
      </c>
      <c r="G799">
        <v>0.97001617696851095</v>
      </c>
      <c r="H799" t="str">
        <f t="shared" si="12"/>
        <v>Q2</v>
      </c>
    </row>
    <row r="800" spans="1:8">
      <c r="A800">
        <v>764415</v>
      </c>
      <c r="B800" t="s">
        <v>4367</v>
      </c>
      <c r="C800">
        <v>180</v>
      </c>
      <c r="D800">
        <v>3.87855936566161</v>
      </c>
      <c r="E800">
        <v>698.14068581908896</v>
      </c>
      <c r="F800">
        <v>0.95346299988713701</v>
      </c>
      <c r="G800">
        <v>0.96997855611150796</v>
      </c>
      <c r="H800" t="str">
        <f t="shared" si="12"/>
        <v>Q2</v>
      </c>
    </row>
    <row r="801" spans="1:8">
      <c r="A801">
        <v>707135</v>
      </c>
      <c r="B801" t="s">
        <v>5110</v>
      </c>
      <c r="C801">
        <v>367</v>
      </c>
      <c r="D801">
        <v>1.89962583208299</v>
      </c>
      <c r="E801">
        <v>697.16268037445798</v>
      </c>
      <c r="F801">
        <v>0.98167864263947902</v>
      </c>
      <c r="G801">
        <v>0.96994093525450498</v>
      </c>
      <c r="H801" t="str">
        <f t="shared" si="12"/>
        <v>Q2</v>
      </c>
    </row>
    <row r="802" spans="1:8">
      <c r="A802">
        <v>720635</v>
      </c>
      <c r="B802" t="s">
        <v>3783</v>
      </c>
      <c r="C802">
        <v>302</v>
      </c>
      <c r="D802">
        <v>2.30810976963466</v>
      </c>
      <c r="E802">
        <v>697.04915042966604</v>
      </c>
      <c r="F802">
        <v>0.97618599751702295</v>
      </c>
      <c r="G802">
        <v>0.96990331439750199</v>
      </c>
      <c r="H802" t="str">
        <f t="shared" si="12"/>
        <v>Q2</v>
      </c>
    </row>
    <row r="803" spans="1:8">
      <c r="A803">
        <v>704668</v>
      </c>
      <c r="B803" t="s">
        <v>343</v>
      </c>
      <c r="C803">
        <v>140</v>
      </c>
      <c r="D803">
        <v>4.9742979130574598</v>
      </c>
      <c r="E803">
        <v>696.40170782804501</v>
      </c>
      <c r="F803">
        <v>0.93852751965689796</v>
      </c>
      <c r="G803">
        <v>0.96986569354049901</v>
      </c>
      <c r="H803" t="str">
        <f t="shared" si="12"/>
        <v>Q3</v>
      </c>
    </row>
    <row r="804" spans="1:8">
      <c r="A804">
        <v>201219</v>
      </c>
      <c r="B804" t="s">
        <v>2075</v>
      </c>
      <c r="C804">
        <v>347</v>
      </c>
      <c r="D804">
        <v>2.00667220425473</v>
      </c>
      <c r="E804">
        <v>696.31525487638999</v>
      </c>
      <c r="F804">
        <v>0.98032429178736702</v>
      </c>
      <c r="G804">
        <v>0.96982807268349602</v>
      </c>
      <c r="H804" t="str">
        <f t="shared" si="12"/>
        <v>Q2</v>
      </c>
    </row>
    <row r="805" spans="1:8">
      <c r="A805">
        <v>611235</v>
      </c>
      <c r="B805" t="s">
        <v>4998</v>
      </c>
      <c r="C805">
        <v>211</v>
      </c>
      <c r="D805">
        <v>3.2989878057374198</v>
      </c>
      <c r="E805">
        <v>696.08642701059603</v>
      </c>
      <c r="F805">
        <v>0.961814830141831</v>
      </c>
      <c r="G805">
        <v>0.96979045182649304</v>
      </c>
      <c r="H805" t="str">
        <f t="shared" si="12"/>
        <v>Q2</v>
      </c>
    </row>
    <row r="806" spans="1:8">
      <c r="A806">
        <v>756582</v>
      </c>
      <c r="B806" t="s">
        <v>3839</v>
      </c>
      <c r="C806">
        <v>66</v>
      </c>
      <c r="D806">
        <v>10.532845240650801</v>
      </c>
      <c r="E806">
        <v>695.16778588295006</v>
      </c>
      <c r="F806">
        <v>0.86968135134118396</v>
      </c>
      <c r="G806">
        <v>0.96975283096948905</v>
      </c>
      <c r="H806" t="str">
        <f t="shared" si="12"/>
        <v>Q3</v>
      </c>
    </row>
    <row r="807" spans="1:8">
      <c r="A807">
        <v>689009</v>
      </c>
      <c r="B807" t="s">
        <v>5152</v>
      </c>
      <c r="C807">
        <v>421</v>
      </c>
      <c r="D807">
        <v>1.6505172718404799</v>
      </c>
      <c r="E807">
        <v>694.86777144484199</v>
      </c>
      <c r="F807">
        <v>0.98510214062676305</v>
      </c>
      <c r="G807">
        <v>0.96971521011248596</v>
      </c>
      <c r="H807" t="str">
        <f t="shared" si="12"/>
        <v>Q2</v>
      </c>
    </row>
    <row r="808" spans="1:8">
      <c r="A808">
        <v>763550</v>
      </c>
      <c r="B808" t="s">
        <v>843</v>
      </c>
      <c r="C808">
        <v>123</v>
      </c>
      <c r="D808">
        <v>5.6400442329364102</v>
      </c>
      <c r="E808">
        <v>693.72544065117802</v>
      </c>
      <c r="F808">
        <v>0.92893420112110203</v>
      </c>
      <c r="G808">
        <v>0.96967758925548297</v>
      </c>
      <c r="H808" t="str">
        <f t="shared" si="12"/>
        <v>Q3</v>
      </c>
    </row>
    <row r="809" spans="1:8">
      <c r="A809">
        <v>783380</v>
      </c>
      <c r="B809" t="s">
        <v>4901</v>
      </c>
      <c r="C809">
        <v>443</v>
      </c>
      <c r="D809">
        <v>1.56202694829753</v>
      </c>
      <c r="E809">
        <v>691.97793809580605</v>
      </c>
      <c r="F809">
        <v>0.98634362890786698</v>
      </c>
      <c r="G809">
        <v>0.96963996839847999</v>
      </c>
      <c r="H809" t="str">
        <f t="shared" si="12"/>
        <v>Q2</v>
      </c>
    </row>
    <row r="810" spans="1:8">
      <c r="A810">
        <v>695723</v>
      </c>
      <c r="B810" t="s">
        <v>4830</v>
      </c>
      <c r="C810">
        <v>229</v>
      </c>
      <c r="D810">
        <v>3.0216119618167299</v>
      </c>
      <c r="E810">
        <v>691.94913925602998</v>
      </c>
      <c r="F810">
        <v>0.96512546555810497</v>
      </c>
      <c r="G810">
        <v>0.96960234754147701</v>
      </c>
      <c r="H810" t="str">
        <f t="shared" si="12"/>
        <v>Q2</v>
      </c>
    </row>
    <row r="811" spans="1:8">
      <c r="A811">
        <v>706371</v>
      </c>
      <c r="B811" t="s">
        <v>2389</v>
      </c>
      <c r="C811">
        <v>136</v>
      </c>
      <c r="D811">
        <v>5.0875374924062804</v>
      </c>
      <c r="E811">
        <v>691.90509896725405</v>
      </c>
      <c r="F811">
        <v>0.93630788909371399</v>
      </c>
      <c r="G811">
        <v>0.96956472668447402</v>
      </c>
      <c r="H811" t="str">
        <f t="shared" si="12"/>
        <v>Q3</v>
      </c>
    </row>
    <row r="812" spans="1:8">
      <c r="A812">
        <v>739363</v>
      </c>
      <c r="B812" t="s">
        <v>1675</v>
      </c>
      <c r="C812">
        <v>236</v>
      </c>
      <c r="D812">
        <v>2.9289643753762</v>
      </c>
      <c r="E812">
        <v>691.23559258878197</v>
      </c>
      <c r="F812">
        <v>0.96670554155223698</v>
      </c>
      <c r="G812">
        <v>0.96952710582747104</v>
      </c>
      <c r="H812" t="str">
        <f t="shared" si="12"/>
        <v>Q2</v>
      </c>
    </row>
    <row r="813" spans="1:8">
      <c r="A813">
        <v>820613</v>
      </c>
      <c r="B813" t="s">
        <v>4010</v>
      </c>
      <c r="C813">
        <v>308</v>
      </c>
      <c r="D813">
        <v>2.2440953127277798</v>
      </c>
      <c r="E813">
        <v>691.18135632015799</v>
      </c>
      <c r="F813">
        <v>0.97682555208607702</v>
      </c>
      <c r="G813">
        <v>0.96948948497046805</v>
      </c>
      <c r="H813" t="str">
        <f t="shared" si="12"/>
        <v>Q2</v>
      </c>
    </row>
    <row r="814" spans="1:8">
      <c r="A814">
        <v>536139</v>
      </c>
      <c r="B814" t="s">
        <v>210</v>
      </c>
      <c r="C814">
        <v>441</v>
      </c>
      <c r="D814">
        <v>1.5636380531670999</v>
      </c>
      <c r="E814">
        <v>689.56438144668903</v>
      </c>
      <c r="F814">
        <v>0.98626838719386001</v>
      </c>
      <c r="G814">
        <v>0.96945186411346496</v>
      </c>
      <c r="H814" t="str">
        <f t="shared" si="12"/>
        <v>Q2</v>
      </c>
    </row>
    <row r="815" spans="1:8">
      <c r="A815">
        <v>698328</v>
      </c>
      <c r="B815" t="s">
        <v>5246</v>
      </c>
      <c r="C815">
        <v>520</v>
      </c>
      <c r="D815">
        <v>1.32551494905224</v>
      </c>
      <c r="E815">
        <v>689.26777350716304</v>
      </c>
      <c r="F815">
        <v>0.98946616003912602</v>
      </c>
      <c r="G815">
        <v>0.96941424325646097</v>
      </c>
      <c r="H815" t="str">
        <f t="shared" si="12"/>
        <v>Q2</v>
      </c>
    </row>
    <row r="816" spans="1:8">
      <c r="A816">
        <v>697201</v>
      </c>
      <c r="B816" t="s">
        <v>5147</v>
      </c>
      <c r="C816">
        <v>230</v>
      </c>
      <c r="D816">
        <v>2.9953352434803602</v>
      </c>
      <c r="E816">
        <v>688.92710600048304</v>
      </c>
      <c r="F816">
        <v>0.96538881155712697</v>
      </c>
      <c r="G816">
        <v>0.96937662239945799</v>
      </c>
      <c r="H816" t="str">
        <f t="shared" si="12"/>
        <v>Q2</v>
      </c>
    </row>
    <row r="817" spans="1:8">
      <c r="A817">
        <v>810007</v>
      </c>
      <c r="B817" t="s">
        <v>1816</v>
      </c>
      <c r="C817">
        <v>46</v>
      </c>
      <c r="D817">
        <v>14.953389990588899</v>
      </c>
      <c r="E817">
        <v>687.85593956708897</v>
      </c>
      <c r="F817">
        <v>0.82378390579737404</v>
      </c>
      <c r="G817">
        <v>0.969339001542455</v>
      </c>
      <c r="H817" t="str">
        <f t="shared" si="12"/>
        <v>Q3</v>
      </c>
    </row>
    <row r="818" spans="1:8">
      <c r="A818">
        <v>759796</v>
      </c>
      <c r="B818" t="s">
        <v>4111</v>
      </c>
      <c r="C818">
        <v>194</v>
      </c>
      <c r="D818">
        <v>3.5451162184022098</v>
      </c>
      <c r="E818">
        <v>687.75254637002899</v>
      </c>
      <c r="F818">
        <v>0.95741318987246504</v>
      </c>
      <c r="G818">
        <v>0.96930138068545202</v>
      </c>
      <c r="H818" t="str">
        <f t="shared" si="12"/>
        <v>Q2</v>
      </c>
    </row>
    <row r="819" spans="1:8">
      <c r="A819">
        <v>758088</v>
      </c>
      <c r="B819" t="s">
        <v>2870</v>
      </c>
      <c r="C819">
        <v>176</v>
      </c>
      <c r="D819">
        <v>3.9064137217461701</v>
      </c>
      <c r="E819">
        <v>687.528815027326</v>
      </c>
      <c r="F819">
        <v>0.95199578646401595</v>
      </c>
      <c r="G819">
        <v>0.96926375982844903</v>
      </c>
      <c r="H819" t="str">
        <f t="shared" si="12"/>
        <v>Q2</v>
      </c>
    </row>
    <row r="820" spans="1:8">
      <c r="A820">
        <v>782874</v>
      </c>
      <c r="B820" t="s">
        <v>607</v>
      </c>
      <c r="C820">
        <v>223</v>
      </c>
      <c r="D820">
        <v>3.0795317594245901</v>
      </c>
      <c r="E820">
        <v>686.73558235168503</v>
      </c>
      <c r="F820">
        <v>0.96410970241902105</v>
      </c>
      <c r="G820">
        <v>0.96922613897144605</v>
      </c>
      <c r="H820" t="str">
        <f t="shared" si="12"/>
        <v>Q2</v>
      </c>
    </row>
    <row r="821" spans="1:8">
      <c r="A821">
        <v>786752</v>
      </c>
      <c r="B821" t="s">
        <v>2625</v>
      </c>
      <c r="C821">
        <v>51</v>
      </c>
      <c r="D821">
        <v>13.4565969600397</v>
      </c>
      <c r="E821">
        <v>686.28644496202503</v>
      </c>
      <c r="F821">
        <v>0.83762838117452298</v>
      </c>
      <c r="G821">
        <v>0.96918851811444295</v>
      </c>
      <c r="H821" t="str">
        <f t="shared" si="12"/>
        <v>Q3</v>
      </c>
    </row>
    <row r="822" spans="1:8">
      <c r="A822">
        <v>739334</v>
      </c>
      <c r="B822" t="s">
        <v>2980</v>
      </c>
      <c r="C822">
        <v>68</v>
      </c>
      <c r="D822">
        <v>10.0881355650285</v>
      </c>
      <c r="E822">
        <v>685.99321842193604</v>
      </c>
      <c r="F822">
        <v>0.87223956961739602</v>
      </c>
      <c r="G822">
        <v>0.96915089725743997</v>
      </c>
      <c r="H822" t="str">
        <f t="shared" si="12"/>
        <v>Q3</v>
      </c>
    </row>
    <row r="823" spans="1:8">
      <c r="A823">
        <v>529012</v>
      </c>
      <c r="B823" t="s">
        <v>2060</v>
      </c>
      <c r="C823">
        <v>740</v>
      </c>
      <c r="D823">
        <v>0.92699722579217902</v>
      </c>
      <c r="E823">
        <v>685.977947086212</v>
      </c>
      <c r="F823">
        <v>0.99492118430457799</v>
      </c>
      <c r="G823">
        <v>0.96911327640043599</v>
      </c>
      <c r="H823" t="str">
        <f t="shared" si="12"/>
        <v>Q2</v>
      </c>
    </row>
    <row r="824" spans="1:8">
      <c r="A824">
        <v>749615</v>
      </c>
      <c r="B824" t="s">
        <v>2710</v>
      </c>
      <c r="C824">
        <v>166</v>
      </c>
      <c r="D824">
        <v>4.1270574476255701</v>
      </c>
      <c r="E824">
        <v>685.09153630584501</v>
      </c>
      <c r="F824">
        <v>0.94860990933373501</v>
      </c>
      <c r="G824">
        <v>0.969075655543433</v>
      </c>
      <c r="H824" t="str">
        <f t="shared" si="12"/>
        <v>Q4</v>
      </c>
    </row>
    <row r="825" spans="1:8">
      <c r="A825">
        <v>709138</v>
      </c>
      <c r="B825" t="s">
        <v>2786</v>
      </c>
      <c r="C825">
        <v>163</v>
      </c>
      <c r="D825">
        <v>4.20289073207993</v>
      </c>
      <c r="E825">
        <v>685.07118932902802</v>
      </c>
      <c r="F825">
        <v>0.94751890448064402</v>
      </c>
      <c r="G825">
        <v>0.96903803468643002</v>
      </c>
      <c r="H825" t="str">
        <f t="shared" si="12"/>
        <v>Q4</v>
      </c>
    </row>
    <row r="826" spans="1:8">
      <c r="A826">
        <v>758138</v>
      </c>
      <c r="B826" t="s">
        <v>2876</v>
      </c>
      <c r="C826">
        <v>106</v>
      </c>
      <c r="D826">
        <v>6.4625039556116404</v>
      </c>
      <c r="E826">
        <v>685.02541929483402</v>
      </c>
      <c r="F826">
        <v>0.91730935630713695</v>
      </c>
      <c r="G826">
        <v>0.96900041382942703</v>
      </c>
      <c r="H826" t="str">
        <f t="shared" si="12"/>
        <v>Q3</v>
      </c>
    </row>
    <row r="827" spans="1:8">
      <c r="A827">
        <v>790160</v>
      </c>
      <c r="B827" t="s">
        <v>1875</v>
      </c>
      <c r="C827">
        <v>105</v>
      </c>
      <c r="D827">
        <v>6.5160290151834497</v>
      </c>
      <c r="E827">
        <v>684.18304659426201</v>
      </c>
      <c r="F827">
        <v>0.91618073059704297</v>
      </c>
      <c r="G827">
        <v>0.96896279297242405</v>
      </c>
      <c r="H827" t="str">
        <f t="shared" si="12"/>
        <v>Q3</v>
      </c>
    </row>
    <row r="828" spans="1:8">
      <c r="A828">
        <v>726228</v>
      </c>
      <c r="B828" t="s">
        <v>2026</v>
      </c>
      <c r="C828">
        <v>178</v>
      </c>
      <c r="D828">
        <v>3.84353459760379</v>
      </c>
      <c r="E828">
        <v>684.14915837347496</v>
      </c>
      <c r="F828">
        <v>0.95274820360407797</v>
      </c>
      <c r="G828">
        <v>0.96892517211542095</v>
      </c>
      <c r="H828" t="str">
        <f t="shared" si="12"/>
        <v>Q2</v>
      </c>
    </row>
    <row r="829" spans="1:8">
      <c r="A829">
        <v>639448</v>
      </c>
      <c r="B829" t="s">
        <v>1279</v>
      </c>
      <c r="C829">
        <v>150</v>
      </c>
      <c r="D829">
        <v>4.5505763031542301</v>
      </c>
      <c r="E829">
        <v>682.58644547313497</v>
      </c>
      <c r="F829">
        <v>0.94292915992626303</v>
      </c>
      <c r="G829">
        <v>0.96888755125841797</v>
      </c>
      <c r="H829" t="str">
        <f t="shared" si="12"/>
        <v>Q4</v>
      </c>
    </row>
    <row r="830" spans="1:8">
      <c r="A830">
        <v>722437</v>
      </c>
      <c r="B830" t="s">
        <v>5215</v>
      </c>
      <c r="C830">
        <v>349</v>
      </c>
      <c r="D830">
        <v>1.9556164461318799</v>
      </c>
      <c r="E830">
        <v>682.51013970002498</v>
      </c>
      <c r="F830">
        <v>0.98043715435837597</v>
      </c>
      <c r="G830">
        <v>0.96884993040141498</v>
      </c>
      <c r="H830" t="str">
        <f t="shared" si="12"/>
        <v>Q2</v>
      </c>
    </row>
    <row r="831" spans="1:8">
      <c r="A831">
        <v>700935</v>
      </c>
      <c r="B831" t="s">
        <v>664</v>
      </c>
      <c r="C831">
        <v>145</v>
      </c>
      <c r="D831">
        <v>4.7059615046299701</v>
      </c>
      <c r="E831">
        <v>682.36441817134596</v>
      </c>
      <c r="F831">
        <v>0.94082239193408801</v>
      </c>
      <c r="G831">
        <v>0.968812309544411</v>
      </c>
      <c r="H831" t="str">
        <f t="shared" si="12"/>
        <v>Q4</v>
      </c>
    </row>
    <row r="832" spans="1:8">
      <c r="A832">
        <v>723173</v>
      </c>
      <c r="B832" t="s">
        <v>4591</v>
      </c>
      <c r="C832">
        <v>525</v>
      </c>
      <c r="D832">
        <v>1.29914121285436</v>
      </c>
      <c r="E832">
        <v>682.04913674853697</v>
      </c>
      <c r="F832">
        <v>0.98987998946615996</v>
      </c>
      <c r="G832">
        <v>0.96877468868740801</v>
      </c>
      <c r="H832" t="str">
        <f t="shared" si="12"/>
        <v>Q2</v>
      </c>
    </row>
    <row r="833" spans="1:8">
      <c r="A833">
        <v>677809</v>
      </c>
      <c r="B833" t="s">
        <v>2989</v>
      </c>
      <c r="C833">
        <v>212</v>
      </c>
      <c r="D833">
        <v>3.2153980725198799</v>
      </c>
      <c r="E833">
        <v>681.66439137421503</v>
      </c>
      <c r="F833">
        <v>0.96200293442684603</v>
      </c>
      <c r="G833">
        <v>0.96873706783040503</v>
      </c>
      <c r="H833" t="str">
        <f t="shared" si="12"/>
        <v>Q2</v>
      </c>
    </row>
    <row r="834" spans="1:8">
      <c r="A834">
        <v>730566</v>
      </c>
      <c r="B834" t="s">
        <v>5022</v>
      </c>
      <c r="C834">
        <v>128</v>
      </c>
      <c r="D834">
        <v>5.3220340101688599</v>
      </c>
      <c r="E834">
        <v>681.22035330161498</v>
      </c>
      <c r="F834">
        <v>0.93201911139535798</v>
      </c>
      <c r="G834">
        <v>0.96869944697340205</v>
      </c>
      <c r="H834" t="str">
        <f t="shared" si="12"/>
        <v>Q3</v>
      </c>
    </row>
    <row r="835" spans="1:8">
      <c r="A835">
        <v>688432</v>
      </c>
      <c r="B835" t="s">
        <v>2821</v>
      </c>
      <c r="C835">
        <v>271</v>
      </c>
      <c r="D835">
        <v>2.51033836082174</v>
      </c>
      <c r="E835">
        <v>680.30169578269101</v>
      </c>
      <c r="F835">
        <v>0.97193484067567104</v>
      </c>
      <c r="G835">
        <v>0.96866182611639895</v>
      </c>
      <c r="H835" t="str">
        <f t="shared" ref="H835:H898" si="13">IF(C835&gt;$J$2,
   IF(D835&gt;$J$3,"Q1","Q2"),
   IF(D835&gt;$J$3,"Q3","Q4"))</f>
        <v>Q2</v>
      </c>
    </row>
    <row r="836" spans="1:8">
      <c r="A836">
        <v>395127</v>
      </c>
      <c r="B836" t="s">
        <v>792</v>
      </c>
      <c r="C836">
        <v>167</v>
      </c>
      <c r="D836">
        <v>4.0699381068973501</v>
      </c>
      <c r="E836">
        <v>679.67966385185696</v>
      </c>
      <c r="F836">
        <v>0.94898611790376597</v>
      </c>
      <c r="G836">
        <v>0.96862420525939597</v>
      </c>
      <c r="H836" t="str">
        <f t="shared" si="13"/>
        <v>Q4</v>
      </c>
    </row>
    <row r="837" spans="1:8">
      <c r="A837">
        <v>717370</v>
      </c>
      <c r="B837" t="s">
        <v>4981</v>
      </c>
      <c r="C837">
        <v>282</v>
      </c>
      <c r="D837">
        <v>2.4095383898771199</v>
      </c>
      <c r="E837">
        <v>679.489825945348</v>
      </c>
      <c r="F837">
        <v>0.97359015838380802</v>
      </c>
      <c r="G837">
        <v>0.96858658440239298</v>
      </c>
      <c r="H837" t="str">
        <f t="shared" si="13"/>
        <v>Q2</v>
      </c>
    </row>
    <row r="838" spans="1:8">
      <c r="A838">
        <v>681174</v>
      </c>
      <c r="B838" t="s">
        <v>234</v>
      </c>
      <c r="C838">
        <v>213</v>
      </c>
      <c r="D838">
        <v>3.1881832867475999</v>
      </c>
      <c r="E838">
        <v>679.08304007723905</v>
      </c>
      <c r="F838">
        <v>0.96230390128287102</v>
      </c>
      <c r="G838">
        <v>0.96854896354539</v>
      </c>
      <c r="H838" t="str">
        <f t="shared" si="13"/>
        <v>Q2</v>
      </c>
    </row>
    <row r="839" spans="1:8">
      <c r="A839">
        <v>670698</v>
      </c>
      <c r="B839" t="s">
        <v>3978</v>
      </c>
      <c r="C839">
        <v>167</v>
      </c>
      <c r="D839">
        <v>4.0662742392745601</v>
      </c>
      <c r="E839">
        <v>679.06779795885097</v>
      </c>
      <c r="F839">
        <v>0.94898611790376597</v>
      </c>
      <c r="G839">
        <v>0.96851134268838601</v>
      </c>
      <c r="H839" t="str">
        <f t="shared" si="13"/>
        <v>Q4</v>
      </c>
    </row>
    <row r="840" spans="1:8">
      <c r="A840">
        <v>733101</v>
      </c>
      <c r="B840" t="s">
        <v>3669</v>
      </c>
      <c r="C840">
        <v>281</v>
      </c>
      <c r="D840">
        <v>2.4089933088002899</v>
      </c>
      <c r="E840">
        <v>676.92711977288104</v>
      </c>
      <c r="F840">
        <v>0.97340205409879199</v>
      </c>
      <c r="G840">
        <v>0.96847372183138303</v>
      </c>
      <c r="H840" t="str">
        <f t="shared" si="13"/>
        <v>Q2</v>
      </c>
    </row>
    <row r="841" spans="1:8">
      <c r="A841">
        <v>760454</v>
      </c>
      <c r="B841" t="s">
        <v>4911</v>
      </c>
      <c r="C841">
        <v>110</v>
      </c>
      <c r="D841">
        <v>6.1436671272597501</v>
      </c>
      <c r="E841">
        <v>675.80338399857305</v>
      </c>
      <c r="F841">
        <v>0.92001805801136105</v>
      </c>
      <c r="G841">
        <v>0.96843610097438004</v>
      </c>
      <c r="H841" t="str">
        <f t="shared" si="13"/>
        <v>Q3</v>
      </c>
    </row>
    <row r="842" spans="1:8">
      <c r="A842">
        <v>747192</v>
      </c>
      <c r="B842" t="s">
        <v>2215</v>
      </c>
      <c r="C842">
        <v>283</v>
      </c>
      <c r="D842">
        <v>2.3873270680147201</v>
      </c>
      <c r="E842">
        <v>675.61356024816598</v>
      </c>
      <c r="F842">
        <v>0.97381588352582704</v>
      </c>
      <c r="G842">
        <v>0.96839848011737695</v>
      </c>
      <c r="H842" t="str">
        <f t="shared" si="13"/>
        <v>Q2</v>
      </c>
    </row>
    <row r="843" spans="1:8">
      <c r="A843">
        <v>763285</v>
      </c>
      <c r="B843" t="s">
        <v>3997</v>
      </c>
      <c r="C843">
        <v>214</v>
      </c>
      <c r="D843">
        <v>3.1563044066549599</v>
      </c>
      <c r="E843">
        <v>675.449143024161</v>
      </c>
      <c r="F843">
        <v>0.96256724728189302</v>
      </c>
      <c r="G843">
        <v>0.96836085926037396</v>
      </c>
      <c r="H843" t="str">
        <f t="shared" si="13"/>
        <v>Q2</v>
      </c>
    </row>
    <row r="844" spans="1:8">
      <c r="A844">
        <v>711190</v>
      </c>
      <c r="B844" t="s">
        <v>3961</v>
      </c>
      <c r="C844">
        <v>221</v>
      </c>
      <c r="D844">
        <v>3.0560855361805799</v>
      </c>
      <c r="E844">
        <v>675.39490349590801</v>
      </c>
      <c r="F844">
        <v>0.96380873556299596</v>
      </c>
      <c r="G844">
        <v>0.96832323840337098</v>
      </c>
      <c r="H844" t="str">
        <f t="shared" si="13"/>
        <v>Q2</v>
      </c>
    </row>
    <row r="845" spans="1:8">
      <c r="A845">
        <v>537116</v>
      </c>
      <c r="B845" t="s">
        <v>4798</v>
      </c>
      <c r="C845">
        <v>422</v>
      </c>
      <c r="D845">
        <v>1.59996780489629</v>
      </c>
      <c r="E845">
        <v>675.18641366623297</v>
      </c>
      <c r="F845">
        <v>0.985215003197773</v>
      </c>
      <c r="G845">
        <v>0.96828561754636799</v>
      </c>
      <c r="H845" t="str">
        <f t="shared" si="13"/>
        <v>Q2</v>
      </c>
    </row>
    <row r="846" spans="1:8">
      <c r="A846">
        <v>771537</v>
      </c>
      <c r="B846" t="s">
        <v>4435</v>
      </c>
      <c r="C846">
        <v>189</v>
      </c>
      <c r="D846">
        <v>3.5713299630929201</v>
      </c>
      <c r="E846">
        <v>674.98136302456305</v>
      </c>
      <c r="F846">
        <v>0.95605883902035305</v>
      </c>
      <c r="G846">
        <v>0.96824799668936501</v>
      </c>
      <c r="H846" t="str">
        <f t="shared" si="13"/>
        <v>Q2</v>
      </c>
    </row>
    <row r="847" spans="1:8">
      <c r="A847">
        <v>781180</v>
      </c>
      <c r="B847" t="s">
        <v>1767</v>
      </c>
      <c r="C847">
        <v>355</v>
      </c>
      <c r="D847">
        <v>1.9003389813464999</v>
      </c>
      <c r="E847">
        <v>674.620338378008</v>
      </c>
      <c r="F847">
        <v>0.98088860464241401</v>
      </c>
      <c r="G847">
        <v>0.96821037583236103</v>
      </c>
      <c r="H847" t="str">
        <f t="shared" si="13"/>
        <v>Q2</v>
      </c>
    </row>
    <row r="848" spans="1:8">
      <c r="A848">
        <v>674002</v>
      </c>
      <c r="B848" t="s">
        <v>3504</v>
      </c>
      <c r="C848">
        <v>89</v>
      </c>
      <c r="D848">
        <v>7.5664255914560901</v>
      </c>
      <c r="E848">
        <v>673.41187763959203</v>
      </c>
      <c r="F848">
        <v>0.90135811293781298</v>
      </c>
      <c r="G848">
        <v>0.96817275497535804</v>
      </c>
      <c r="H848" t="str">
        <f t="shared" si="13"/>
        <v>Q3</v>
      </c>
    </row>
    <row r="849" spans="1:8">
      <c r="A849">
        <v>790651</v>
      </c>
      <c r="B849" t="s">
        <v>3217</v>
      </c>
      <c r="C849">
        <v>167</v>
      </c>
      <c r="D849">
        <v>4.0315233985196297</v>
      </c>
      <c r="E849">
        <v>673.26440755277895</v>
      </c>
      <c r="F849">
        <v>0.94898611790376597</v>
      </c>
      <c r="G849">
        <v>0.96813513411835495</v>
      </c>
      <c r="H849" t="str">
        <f t="shared" si="13"/>
        <v>Q4</v>
      </c>
    </row>
    <row r="850" spans="1:8">
      <c r="A850">
        <v>779333</v>
      </c>
      <c r="B850" t="s">
        <v>1415</v>
      </c>
      <c r="C850">
        <v>233</v>
      </c>
      <c r="D850">
        <v>2.8866443471271599</v>
      </c>
      <c r="E850">
        <v>672.588132880628</v>
      </c>
      <c r="F850">
        <v>0.96614122869718999</v>
      </c>
      <c r="G850">
        <v>0.96809751326135196</v>
      </c>
      <c r="H850" t="str">
        <f t="shared" si="13"/>
        <v>Q2</v>
      </c>
    </row>
    <row r="851" spans="1:8">
      <c r="A851">
        <v>212629</v>
      </c>
      <c r="B851" t="s">
        <v>206</v>
      </c>
      <c r="C851">
        <v>259</v>
      </c>
      <c r="D851">
        <v>2.5911458571977302</v>
      </c>
      <c r="E851">
        <v>671.10677701421105</v>
      </c>
      <c r="F851">
        <v>0.97027952296753295</v>
      </c>
      <c r="G851">
        <v>0.96805989240434898</v>
      </c>
      <c r="H851" t="str">
        <f t="shared" si="13"/>
        <v>Q2</v>
      </c>
    </row>
    <row r="852" spans="1:8">
      <c r="A852">
        <v>709407</v>
      </c>
      <c r="B852" t="s">
        <v>4011</v>
      </c>
      <c r="C852">
        <v>140</v>
      </c>
      <c r="D852">
        <v>4.7933414897748401</v>
      </c>
      <c r="E852">
        <v>671.06780856847797</v>
      </c>
      <c r="F852">
        <v>0.93852751965689796</v>
      </c>
      <c r="G852">
        <v>0.96802227154734599</v>
      </c>
      <c r="H852" t="str">
        <f t="shared" si="13"/>
        <v>Q4</v>
      </c>
    </row>
    <row r="853" spans="1:8">
      <c r="A853">
        <v>729318</v>
      </c>
      <c r="B853" t="s">
        <v>424</v>
      </c>
      <c r="C853">
        <v>282</v>
      </c>
      <c r="D853">
        <v>2.3774852804469702</v>
      </c>
      <c r="E853">
        <v>670.45084908604599</v>
      </c>
      <c r="F853">
        <v>0.97359015838380802</v>
      </c>
      <c r="G853">
        <v>0.96798465069034301</v>
      </c>
      <c r="H853" t="str">
        <f t="shared" si="13"/>
        <v>Q2</v>
      </c>
    </row>
    <row r="854" spans="1:8">
      <c r="A854">
        <v>797119</v>
      </c>
      <c r="B854" t="s">
        <v>254</v>
      </c>
      <c r="C854">
        <v>147</v>
      </c>
      <c r="D854">
        <v>4.5206388211524002</v>
      </c>
      <c r="E854">
        <v>664.53390670940303</v>
      </c>
      <c r="F854">
        <v>0.94195101764418199</v>
      </c>
      <c r="G854">
        <v>0.96794702983334002</v>
      </c>
      <c r="H854" t="str">
        <f t="shared" si="13"/>
        <v>Q4</v>
      </c>
    </row>
    <row r="855" spans="1:8">
      <c r="A855">
        <v>719686</v>
      </c>
      <c r="B855" t="s">
        <v>1867</v>
      </c>
      <c r="C855">
        <v>109</v>
      </c>
      <c r="D855">
        <v>6.0731301015806904</v>
      </c>
      <c r="E855">
        <v>661.97118107229505</v>
      </c>
      <c r="F855">
        <v>0.91922802001429604</v>
      </c>
      <c r="G855">
        <v>0.96790940897633604</v>
      </c>
      <c r="H855" t="str">
        <f t="shared" si="13"/>
        <v>Q3</v>
      </c>
    </row>
    <row r="856" spans="1:8">
      <c r="A856">
        <v>687173</v>
      </c>
      <c r="B856" t="s">
        <v>3056</v>
      </c>
      <c r="C856">
        <v>424</v>
      </c>
      <c r="D856">
        <v>1.56110882943602</v>
      </c>
      <c r="E856">
        <v>661.91014368087099</v>
      </c>
      <c r="F856">
        <v>0.985478349196795</v>
      </c>
      <c r="G856">
        <v>0.96787178811933305</v>
      </c>
      <c r="H856" t="str">
        <f t="shared" si="13"/>
        <v>Q2</v>
      </c>
    </row>
    <row r="857" spans="1:8">
      <c r="A857">
        <v>767438</v>
      </c>
      <c r="B857" t="s">
        <v>4871</v>
      </c>
      <c r="C857">
        <v>447</v>
      </c>
      <c r="D857">
        <v>1.4802259283132</v>
      </c>
      <c r="E857">
        <v>661.66098995599896</v>
      </c>
      <c r="F857">
        <v>0.98653173319288201</v>
      </c>
      <c r="G857">
        <v>0.96783416726232996</v>
      </c>
      <c r="H857" t="str">
        <f t="shared" si="13"/>
        <v>Q2</v>
      </c>
    </row>
    <row r="858" spans="1:8">
      <c r="A858">
        <v>691855</v>
      </c>
      <c r="B858" t="s">
        <v>3151</v>
      </c>
      <c r="C858">
        <v>230</v>
      </c>
      <c r="D858">
        <v>2.8757331864503399</v>
      </c>
      <c r="E858">
        <v>661.41863288357899</v>
      </c>
      <c r="F858">
        <v>0.96538881155712697</v>
      </c>
      <c r="G858">
        <v>0.96779654640532697</v>
      </c>
      <c r="H858" t="str">
        <f t="shared" si="13"/>
        <v>Q2</v>
      </c>
    </row>
    <row r="859" spans="1:8">
      <c r="A859">
        <v>797150</v>
      </c>
      <c r="B859" t="s">
        <v>5027</v>
      </c>
      <c r="C859">
        <v>212</v>
      </c>
      <c r="D859">
        <v>3.1170450440906698</v>
      </c>
      <c r="E859">
        <v>660.81354934722197</v>
      </c>
      <c r="F859">
        <v>0.96200293442684603</v>
      </c>
      <c r="G859">
        <v>0.96775892554832399</v>
      </c>
      <c r="H859" t="str">
        <f t="shared" si="13"/>
        <v>Q2</v>
      </c>
    </row>
    <row r="860" spans="1:8">
      <c r="A860">
        <v>788298</v>
      </c>
      <c r="B860" t="s">
        <v>3189</v>
      </c>
      <c r="C860">
        <v>136</v>
      </c>
      <c r="D860">
        <v>4.85484803999391</v>
      </c>
      <c r="E860">
        <v>660.25933343917097</v>
      </c>
      <c r="F860">
        <v>0.93630788909371399</v>
      </c>
      <c r="G860">
        <v>0.967721304691321</v>
      </c>
      <c r="H860" t="str">
        <f t="shared" si="13"/>
        <v>Q4</v>
      </c>
    </row>
    <row r="861" spans="1:8">
      <c r="A861">
        <v>790635</v>
      </c>
      <c r="B861" t="s">
        <v>4031</v>
      </c>
      <c r="C861">
        <v>153</v>
      </c>
      <c r="D861">
        <v>4.3151767467897297</v>
      </c>
      <c r="E861">
        <v>660.22204225882899</v>
      </c>
      <c r="F861">
        <v>0.94405778563635701</v>
      </c>
      <c r="G861">
        <v>0.96768368383431802</v>
      </c>
      <c r="H861" t="str">
        <f t="shared" si="13"/>
        <v>Q4</v>
      </c>
    </row>
    <row r="862" spans="1:8">
      <c r="A862">
        <v>691799</v>
      </c>
      <c r="B862" t="s">
        <v>1152</v>
      </c>
      <c r="C862">
        <v>166</v>
      </c>
      <c r="D862">
        <v>3.9763835592599301</v>
      </c>
      <c r="E862">
        <v>660.07967083714902</v>
      </c>
      <c r="F862">
        <v>0.94860990933373501</v>
      </c>
      <c r="G862">
        <v>0.96764606297731504</v>
      </c>
      <c r="H862" t="str">
        <f t="shared" si="13"/>
        <v>Q4</v>
      </c>
    </row>
    <row r="863" spans="1:8">
      <c r="A863">
        <v>784001</v>
      </c>
      <c r="B863" t="s">
        <v>4112</v>
      </c>
      <c r="C863">
        <v>216</v>
      </c>
      <c r="D863">
        <v>3.05514746793994</v>
      </c>
      <c r="E863">
        <v>659.91185307502701</v>
      </c>
      <c r="F863">
        <v>0.96301869756593095</v>
      </c>
      <c r="G863">
        <v>0.96760844212031105</v>
      </c>
      <c r="H863" t="str">
        <f t="shared" si="13"/>
        <v>Q2</v>
      </c>
    </row>
    <row r="864" spans="1:8">
      <c r="A864">
        <v>747939</v>
      </c>
      <c r="B864" t="s">
        <v>2857</v>
      </c>
      <c r="C864">
        <v>439</v>
      </c>
      <c r="D864">
        <v>1.5028917211572499</v>
      </c>
      <c r="E864">
        <v>659.76946558803297</v>
      </c>
      <c r="F864">
        <v>0.98615552462285105</v>
      </c>
      <c r="G864">
        <v>0.96757082126330796</v>
      </c>
      <c r="H864" t="str">
        <f t="shared" si="13"/>
        <v>Q2</v>
      </c>
    </row>
    <row r="865" spans="1:8">
      <c r="A865">
        <v>670698</v>
      </c>
      <c r="B865" t="s">
        <v>3979</v>
      </c>
      <c r="C865">
        <v>163</v>
      </c>
      <c r="D865">
        <v>4.0470312983711798</v>
      </c>
      <c r="E865">
        <v>659.66610163450196</v>
      </c>
      <c r="F865">
        <v>0.94751890448064402</v>
      </c>
      <c r="G865">
        <v>0.96753320040630497</v>
      </c>
      <c r="H865" t="str">
        <f t="shared" si="13"/>
        <v>Q4</v>
      </c>
    </row>
    <row r="866" spans="1:8">
      <c r="A866">
        <v>758050</v>
      </c>
      <c r="B866" t="s">
        <v>2879</v>
      </c>
      <c r="C866">
        <v>282</v>
      </c>
      <c r="D866">
        <v>2.3384120678595202</v>
      </c>
      <c r="E866">
        <v>659.43220313638403</v>
      </c>
      <c r="F866">
        <v>0.97359015838380802</v>
      </c>
      <c r="G866">
        <v>0.96749557954930199</v>
      </c>
      <c r="H866" t="str">
        <f t="shared" si="13"/>
        <v>Q2</v>
      </c>
    </row>
    <row r="867" spans="1:8">
      <c r="A867">
        <v>554640</v>
      </c>
      <c r="B867" t="s">
        <v>4503</v>
      </c>
      <c r="C867">
        <v>125</v>
      </c>
      <c r="D867">
        <v>5.2689221411943397</v>
      </c>
      <c r="E867">
        <v>658.61526764929295</v>
      </c>
      <c r="F867">
        <v>0.93028855197321403</v>
      </c>
      <c r="G867">
        <v>0.967457958692299</v>
      </c>
      <c r="H867" t="str">
        <f t="shared" si="13"/>
        <v>Q3</v>
      </c>
    </row>
    <row r="868" spans="1:8">
      <c r="A868">
        <v>779781</v>
      </c>
      <c r="B868" t="s">
        <v>5058</v>
      </c>
      <c r="C868">
        <v>163</v>
      </c>
      <c r="D868">
        <v>4.0404492257837097</v>
      </c>
      <c r="E868">
        <v>658.593223802745</v>
      </c>
      <c r="F868">
        <v>0.94751890448064402</v>
      </c>
      <c r="G868">
        <v>0.96742033783529602</v>
      </c>
      <c r="H868" t="str">
        <f t="shared" si="13"/>
        <v>Q4</v>
      </c>
    </row>
    <row r="869" spans="1:8">
      <c r="A869">
        <v>702805</v>
      </c>
      <c r="B869" t="s">
        <v>1399</v>
      </c>
      <c r="C869">
        <v>171</v>
      </c>
      <c r="D869">
        <v>3.8512538478584499</v>
      </c>
      <c r="E869">
        <v>658.56440798379504</v>
      </c>
      <c r="F869">
        <v>0.95041571046988405</v>
      </c>
      <c r="G869">
        <v>0.96738271697829303</v>
      </c>
      <c r="H869" t="str">
        <f t="shared" si="13"/>
        <v>Q2</v>
      </c>
    </row>
    <row r="870" spans="1:8">
      <c r="A870">
        <v>111593</v>
      </c>
      <c r="B870" t="s">
        <v>4743</v>
      </c>
      <c r="C870">
        <v>546</v>
      </c>
      <c r="D870">
        <v>1.20108028875507</v>
      </c>
      <c r="E870">
        <v>655.78983766026795</v>
      </c>
      <c r="F870">
        <v>0.990594785749219</v>
      </c>
      <c r="G870">
        <v>0.96734509612129005</v>
      </c>
      <c r="H870" t="str">
        <f t="shared" si="13"/>
        <v>Q2</v>
      </c>
    </row>
    <row r="871" spans="1:8">
      <c r="A871">
        <v>765657</v>
      </c>
      <c r="B871" t="s">
        <v>4249</v>
      </c>
      <c r="C871">
        <v>269</v>
      </c>
      <c r="D871">
        <v>2.4370928118386201</v>
      </c>
      <c r="E871">
        <v>655.57796638459001</v>
      </c>
      <c r="F871">
        <v>0.97152101124863599</v>
      </c>
      <c r="G871">
        <v>0.96730747526428695</v>
      </c>
      <c r="H871" t="str">
        <f t="shared" si="13"/>
        <v>Q2</v>
      </c>
    </row>
    <row r="872" spans="1:8">
      <c r="A872">
        <v>748816</v>
      </c>
      <c r="B872" t="s">
        <v>1378</v>
      </c>
      <c r="C872">
        <v>203</v>
      </c>
      <c r="D872">
        <v>3.2288302093964498</v>
      </c>
      <c r="E872">
        <v>655.45253250747896</v>
      </c>
      <c r="F872">
        <v>0.95997140814867798</v>
      </c>
      <c r="G872">
        <v>0.96726985440728297</v>
      </c>
      <c r="H872" t="str">
        <f t="shared" si="13"/>
        <v>Q2</v>
      </c>
    </row>
    <row r="873" spans="1:8">
      <c r="A873">
        <v>704720</v>
      </c>
      <c r="B873" t="s">
        <v>1134</v>
      </c>
      <c r="C873">
        <v>438</v>
      </c>
      <c r="D873">
        <v>1.49527120735649</v>
      </c>
      <c r="E873">
        <v>654.92878882214404</v>
      </c>
      <c r="F873">
        <v>0.98604266205184199</v>
      </c>
      <c r="G873">
        <v>0.96723223355027999</v>
      </c>
      <c r="H873" t="str">
        <f t="shared" si="13"/>
        <v>Q2</v>
      </c>
    </row>
    <row r="874" spans="1:8">
      <c r="A874">
        <v>722681</v>
      </c>
      <c r="B874" t="s">
        <v>4022</v>
      </c>
      <c r="C874">
        <v>179</v>
      </c>
      <c r="D874">
        <v>3.6578733078594299</v>
      </c>
      <c r="E874">
        <v>654.759322106838</v>
      </c>
      <c r="F874">
        <v>0.95308679131710605</v>
      </c>
      <c r="G874">
        <v>0.967194612693277</v>
      </c>
      <c r="H874" t="str">
        <f t="shared" si="13"/>
        <v>Q2</v>
      </c>
    </row>
    <row r="875" spans="1:8">
      <c r="A875">
        <v>803118</v>
      </c>
      <c r="B875" t="s">
        <v>2066</v>
      </c>
      <c r="C875">
        <v>259</v>
      </c>
      <c r="D875">
        <v>2.52800206096419</v>
      </c>
      <c r="E875">
        <v>654.752533789724</v>
      </c>
      <c r="F875">
        <v>0.97027952296753295</v>
      </c>
      <c r="G875">
        <v>0.96715699183627402</v>
      </c>
      <c r="H875" t="str">
        <f t="shared" si="13"/>
        <v>Q2</v>
      </c>
    </row>
    <row r="876" spans="1:8">
      <c r="A876">
        <v>568597</v>
      </c>
      <c r="B876" t="s">
        <v>2053</v>
      </c>
      <c r="C876">
        <v>215</v>
      </c>
      <c r="D876">
        <v>3.0448718767526501</v>
      </c>
      <c r="E876">
        <v>654.64745350182102</v>
      </c>
      <c r="F876">
        <v>0.96275535156690895</v>
      </c>
      <c r="G876">
        <v>0.96711937097927103</v>
      </c>
      <c r="H876" t="str">
        <f t="shared" si="13"/>
        <v>Q2</v>
      </c>
    </row>
    <row r="877" spans="1:8">
      <c r="A877">
        <v>711188</v>
      </c>
      <c r="B877" t="s">
        <v>1726</v>
      </c>
      <c r="C877">
        <v>224</v>
      </c>
      <c r="D877">
        <v>2.9225332338163401</v>
      </c>
      <c r="E877">
        <v>654.64744437485899</v>
      </c>
      <c r="F877">
        <v>0.96437304841804306</v>
      </c>
      <c r="G877">
        <v>0.96708175012226805</v>
      </c>
      <c r="H877" t="str">
        <f t="shared" si="13"/>
        <v>Q2</v>
      </c>
    </row>
    <row r="878" spans="1:8">
      <c r="A878">
        <v>682511</v>
      </c>
      <c r="B878" t="s">
        <v>2708</v>
      </c>
      <c r="C878">
        <v>146</v>
      </c>
      <c r="D878">
        <v>4.4822381917795502</v>
      </c>
      <c r="E878">
        <v>654.40677599981404</v>
      </c>
      <c r="F878">
        <v>0.94127384221812604</v>
      </c>
      <c r="G878">
        <v>0.96704412926526495</v>
      </c>
      <c r="H878" t="str">
        <f t="shared" si="13"/>
        <v>Q4</v>
      </c>
    </row>
    <row r="879" spans="1:8">
      <c r="A879">
        <v>699453</v>
      </c>
      <c r="B879" t="s">
        <v>5180</v>
      </c>
      <c r="C879">
        <v>231</v>
      </c>
      <c r="D879">
        <v>2.8326142613586498</v>
      </c>
      <c r="E879">
        <v>654.33389437384903</v>
      </c>
      <c r="F879">
        <v>0.96576502012715804</v>
      </c>
      <c r="G879">
        <v>0.96700650840826197</v>
      </c>
      <c r="H879" t="str">
        <f t="shared" si="13"/>
        <v>Q2</v>
      </c>
    </row>
    <row r="880" spans="1:8">
      <c r="A880">
        <v>770241</v>
      </c>
      <c r="B880" t="s">
        <v>4539</v>
      </c>
      <c r="C880">
        <v>137</v>
      </c>
      <c r="D880">
        <v>4.7740938597406304</v>
      </c>
      <c r="E880">
        <v>654.05085878446698</v>
      </c>
      <c r="F880">
        <v>0.93687220194875998</v>
      </c>
      <c r="G880">
        <v>0.96696888755125798</v>
      </c>
      <c r="H880" t="str">
        <f t="shared" si="13"/>
        <v>Q4</v>
      </c>
    </row>
    <row r="881" spans="1:8">
      <c r="A881">
        <v>732463</v>
      </c>
      <c r="B881" t="s">
        <v>527</v>
      </c>
      <c r="C881">
        <v>176</v>
      </c>
      <c r="D881">
        <v>3.70974575740878</v>
      </c>
      <c r="E881">
        <v>652.91525330394495</v>
      </c>
      <c r="F881">
        <v>0.95199578646401595</v>
      </c>
      <c r="G881">
        <v>0.966931266694255</v>
      </c>
      <c r="H881" t="str">
        <f t="shared" si="13"/>
        <v>Q2</v>
      </c>
    </row>
    <row r="882" spans="1:8">
      <c r="A882">
        <v>784272</v>
      </c>
      <c r="B882" t="s">
        <v>1817</v>
      </c>
      <c r="C882">
        <v>56</v>
      </c>
      <c r="D882">
        <v>11.6589589377067</v>
      </c>
      <c r="E882">
        <v>652.90170051157497</v>
      </c>
      <c r="F882">
        <v>0.85004326398555397</v>
      </c>
      <c r="G882">
        <v>0.96689364583725201</v>
      </c>
      <c r="H882" t="str">
        <f t="shared" si="13"/>
        <v>Q3</v>
      </c>
    </row>
    <row r="883" spans="1:8">
      <c r="A883">
        <v>717679</v>
      </c>
      <c r="B883" t="s">
        <v>1922</v>
      </c>
      <c r="C883">
        <v>145</v>
      </c>
      <c r="D883">
        <v>4.5000584410696201</v>
      </c>
      <c r="E883">
        <v>652.50847395509504</v>
      </c>
      <c r="F883">
        <v>0.94082239193408801</v>
      </c>
      <c r="G883">
        <v>0.96685602498024903</v>
      </c>
      <c r="H883" t="str">
        <f t="shared" si="13"/>
        <v>Q4</v>
      </c>
    </row>
    <row r="884" spans="1:8">
      <c r="A884">
        <v>799742</v>
      </c>
      <c r="B884" t="s">
        <v>5169</v>
      </c>
      <c r="C884">
        <v>40</v>
      </c>
      <c r="D884">
        <v>16.3107628375292</v>
      </c>
      <c r="E884">
        <v>652.43051350116696</v>
      </c>
      <c r="F884">
        <v>0.804522027011775</v>
      </c>
      <c r="G884">
        <v>0.96681840412324604</v>
      </c>
      <c r="H884" t="str">
        <f t="shared" si="13"/>
        <v>Q3</v>
      </c>
    </row>
    <row r="885" spans="1:8">
      <c r="A885">
        <v>804113</v>
      </c>
      <c r="B885" t="s">
        <v>938</v>
      </c>
      <c r="C885">
        <v>68</v>
      </c>
      <c r="D885">
        <v>9.5893570824581005</v>
      </c>
      <c r="E885">
        <v>652.07628160715103</v>
      </c>
      <c r="F885">
        <v>0.87223956961739602</v>
      </c>
      <c r="G885">
        <v>0.96678078326624295</v>
      </c>
      <c r="H885" t="str">
        <f t="shared" si="13"/>
        <v>Q3</v>
      </c>
    </row>
    <row r="886" spans="1:8">
      <c r="A886">
        <v>737777</v>
      </c>
      <c r="B886" t="s">
        <v>1859</v>
      </c>
      <c r="C886">
        <v>88</v>
      </c>
      <c r="D886">
        <v>7.4016564377498897</v>
      </c>
      <c r="E886">
        <v>651.34576652198996</v>
      </c>
      <c r="F886">
        <v>0.90045521236973802</v>
      </c>
      <c r="G886">
        <v>0.96674316240923996</v>
      </c>
      <c r="H886" t="str">
        <f t="shared" si="13"/>
        <v>Q3</v>
      </c>
    </row>
    <row r="887" spans="1:8">
      <c r="A887">
        <v>798791</v>
      </c>
      <c r="B887" t="s">
        <v>3392</v>
      </c>
      <c r="C887">
        <v>205</v>
      </c>
      <c r="D887">
        <v>3.1736667645050298</v>
      </c>
      <c r="E887">
        <v>650.60168672352995</v>
      </c>
      <c r="F887">
        <v>0.96038523757571204</v>
      </c>
      <c r="G887">
        <v>0.96670554155223698</v>
      </c>
      <c r="H887" t="str">
        <f t="shared" si="13"/>
        <v>Q2</v>
      </c>
    </row>
    <row r="888" spans="1:8">
      <c r="A888">
        <v>713428</v>
      </c>
      <c r="B888" t="s">
        <v>3247</v>
      </c>
      <c r="C888">
        <v>264</v>
      </c>
      <c r="D888">
        <v>2.4635721682429801</v>
      </c>
      <c r="E888">
        <v>650.38305241614603</v>
      </c>
      <c r="F888">
        <v>0.97099431925059299</v>
      </c>
      <c r="G888">
        <v>0.966667920695233</v>
      </c>
      <c r="H888" t="str">
        <f t="shared" si="13"/>
        <v>Q2</v>
      </c>
    </row>
    <row r="889" spans="1:8">
      <c r="A889">
        <v>759814</v>
      </c>
      <c r="B889" t="s">
        <v>4508</v>
      </c>
      <c r="C889">
        <v>208</v>
      </c>
      <c r="D889">
        <v>3.1239895347075999</v>
      </c>
      <c r="E889">
        <v>649.78982321917999</v>
      </c>
      <c r="F889">
        <v>0.96102479214476499</v>
      </c>
      <c r="G889">
        <v>0.96663029983823001</v>
      </c>
      <c r="H889" t="str">
        <f t="shared" si="13"/>
        <v>Q2</v>
      </c>
    </row>
    <row r="890" spans="1:8">
      <c r="A890">
        <v>715126</v>
      </c>
      <c r="B890" t="s">
        <v>3653</v>
      </c>
      <c r="C890">
        <v>201</v>
      </c>
      <c r="D890">
        <v>3.2308625733822698</v>
      </c>
      <c r="E890">
        <v>649.40337724983704</v>
      </c>
      <c r="F890">
        <v>0.95936947443662801</v>
      </c>
      <c r="G890">
        <v>0.96659267898122703</v>
      </c>
      <c r="H890" t="str">
        <f t="shared" si="13"/>
        <v>Q2</v>
      </c>
    </row>
    <row r="891" spans="1:8">
      <c r="A891">
        <v>573626</v>
      </c>
      <c r="B891" t="s">
        <v>1930</v>
      </c>
      <c r="C891">
        <v>206</v>
      </c>
      <c r="D891">
        <v>3.1514151202677501</v>
      </c>
      <c r="E891">
        <v>649.19151477515697</v>
      </c>
      <c r="F891">
        <v>0.96064858357473404</v>
      </c>
      <c r="G891">
        <v>0.96655505812422404</v>
      </c>
      <c r="H891" t="str">
        <f t="shared" si="13"/>
        <v>Q2</v>
      </c>
    </row>
    <row r="892" spans="1:8">
      <c r="A892">
        <v>641187</v>
      </c>
      <c r="B892" t="s">
        <v>1244</v>
      </c>
      <c r="C892">
        <v>176</v>
      </c>
      <c r="D892">
        <v>3.6855162576433602</v>
      </c>
      <c r="E892">
        <v>648.65086134523199</v>
      </c>
      <c r="F892">
        <v>0.95199578646401595</v>
      </c>
      <c r="G892">
        <v>0.96651743726722095</v>
      </c>
      <c r="H892" t="str">
        <f t="shared" si="13"/>
        <v>Q2</v>
      </c>
    </row>
    <row r="893" spans="1:8">
      <c r="A893">
        <v>725338</v>
      </c>
      <c r="B893" t="s">
        <v>1611</v>
      </c>
      <c r="C893">
        <v>101</v>
      </c>
      <c r="D893">
        <v>6.4209766058933599</v>
      </c>
      <c r="E893">
        <v>648.51863719522999</v>
      </c>
      <c r="F893">
        <v>0.91245626575373395</v>
      </c>
      <c r="G893">
        <v>0.96647981641021796</v>
      </c>
      <c r="H893" t="str">
        <f t="shared" si="13"/>
        <v>Q3</v>
      </c>
    </row>
    <row r="894" spans="1:8">
      <c r="A894">
        <v>802559</v>
      </c>
      <c r="B894" t="s">
        <v>1865</v>
      </c>
      <c r="C894">
        <v>161</v>
      </c>
      <c r="D894">
        <v>4.0176966036698802</v>
      </c>
      <c r="E894">
        <v>646.84915319085098</v>
      </c>
      <c r="F894">
        <v>0.94680410819758498</v>
      </c>
      <c r="G894">
        <v>0.96644219555321498</v>
      </c>
      <c r="H894" t="str">
        <f t="shared" si="13"/>
        <v>Q4</v>
      </c>
    </row>
    <row r="895" spans="1:8">
      <c r="A895">
        <v>562498</v>
      </c>
      <c r="B895" t="s">
        <v>2421</v>
      </c>
      <c r="C895">
        <v>306</v>
      </c>
      <c r="D895">
        <v>2.11209704265534</v>
      </c>
      <c r="E895">
        <v>646.301695052534</v>
      </c>
      <c r="F895">
        <v>0.97671268951506696</v>
      </c>
      <c r="G895">
        <v>0.96640457469621199</v>
      </c>
      <c r="H895" t="str">
        <f t="shared" si="13"/>
        <v>Q2</v>
      </c>
    </row>
    <row r="896" spans="1:8">
      <c r="A896">
        <v>710766</v>
      </c>
      <c r="B896" t="e" cm="1">
        <f t="array" ref="B896">+ Rolls Royce Swimsuite</f>
        <v>#NAME?</v>
      </c>
      <c r="C896">
        <v>104</v>
      </c>
      <c r="D896">
        <v>6.2116524688183103</v>
      </c>
      <c r="E896">
        <v>646.01185675710406</v>
      </c>
      <c r="F896">
        <v>0.91524020917196502</v>
      </c>
      <c r="G896">
        <v>0.96636695383920801</v>
      </c>
      <c r="H896" t="str">
        <f t="shared" si="13"/>
        <v>Q3</v>
      </c>
    </row>
    <row r="897" spans="1:8">
      <c r="A897">
        <v>811683</v>
      </c>
      <c r="B897" t="s">
        <v>761</v>
      </c>
      <c r="C897">
        <v>89</v>
      </c>
      <c r="D897">
        <v>7.25164732194684</v>
      </c>
      <c r="E897">
        <v>645.396611653268</v>
      </c>
      <c r="F897">
        <v>0.90135811293781298</v>
      </c>
      <c r="G897">
        <v>0.96632933298220502</v>
      </c>
      <c r="H897" t="str">
        <f t="shared" si="13"/>
        <v>Q3</v>
      </c>
    </row>
    <row r="898" spans="1:8">
      <c r="A898">
        <v>649437</v>
      </c>
      <c r="B898" t="s">
        <v>3544</v>
      </c>
      <c r="C898">
        <v>237</v>
      </c>
      <c r="D898">
        <v>2.72095394183249</v>
      </c>
      <c r="E898">
        <v>644.86608421430003</v>
      </c>
      <c r="F898">
        <v>0.96678078326624295</v>
      </c>
      <c r="G898">
        <v>0.96629171212520204</v>
      </c>
      <c r="H898" t="str">
        <f t="shared" si="13"/>
        <v>Q2</v>
      </c>
    </row>
    <row r="899" spans="1:8">
      <c r="A899">
        <v>619884</v>
      </c>
      <c r="B899" t="s">
        <v>5128</v>
      </c>
      <c r="C899">
        <v>196</v>
      </c>
      <c r="D899">
        <v>3.2896662133327701</v>
      </c>
      <c r="E899">
        <v>644.774577813223</v>
      </c>
      <c r="F899">
        <v>0.95790226101350595</v>
      </c>
      <c r="G899">
        <v>0.96625409126819894</v>
      </c>
      <c r="H899" t="str">
        <f t="shared" ref="H899:H962" si="14">IF(C899&gt;$J$2,
   IF(D899&gt;$J$3,"Q1","Q2"),
   IF(D899&gt;$J$3,"Q3","Q4"))</f>
        <v>Q2</v>
      </c>
    </row>
    <row r="900" spans="1:8">
      <c r="A900">
        <v>631536</v>
      </c>
      <c r="B900" t="s">
        <v>479</v>
      </c>
      <c r="C900">
        <v>452</v>
      </c>
      <c r="D900">
        <v>1.4261623918680499</v>
      </c>
      <c r="E900">
        <v>644.62540112435795</v>
      </c>
      <c r="F900">
        <v>0.98679507919190401</v>
      </c>
      <c r="G900">
        <v>0.96621647041119596</v>
      </c>
      <c r="H900" t="str">
        <f t="shared" si="14"/>
        <v>Q2</v>
      </c>
    </row>
    <row r="901" spans="1:8">
      <c r="A901">
        <v>759231</v>
      </c>
      <c r="B901" t="s">
        <v>259</v>
      </c>
      <c r="C901">
        <v>116</v>
      </c>
      <c r="D901">
        <v>5.5534630259177797</v>
      </c>
      <c r="E901">
        <v>644.20171100646303</v>
      </c>
      <c r="F901">
        <v>0.924720665136752</v>
      </c>
      <c r="G901">
        <v>0.96617884955419298</v>
      </c>
      <c r="H901" t="str">
        <f t="shared" si="14"/>
        <v>Q3</v>
      </c>
    </row>
    <row r="902" spans="1:8">
      <c r="A902">
        <v>779546</v>
      </c>
      <c r="B902" t="s">
        <v>3723</v>
      </c>
      <c r="C902">
        <v>278</v>
      </c>
      <c r="D902">
        <v>2.31487013855212</v>
      </c>
      <c r="E902">
        <v>643.53389851748898</v>
      </c>
      <c r="F902">
        <v>0.97306346638576402</v>
      </c>
      <c r="G902">
        <v>0.96614122869718999</v>
      </c>
      <c r="H902" t="str">
        <f t="shared" si="14"/>
        <v>Q2</v>
      </c>
    </row>
    <row r="903" spans="1:8">
      <c r="A903">
        <v>735927</v>
      </c>
      <c r="B903" t="s">
        <v>1011</v>
      </c>
      <c r="C903">
        <v>81</v>
      </c>
      <c r="D903">
        <v>7.9428123379195199</v>
      </c>
      <c r="E903">
        <v>643.36779937148106</v>
      </c>
      <c r="F903">
        <v>0.89293104096911302</v>
      </c>
      <c r="G903">
        <v>0.96610360784018701</v>
      </c>
      <c r="H903" t="str">
        <f t="shared" si="14"/>
        <v>Q3</v>
      </c>
    </row>
    <row r="904" spans="1:8">
      <c r="A904">
        <v>559633</v>
      </c>
      <c r="B904" t="s">
        <v>2298</v>
      </c>
      <c r="C904">
        <v>163</v>
      </c>
      <c r="D904">
        <v>3.9406675822530102</v>
      </c>
      <c r="E904">
        <v>642.32881590724003</v>
      </c>
      <c r="F904">
        <v>0.94751890448064402</v>
      </c>
      <c r="G904">
        <v>0.96606598698318302</v>
      </c>
      <c r="H904" t="str">
        <f t="shared" si="14"/>
        <v>Q4</v>
      </c>
    </row>
    <row r="905" spans="1:8">
      <c r="A905">
        <v>533406</v>
      </c>
      <c r="B905" t="s">
        <v>1806</v>
      </c>
      <c r="C905">
        <v>134</v>
      </c>
      <c r="D905">
        <v>4.7912725344745102</v>
      </c>
      <c r="E905">
        <v>642.03051961958397</v>
      </c>
      <c r="F905">
        <v>0.93551785109664798</v>
      </c>
      <c r="G905">
        <v>0.96602836612618004</v>
      </c>
      <c r="H905" t="str">
        <f t="shared" si="14"/>
        <v>Q4</v>
      </c>
    </row>
    <row r="906" spans="1:8">
      <c r="A906">
        <v>824497</v>
      </c>
      <c r="B906" t="s">
        <v>3545</v>
      </c>
      <c r="C906">
        <v>295</v>
      </c>
      <c r="D906">
        <v>2.17613324743964</v>
      </c>
      <c r="E906">
        <v>641.95930799469397</v>
      </c>
      <c r="F906">
        <v>0.97550882209096701</v>
      </c>
      <c r="G906">
        <v>0.96599074526917705</v>
      </c>
      <c r="H906" t="str">
        <f t="shared" si="14"/>
        <v>Q2</v>
      </c>
    </row>
    <row r="907" spans="1:8">
      <c r="A907">
        <v>704756</v>
      </c>
      <c r="B907" t="s">
        <v>1829</v>
      </c>
      <c r="C907">
        <v>202</v>
      </c>
      <c r="D907">
        <v>3.1766319287811799</v>
      </c>
      <c r="E907">
        <v>641.67964961379801</v>
      </c>
      <c r="F907">
        <v>0.95951995786463995</v>
      </c>
      <c r="G907">
        <v>0.96595312441217396</v>
      </c>
      <c r="H907" t="str">
        <f t="shared" si="14"/>
        <v>Q2</v>
      </c>
    </row>
    <row r="908" spans="1:8">
      <c r="A908">
        <v>835247</v>
      </c>
      <c r="B908" t="s">
        <v>4739</v>
      </c>
      <c r="C908">
        <v>152</v>
      </c>
      <c r="D908">
        <v>4.2189005872626799</v>
      </c>
      <c r="E908">
        <v>641.27288926392805</v>
      </c>
      <c r="F908">
        <v>0.94371919792332903</v>
      </c>
      <c r="G908">
        <v>0.96591550355517097</v>
      </c>
      <c r="H908" t="str">
        <f t="shared" si="14"/>
        <v>Q4</v>
      </c>
    </row>
    <row r="909" spans="1:8">
      <c r="A909">
        <v>763077</v>
      </c>
      <c r="B909" t="s">
        <v>1155</v>
      </c>
      <c r="C909">
        <v>158</v>
      </c>
      <c r="D909">
        <v>4.0582600668591402</v>
      </c>
      <c r="E909">
        <v>641.20509056374397</v>
      </c>
      <c r="F909">
        <v>0.94563786163048802</v>
      </c>
      <c r="G909">
        <v>0.96587788269816799</v>
      </c>
      <c r="H909" t="str">
        <f t="shared" si="14"/>
        <v>Q4</v>
      </c>
    </row>
    <row r="910" spans="1:8">
      <c r="A910">
        <v>772761</v>
      </c>
      <c r="B910" t="s">
        <v>3107</v>
      </c>
      <c r="C910">
        <v>89</v>
      </c>
      <c r="D910">
        <v>7.2031041167760197</v>
      </c>
      <c r="E910">
        <v>641.076266393065</v>
      </c>
      <c r="F910">
        <v>0.90135811293781298</v>
      </c>
      <c r="G910">
        <v>0.965840261841165</v>
      </c>
      <c r="H910" t="str">
        <f t="shared" si="14"/>
        <v>Q3</v>
      </c>
    </row>
    <row r="911" spans="1:8">
      <c r="A911">
        <v>689038</v>
      </c>
      <c r="B911" t="s">
        <v>3792</v>
      </c>
      <c r="C911">
        <v>223</v>
      </c>
      <c r="D911">
        <v>2.8649616069807702</v>
      </c>
      <c r="E911">
        <v>638.88643835671201</v>
      </c>
      <c r="F911">
        <v>0.96410970241902105</v>
      </c>
      <c r="G911">
        <v>0.96580264098416202</v>
      </c>
      <c r="H911" t="str">
        <f t="shared" si="14"/>
        <v>Q2</v>
      </c>
    </row>
    <row r="912" spans="1:8">
      <c r="A912">
        <v>820428</v>
      </c>
      <c r="B912" t="s">
        <v>2650</v>
      </c>
      <c r="C912">
        <v>259</v>
      </c>
      <c r="D912">
        <v>2.4661998320227099</v>
      </c>
      <c r="E912">
        <v>638.745756493881</v>
      </c>
      <c r="F912">
        <v>0.97027952296753295</v>
      </c>
      <c r="G912">
        <v>0.96576502012715804</v>
      </c>
      <c r="H912" t="str">
        <f t="shared" si="14"/>
        <v>Q2</v>
      </c>
    </row>
    <row r="913" spans="1:8">
      <c r="A913">
        <v>684908</v>
      </c>
      <c r="B913" t="s">
        <v>2832</v>
      </c>
      <c r="C913">
        <v>162</v>
      </c>
      <c r="D913">
        <v>3.9326951373368502</v>
      </c>
      <c r="E913">
        <v>637.09661224856995</v>
      </c>
      <c r="F913">
        <v>0.94714269591061295</v>
      </c>
      <c r="G913">
        <v>0.96572739927015505</v>
      </c>
      <c r="H913" t="str">
        <f t="shared" si="14"/>
        <v>Q4</v>
      </c>
    </row>
    <row r="914" spans="1:8">
      <c r="A914">
        <v>746329</v>
      </c>
      <c r="B914" t="s">
        <v>289</v>
      </c>
      <c r="C914">
        <v>164</v>
      </c>
      <c r="D914">
        <v>3.8794750166012002</v>
      </c>
      <c r="E914">
        <v>636.23390272259701</v>
      </c>
      <c r="F914">
        <v>0.94823370076370295</v>
      </c>
      <c r="G914">
        <v>0.96568977841315196</v>
      </c>
      <c r="H914" t="str">
        <f t="shared" si="14"/>
        <v>Q4</v>
      </c>
    </row>
    <row r="915" spans="1:8">
      <c r="A915">
        <v>718747</v>
      </c>
      <c r="B915" t="s">
        <v>555</v>
      </c>
      <c r="C915">
        <v>159</v>
      </c>
      <c r="D915">
        <v>3.9978893624571801</v>
      </c>
      <c r="E915">
        <v>635.66440863069101</v>
      </c>
      <c r="F915">
        <v>0.94597644934351599</v>
      </c>
      <c r="G915">
        <v>0.96565215755614897</v>
      </c>
      <c r="H915" t="str">
        <f t="shared" si="14"/>
        <v>Q4</v>
      </c>
    </row>
    <row r="916" spans="1:8">
      <c r="A916">
        <v>553611</v>
      </c>
      <c r="B916" t="s">
        <v>4038</v>
      </c>
      <c r="C916">
        <v>202</v>
      </c>
      <c r="D916">
        <v>3.1408708966752101</v>
      </c>
      <c r="E916">
        <v>634.45592112839199</v>
      </c>
      <c r="F916">
        <v>0.95951995786463995</v>
      </c>
      <c r="G916">
        <v>0.96561453669914599</v>
      </c>
      <c r="H916" t="str">
        <f t="shared" si="14"/>
        <v>Q2</v>
      </c>
    </row>
    <row r="917" spans="1:8">
      <c r="A917">
        <v>693917</v>
      </c>
      <c r="B917" t="s">
        <v>513</v>
      </c>
      <c r="C917">
        <v>213</v>
      </c>
      <c r="D917">
        <v>2.9779103400946498</v>
      </c>
      <c r="E917">
        <v>634.29490244016097</v>
      </c>
      <c r="F917">
        <v>0.96230390128287102</v>
      </c>
      <c r="G917">
        <v>0.965576915842143</v>
      </c>
      <c r="H917" t="str">
        <f t="shared" si="14"/>
        <v>Q2</v>
      </c>
    </row>
    <row r="918" spans="1:8">
      <c r="A918">
        <v>478992</v>
      </c>
      <c r="B918" t="s">
        <v>2393</v>
      </c>
      <c r="C918">
        <v>181</v>
      </c>
      <c r="D918">
        <v>3.5016949108456998</v>
      </c>
      <c r="E918">
        <v>633.80677886307205</v>
      </c>
      <c r="F918">
        <v>0.95387682931417195</v>
      </c>
      <c r="G918">
        <v>0.96553929498514002</v>
      </c>
      <c r="H918" t="str">
        <f t="shared" si="14"/>
        <v>Q2</v>
      </c>
    </row>
    <row r="919" spans="1:8">
      <c r="A919">
        <v>710877</v>
      </c>
      <c r="B919" t="s">
        <v>2068</v>
      </c>
      <c r="C919">
        <v>158</v>
      </c>
      <c r="D919">
        <v>4.0105449572158403</v>
      </c>
      <c r="E919">
        <v>633.66610324010298</v>
      </c>
      <c r="F919">
        <v>0.94563786163048802</v>
      </c>
      <c r="G919">
        <v>0.96550167412813703</v>
      </c>
      <c r="H919" t="str">
        <f t="shared" si="14"/>
        <v>Q4</v>
      </c>
    </row>
    <row r="920" spans="1:8">
      <c r="A920">
        <v>742956</v>
      </c>
      <c r="B920" t="s">
        <v>5002</v>
      </c>
      <c r="C920">
        <v>162</v>
      </c>
      <c r="D920">
        <v>3.9085792090145901</v>
      </c>
      <c r="E920">
        <v>633.18983186036303</v>
      </c>
      <c r="F920">
        <v>0.94714269591061295</v>
      </c>
      <c r="G920">
        <v>0.96546405327113305</v>
      </c>
      <c r="H920" t="str">
        <f t="shared" si="14"/>
        <v>Q4</v>
      </c>
    </row>
    <row r="921" spans="1:8">
      <c r="A921">
        <v>770857</v>
      </c>
      <c r="B921" t="s">
        <v>253</v>
      </c>
      <c r="C921">
        <v>96</v>
      </c>
      <c r="D921">
        <v>6.5623410375943996</v>
      </c>
      <c r="E921">
        <v>629.98473960906301</v>
      </c>
      <c r="F921">
        <v>0.90812986719837496</v>
      </c>
      <c r="G921">
        <v>0.96542643241412995</v>
      </c>
      <c r="H921" t="str">
        <f t="shared" si="14"/>
        <v>Q3</v>
      </c>
    </row>
    <row r="922" spans="1:8">
      <c r="A922">
        <v>748588</v>
      </c>
      <c r="B922" t="s">
        <v>238</v>
      </c>
      <c r="C922">
        <v>100</v>
      </c>
      <c r="D922">
        <v>6.2909829951822802</v>
      </c>
      <c r="E922">
        <v>629.09829951822803</v>
      </c>
      <c r="F922">
        <v>0.91155336518565899</v>
      </c>
      <c r="G922">
        <v>0.96538881155712697</v>
      </c>
      <c r="H922" t="str">
        <f t="shared" si="14"/>
        <v>Q3</v>
      </c>
    </row>
    <row r="923" spans="1:8">
      <c r="A923">
        <v>767893</v>
      </c>
      <c r="B923" t="s">
        <v>3369</v>
      </c>
      <c r="C923">
        <v>393</v>
      </c>
      <c r="D923">
        <v>1.6002500793510299</v>
      </c>
      <c r="E923">
        <v>628.89828118495598</v>
      </c>
      <c r="F923">
        <v>0.98322109777660704</v>
      </c>
      <c r="G923">
        <v>0.96535119070012398</v>
      </c>
      <c r="H923" t="str">
        <f t="shared" si="14"/>
        <v>Q2</v>
      </c>
    </row>
    <row r="924" spans="1:8">
      <c r="A924">
        <v>787049</v>
      </c>
      <c r="B924" t="s">
        <v>4306</v>
      </c>
      <c r="C924">
        <v>67</v>
      </c>
      <c r="D924">
        <v>9.3802935429918204</v>
      </c>
      <c r="E924">
        <v>628.47966738045204</v>
      </c>
      <c r="F924">
        <v>0.87118618562130801</v>
      </c>
      <c r="G924">
        <v>0.965313569843121</v>
      </c>
      <c r="H924" t="str">
        <f t="shared" si="14"/>
        <v>Q3</v>
      </c>
    </row>
    <row r="925" spans="1:8">
      <c r="A925">
        <v>684212</v>
      </c>
      <c r="B925" t="s">
        <v>4884</v>
      </c>
      <c r="C925">
        <v>247</v>
      </c>
      <c r="D925">
        <v>2.5444246083875099</v>
      </c>
      <c r="E925">
        <v>628.47287827171397</v>
      </c>
      <c r="F925">
        <v>0.96828561754636799</v>
      </c>
      <c r="G925">
        <v>0.96527594898611802</v>
      </c>
      <c r="H925" t="str">
        <f t="shared" si="14"/>
        <v>Q2</v>
      </c>
    </row>
    <row r="926" spans="1:8">
      <c r="A926">
        <v>587229</v>
      </c>
      <c r="B926" t="s">
        <v>2665</v>
      </c>
      <c r="C926">
        <v>275</v>
      </c>
      <c r="D926">
        <v>2.2852018494159001</v>
      </c>
      <c r="E926">
        <v>628.43050858937204</v>
      </c>
      <c r="F926">
        <v>0.97264963695872997</v>
      </c>
      <c r="G926">
        <v>0.96523832812911503</v>
      </c>
      <c r="H926" t="str">
        <f t="shared" si="14"/>
        <v>Q2</v>
      </c>
    </row>
    <row r="927" spans="1:8">
      <c r="A927">
        <v>506098</v>
      </c>
      <c r="B927" t="s">
        <v>2774</v>
      </c>
      <c r="C927">
        <v>217</v>
      </c>
      <c r="D927">
        <v>2.89561821036212</v>
      </c>
      <c r="E927">
        <v>628.34915164858103</v>
      </c>
      <c r="F927">
        <v>0.96320680185094598</v>
      </c>
      <c r="G927">
        <v>0.96520070727211205</v>
      </c>
      <c r="H927" t="str">
        <f t="shared" si="14"/>
        <v>Q2</v>
      </c>
    </row>
    <row r="928" spans="1:8">
      <c r="A928">
        <v>682068</v>
      </c>
      <c r="B928" t="s">
        <v>3315</v>
      </c>
      <c r="C928">
        <v>154</v>
      </c>
      <c r="D928">
        <v>4.0787035091356802</v>
      </c>
      <c r="E928">
        <v>628.12034040689502</v>
      </c>
      <c r="F928">
        <v>0.94424588992137204</v>
      </c>
      <c r="G928">
        <v>0.96516308641510895</v>
      </c>
      <c r="H928" t="str">
        <f t="shared" si="14"/>
        <v>Q4</v>
      </c>
    </row>
    <row r="929" spans="1:8">
      <c r="A929">
        <v>819915</v>
      </c>
      <c r="B929" t="s">
        <v>1277</v>
      </c>
      <c r="C929">
        <v>39</v>
      </c>
      <c r="D929">
        <v>16.095219648037201</v>
      </c>
      <c r="E929">
        <v>627.71356627345097</v>
      </c>
      <c r="F929">
        <v>0.80087280388247195</v>
      </c>
      <c r="G929">
        <v>0.96512546555810497</v>
      </c>
      <c r="H929" t="str">
        <f t="shared" si="14"/>
        <v>Q3</v>
      </c>
    </row>
    <row r="930" spans="1:8">
      <c r="A930">
        <v>776885</v>
      </c>
      <c r="B930" t="s">
        <v>2241</v>
      </c>
      <c r="C930">
        <v>284</v>
      </c>
      <c r="D930">
        <v>2.2086953354054999</v>
      </c>
      <c r="E930">
        <v>627.26947525516198</v>
      </c>
      <c r="F930">
        <v>0.97389112523983301</v>
      </c>
      <c r="G930">
        <v>0.96508784470110198</v>
      </c>
      <c r="H930" t="str">
        <f t="shared" si="14"/>
        <v>Q2</v>
      </c>
    </row>
    <row r="931" spans="1:8">
      <c r="A931">
        <v>734236</v>
      </c>
      <c r="B931" t="s">
        <v>505</v>
      </c>
      <c r="C931">
        <v>254</v>
      </c>
      <c r="D931">
        <v>2.46638863010141</v>
      </c>
      <c r="E931">
        <v>626.46271204575896</v>
      </c>
      <c r="F931">
        <v>0.96967758925548297</v>
      </c>
      <c r="G931">
        <v>0.965050223844099</v>
      </c>
      <c r="H931" t="str">
        <f t="shared" si="14"/>
        <v>Q2</v>
      </c>
    </row>
    <row r="932" spans="1:8">
      <c r="A932">
        <v>723341</v>
      </c>
      <c r="B932" t="s">
        <v>375</v>
      </c>
      <c r="C932">
        <v>148</v>
      </c>
      <c r="D932">
        <v>4.23112694438346</v>
      </c>
      <c r="E932">
        <v>626.20678776875104</v>
      </c>
      <c r="F932">
        <v>0.94236484707121604</v>
      </c>
      <c r="G932">
        <v>0.96501260298709601</v>
      </c>
      <c r="H932" t="str">
        <f t="shared" si="14"/>
        <v>Q4</v>
      </c>
    </row>
    <row r="933" spans="1:8">
      <c r="A933">
        <v>749615</v>
      </c>
      <c r="B933" t="s">
        <v>2711</v>
      </c>
      <c r="C933">
        <v>143</v>
      </c>
      <c r="D933">
        <v>4.3784639765540998</v>
      </c>
      <c r="E933">
        <v>626.12034864723705</v>
      </c>
      <c r="F933">
        <v>0.940032353937023</v>
      </c>
      <c r="G933">
        <v>0.96497498213009303</v>
      </c>
      <c r="H933" t="str">
        <f t="shared" si="14"/>
        <v>Q4</v>
      </c>
    </row>
    <row r="934" spans="1:8">
      <c r="A934">
        <v>770825</v>
      </c>
      <c r="B934" t="s">
        <v>339</v>
      </c>
      <c r="C934">
        <v>97</v>
      </c>
      <c r="D934">
        <v>6.4545867004498998</v>
      </c>
      <c r="E934">
        <v>626.09490994364</v>
      </c>
      <c r="F934">
        <v>0.909108009480456</v>
      </c>
      <c r="G934">
        <v>0.96493736127309004</v>
      </c>
      <c r="H934" t="str">
        <f t="shared" si="14"/>
        <v>Q3</v>
      </c>
    </row>
    <row r="935" spans="1:8">
      <c r="A935">
        <v>696527</v>
      </c>
      <c r="B935" t="s">
        <v>4807</v>
      </c>
      <c r="C935">
        <v>256</v>
      </c>
      <c r="D935">
        <v>2.4453918967992601</v>
      </c>
      <c r="E935">
        <v>626.02032558061205</v>
      </c>
      <c r="F935">
        <v>0.96994093525450498</v>
      </c>
      <c r="G935">
        <v>0.96489974041608695</v>
      </c>
      <c r="H935" t="str">
        <f t="shared" si="14"/>
        <v>Q2</v>
      </c>
    </row>
    <row r="936" spans="1:8">
      <c r="A936">
        <v>740930</v>
      </c>
      <c r="B936" t="s">
        <v>1091</v>
      </c>
      <c r="C936">
        <v>157</v>
      </c>
      <c r="D936">
        <v>3.9856202176706801</v>
      </c>
      <c r="E936">
        <v>625.74237417429697</v>
      </c>
      <c r="F936">
        <v>0.94518641134644998</v>
      </c>
      <c r="G936">
        <v>0.96486211955908396</v>
      </c>
      <c r="H936" t="str">
        <f t="shared" si="14"/>
        <v>Q4</v>
      </c>
    </row>
    <row r="937" spans="1:8">
      <c r="A937">
        <v>784175</v>
      </c>
      <c r="B937" t="s">
        <v>705</v>
      </c>
      <c r="C937">
        <v>100</v>
      </c>
      <c r="D937">
        <v>6.2516948413103801</v>
      </c>
      <c r="E937">
        <v>625.16948413103796</v>
      </c>
      <c r="F937">
        <v>0.91155336518565899</v>
      </c>
      <c r="G937">
        <v>0.96482449870207998</v>
      </c>
      <c r="H937" t="str">
        <f t="shared" si="14"/>
        <v>Q3</v>
      </c>
    </row>
    <row r="938" spans="1:8">
      <c r="A938">
        <v>630994</v>
      </c>
      <c r="B938" t="s">
        <v>4430</v>
      </c>
      <c r="C938">
        <v>161</v>
      </c>
      <c r="D938">
        <v>3.8805242656782202</v>
      </c>
      <c r="E938">
        <v>624.76440677419305</v>
      </c>
      <c r="F938">
        <v>0.94680410819758498</v>
      </c>
      <c r="G938">
        <v>0.964786877845077</v>
      </c>
      <c r="H938" t="str">
        <f t="shared" si="14"/>
        <v>Q4</v>
      </c>
    </row>
    <row r="939" spans="1:8">
      <c r="A939">
        <v>723469</v>
      </c>
      <c r="B939" t="s">
        <v>2508</v>
      </c>
      <c r="C939">
        <v>256</v>
      </c>
      <c r="D939">
        <v>2.4403535542660402</v>
      </c>
      <c r="E939">
        <v>624.73050989210606</v>
      </c>
      <c r="F939">
        <v>0.96994093525450498</v>
      </c>
      <c r="G939">
        <v>0.96474925698807401</v>
      </c>
      <c r="H939" t="str">
        <f t="shared" si="14"/>
        <v>Q2</v>
      </c>
    </row>
    <row r="940" spans="1:8">
      <c r="A940">
        <v>762762</v>
      </c>
      <c r="B940" t="s">
        <v>3221</v>
      </c>
      <c r="C940">
        <v>392</v>
      </c>
      <c r="D940">
        <v>1.5922820182488699</v>
      </c>
      <c r="E940">
        <v>624.17455115355597</v>
      </c>
      <c r="F940">
        <v>0.98318347691960395</v>
      </c>
      <c r="G940">
        <v>0.96471163613107103</v>
      </c>
      <c r="H940" t="str">
        <f t="shared" si="14"/>
        <v>Q2</v>
      </c>
    </row>
    <row r="941" spans="1:8">
      <c r="A941">
        <v>805406</v>
      </c>
      <c r="B941" t="s">
        <v>3200</v>
      </c>
      <c r="C941">
        <v>155</v>
      </c>
      <c r="D941">
        <v>4.0262438543140897</v>
      </c>
      <c r="E941">
        <v>624.06779741868399</v>
      </c>
      <c r="F941">
        <v>0.94454685677739703</v>
      </c>
      <c r="G941">
        <v>0.96467401527406804</v>
      </c>
      <c r="H941" t="str">
        <f t="shared" si="14"/>
        <v>Q4</v>
      </c>
    </row>
    <row r="942" spans="1:8">
      <c r="A942">
        <v>803757</v>
      </c>
      <c r="B942" t="s">
        <v>700</v>
      </c>
      <c r="C942">
        <v>390</v>
      </c>
      <c r="D942">
        <v>1.59993474634412</v>
      </c>
      <c r="E942">
        <v>623.97455107420706</v>
      </c>
      <c r="F942">
        <v>0.983070614348595</v>
      </c>
      <c r="G942">
        <v>0.96463639441706495</v>
      </c>
      <c r="H942" t="str">
        <f t="shared" si="14"/>
        <v>Q2</v>
      </c>
    </row>
    <row r="943" spans="1:8">
      <c r="A943">
        <v>710108</v>
      </c>
      <c r="B943" t="s">
        <v>1027</v>
      </c>
      <c r="C943">
        <v>110</v>
      </c>
      <c r="D943">
        <v>5.6713096695867504</v>
      </c>
      <c r="E943">
        <v>623.84406365454197</v>
      </c>
      <c r="F943">
        <v>0.92001805801136105</v>
      </c>
      <c r="G943">
        <v>0.96459877356006196</v>
      </c>
      <c r="H943" t="str">
        <f t="shared" si="14"/>
        <v>Q3</v>
      </c>
    </row>
    <row r="944" spans="1:8">
      <c r="A944">
        <v>728473</v>
      </c>
      <c r="B944" t="s">
        <v>2674</v>
      </c>
      <c r="C944">
        <v>270</v>
      </c>
      <c r="D944">
        <v>2.3100564911685599</v>
      </c>
      <c r="E944">
        <v>623.71525261551096</v>
      </c>
      <c r="F944">
        <v>0.97170911553365202</v>
      </c>
      <c r="G944">
        <v>0.96456115270305898</v>
      </c>
      <c r="H944" t="str">
        <f t="shared" si="14"/>
        <v>Q2</v>
      </c>
    </row>
    <row r="945" spans="1:8">
      <c r="A945">
        <v>771733</v>
      </c>
      <c r="B945" t="s">
        <v>992</v>
      </c>
      <c r="C945">
        <v>401</v>
      </c>
      <c r="D945">
        <v>1.55421186777347</v>
      </c>
      <c r="E945">
        <v>623.23895897716295</v>
      </c>
      <c r="F945">
        <v>0.98363492720364198</v>
      </c>
      <c r="G945">
        <v>0.96452353184605499</v>
      </c>
      <c r="H945" t="str">
        <f t="shared" si="14"/>
        <v>Q2</v>
      </c>
    </row>
    <row r="946" spans="1:8">
      <c r="A946">
        <v>687601</v>
      </c>
      <c r="B946" t="s">
        <v>3930</v>
      </c>
      <c r="C946">
        <v>280</v>
      </c>
      <c r="D946">
        <v>2.2251755484779001</v>
      </c>
      <c r="E946">
        <v>623.04915357381105</v>
      </c>
      <c r="F946">
        <v>0.97328919152778304</v>
      </c>
      <c r="G946">
        <v>0.96448591098905201</v>
      </c>
      <c r="H946" t="str">
        <f t="shared" si="14"/>
        <v>Q2</v>
      </c>
    </row>
    <row r="947" spans="1:8">
      <c r="A947">
        <v>772864</v>
      </c>
      <c r="B947" t="s">
        <v>2873</v>
      </c>
      <c r="C947">
        <v>96</v>
      </c>
      <c r="D947">
        <v>6.4870232444567</v>
      </c>
      <c r="E947">
        <v>622.75423146784306</v>
      </c>
      <c r="F947">
        <v>0.90812986719837496</v>
      </c>
      <c r="G947">
        <v>0.96444829013204902</v>
      </c>
      <c r="H947" t="str">
        <f t="shared" si="14"/>
        <v>Q3</v>
      </c>
    </row>
    <row r="948" spans="1:8">
      <c r="A948">
        <v>111586</v>
      </c>
      <c r="B948" t="s">
        <v>4356</v>
      </c>
      <c r="C948">
        <v>523</v>
      </c>
      <c r="D948">
        <v>1.1905694127761299</v>
      </c>
      <c r="E948">
        <v>622.66780288191501</v>
      </c>
      <c r="F948">
        <v>0.98972950603814802</v>
      </c>
      <c r="G948">
        <v>0.96441066927504604</v>
      </c>
      <c r="H948" t="str">
        <f t="shared" si="14"/>
        <v>Q2</v>
      </c>
    </row>
    <row r="949" spans="1:8">
      <c r="A949">
        <v>659832</v>
      </c>
      <c r="B949" t="s">
        <v>2706</v>
      </c>
      <c r="C949">
        <v>491</v>
      </c>
      <c r="D949">
        <v>1.2674064922742601</v>
      </c>
      <c r="E949">
        <v>622.29658770666003</v>
      </c>
      <c r="F949">
        <v>0.98826229261502596</v>
      </c>
      <c r="G949">
        <v>0.96437304841804306</v>
      </c>
      <c r="H949" t="str">
        <f t="shared" si="14"/>
        <v>Q2</v>
      </c>
    </row>
    <row r="950" spans="1:8">
      <c r="A950">
        <v>713533</v>
      </c>
      <c r="B950" t="s">
        <v>354</v>
      </c>
      <c r="C950">
        <v>230</v>
      </c>
      <c r="D950">
        <v>2.7045320338852998</v>
      </c>
      <c r="E950">
        <v>622.04236779361997</v>
      </c>
      <c r="F950">
        <v>0.96538881155712697</v>
      </c>
      <c r="G950">
        <v>0.96433542756103996</v>
      </c>
      <c r="H950" t="str">
        <f t="shared" si="14"/>
        <v>Q2</v>
      </c>
    </row>
    <row r="951" spans="1:8">
      <c r="A951">
        <v>752857</v>
      </c>
      <c r="B951" t="s">
        <v>3672</v>
      </c>
      <c r="C951">
        <v>110</v>
      </c>
      <c r="D951">
        <v>5.65036993135105</v>
      </c>
      <c r="E951">
        <v>621.54069244861603</v>
      </c>
      <c r="F951">
        <v>0.92001805801136105</v>
      </c>
      <c r="G951">
        <v>0.96429780670403697</v>
      </c>
      <c r="H951" t="str">
        <f t="shared" si="14"/>
        <v>Q3</v>
      </c>
    </row>
    <row r="952" spans="1:8">
      <c r="A952">
        <v>709300</v>
      </c>
      <c r="B952" t="s">
        <v>708</v>
      </c>
      <c r="C952">
        <v>378</v>
      </c>
      <c r="D952">
        <v>1.6442605317693499</v>
      </c>
      <c r="E952">
        <v>621.53048100881301</v>
      </c>
      <c r="F952">
        <v>0.98239343892253905</v>
      </c>
      <c r="G952">
        <v>0.96426018584703399</v>
      </c>
      <c r="H952" t="str">
        <f t="shared" si="14"/>
        <v>Q2</v>
      </c>
    </row>
    <row r="953" spans="1:8">
      <c r="A953">
        <v>812484</v>
      </c>
      <c r="B953" t="s">
        <v>3590</v>
      </c>
      <c r="C953">
        <v>96</v>
      </c>
      <c r="D953">
        <v>6.4709921677907296</v>
      </c>
      <c r="E953">
        <v>621.21524810791004</v>
      </c>
      <c r="F953">
        <v>0.90812986719837496</v>
      </c>
      <c r="G953">
        <v>0.96422256499003001</v>
      </c>
      <c r="H953" t="str">
        <f t="shared" si="14"/>
        <v>Q3</v>
      </c>
    </row>
    <row r="954" spans="1:8">
      <c r="A954">
        <v>764563</v>
      </c>
      <c r="B954" t="s">
        <v>195</v>
      </c>
      <c r="C954">
        <v>68</v>
      </c>
      <c r="D954">
        <v>9.1252243831096305</v>
      </c>
      <c r="E954">
        <v>620.51525805145502</v>
      </c>
      <c r="F954">
        <v>0.87223956961739602</v>
      </c>
      <c r="G954">
        <v>0.96418494413302702</v>
      </c>
      <c r="H954" t="str">
        <f t="shared" si="14"/>
        <v>Q3</v>
      </c>
    </row>
    <row r="955" spans="1:8">
      <c r="A955">
        <v>789304</v>
      </c>
      <c r="B955" t="s">
        <v>4537</v>
      </c>
      <c r="C955">
        <v>169</v>
      </c>
      <c r="D955">
        <v>3.66437668476761</v>
      </c>
      <c r="E955">
        <v>619.27965972572599</v>
      </c>
      <c r="F955">
        <v>0.94973853504382799</v>
      </c>
      <c r="G955">
        <v>0.96414732327602404</v>
      </c>
      <c r="H955" t="str">
        <f t="shared" si="14"/>
        <v>Q2</v>
      </c>
    </row>
    <row r="956" spans="1:8">
      <c r="A956">
        <v>756320</v>
      </c>
      <c r="B956" t="s">
        <v>2749</v>
      </c>
      <c r="C956">
        <v>202</v>
      </c>
      <c r="D956">
        <v>3.0644067277265101</v>
      </c>
      <c r="E956">
        <v>619.01015900075402</v>
      </c>
      <c r="F956">
        <v>0.95951995786463995</v>
      </c>
      <c r="G956">
        <v>0.96410970241902105</v>
      </c>
      <c r="H956" t="str">
        <f t="shared" si="14"/>
        <v>Q2</v>
      </c>
    </row>
    <row r="957" spans="1:8">
      <c r="A957">
        <v>693479</v>
      </c>
      <c r="B957" t="s">
        <v>2009</v>
      </c>
      <c r="C957">
        <v>163</v>
      </c>
      <c r="D957">
        <v>3.78821879636748</v>
      </c>
      <c r="E957">
        <v>617.47966380789899</v>
      </c>
      <c r="F957">
        <v>0.94751890448064402</v>
      </c>
      <c r="G957">
        <v>0.96407208156201796</v>
      </c>
      <c r="H957" t="str">
        <f t="shared" si="14"/>
        <v>Q4</v>
      </c>
    </row>
    <row r="958" spans="1:8">
      <c r="A958">
        <v>801384</v>
      </c>
      <c r="B958" t="s">
        <v>3299</v>
      </c>
      <c r="C958">
        <v>252</v>
      </c>
      <c r="D958">
        <v>2.4465160117307199</v>
      </c>
      <c r="E958">
        <v>616.52203495614197</v>
      </c>
      <c r="F958">
        <v>0.96930138068545202</v>
      </c>
      <c r="G958">
        <v>0.96403446070501497</v>
      </c>
      <c r="H958" t="str">
        <f t="shared" si="14"/>
        <v>Q2</v>
      </c>
    </row>
    <row r="959" spans="1:8">
      <c r="A959">
        <v>736531</v>
      </c>
      <c r="B959" t="s">
        <v>2061</v>
      </c>
      <c r="C959">
        <v>638</v>
      </c>
      <c r="D959">
        <v>0.96437222248404597</v>
      </c>
      <c r="E959">
        <v>615.26947794482101</v>
      </c>
      <c r="F959">
        <v>0.993265866596441</v>
      </c>
      <c r="G959">
        <v>0.96399683984801199</v>
      </c>
      <c r="H959" t="str">
        <f t="shared" si="14"/>
        <v>Q2</v>
      </c>
    </row>
    <row r="960" spans="1:8">
      <c r="A960">
        <v>752020</v>
      </c>
      <c r="B960" t="s">
        <v>2723</v>
      </c>
      <c r="C960">
        <v>292</v>
      </c>
      <c r="D960">
        <v>2.1057579829038602</v>
      </c>
      <c r="E960">
        <v>614.881331007928</v>
      </c>
      <c r="F960">
        <v>0.97501975094992699</v>
      </c>
      <c r="G960">
        <v>0.963959218991009</v>
      </c>
      <c r="H960" t="str">
        <f t="shared" si="14"/>
        <v>Q2</v>
      </c>
    </row>
    <row r="961" spans="1:8">
      <c r="A961">
        <v>767436</v>
      </c>
      <c r="B961" t="s">
        <v>4874</v>
      </c>
      <c r="C961">
        <v>267</v>
      </c>
      <c r="D961">
        <v>2.3021583200331199</v>
      </c>
      <c r="E961">
        <v>614.67627144884295</v>
      </c>
      <c r="F961">
        <v>0.97133290696362096</v>
      </c>
      <c r="G961">
        <v>0.96392159813400502</v>
      </c>
      <c r="H961" t="str">
        <f t="shared" si="14"/>
        <v>Q2</v>
      </c>
    </row>
    <row r="962" spans="1:8">
      <c r="A962">
        <v>819139</v>
      </c>
      <c r="B962" t="s">
        <v>2007</v>
      </c>
      <c r="C962">
        <v>192</v>
      </c>
      <c r="D962">
        <v>3.20052078265386</v>
      </c>
      <c r="E962">
        <v>614.49999026954197</v>
      </c>
      <c r="F962">
        <v>0.95688649787442204</v>
      </c>
      <c r="G962">
        <v>0.96388397727700204</v>
      </c>
      <c r="H962" t="str">
        <f t="shared" si="14"/>
        <v>Q2</v>
      </c>
    </row>
    <row r="963" spans="1:8">
      <c r="A963">
        <v>688430</v>
      </c>
      <c r="B963" t="s">
        <v>4820</v>
      </c>
      <c r="C963">
        <v>79</v>
      </c>
      <c r="D963">
        <v>7.7697489905772299</v>
      </c>
      <c r="E963">
        <v>613.81017025560095</v>
      </c>
      <c r="F963">
        <v>0.89022233926488803</v>
      </c>
      <c r="G963">
        <v>0.96384635641999905</v>
      </c>
      <c r="H963" t="str">
        <f t="shared" ref="H963:H1026" si="15">IF(C963&gt;$J$2,
   IF(D963&gt;$J$3,"Q1","Q2"),
   IF(D963&gt;$J$3,"Q3","Q4"))</f>
        <v>Q3</v>
      </c>
    </row>
    <row r="964" spans="1:8">
      <c r="A964">
        <v>789060</v>
      </c>
      <c r="B964" t="s">
        <v>982</v>
      </c>
      <c r="C964">
        <v>75</v>
      </c>
      <c r="D964">
        <v>8.1805649722615907</v>
      </c>
      <c r="E964">
        <v>613.54237291961897</v>
      </c>
      <c r="F964">
        <v>0.88420300214438896</v>
      </c>
      <c r="G964">
        <v>0.96380873556299596</v>
      </c>
      <c r="H964" t="str">
        <f t="shared" si="15"/>
        <v>Q3</v>
      </c>
    </row>
    <row r="965" spans="1:8">
      <c r="A965">
        <v>727640</v>
      </c>
      <c r="B965" t="s">
        <v>4856</v>
      </c>
      <c r="C965">
        <v>78</v>
      </c>
      <c r="D965">
        <v>7.8569969830986803</v>
      </c>
      <c r="E965">
        <v>612.84576468169701</v>
      </c>
      <c r="F965">
        <v>0.88867988412776</v>
      </c>
      <c r="G965">
        <v>0.96377111470599297</v>
      </c>
      <c r="H965" t="str">
        <f t="shared" si="15"/>
        <v>Q3</v>
      </c>
    </row>
    <row r="966" spans="1:8">
      <c r="A966">
        <v>821683</v>
      </c>
      <c r="B966" t="s">
        <v>4585</v>
      </c>
      <c r="C966">
        <v>137</v>
      </c>
      <c r="D966">
        <v>4.4722875865706602</v>
      </c>
      <c r="E966">
        <v>612.70339936018001</v>
      </c>
      <c r="F966">
        <v>0.93687220194875998</v>
      </c>
      <c r="G966">
        <v>0.96373349384898999</v>
      </c>
      <c r="H966" t="str">
        <f t="shared" si="15"/>
        <v>Q4</v>
      </c>
    </row>
    <row r="967" spans="1:8">
      <c r="A967">
        <v>612800</v>
      </c>
      <c r="B967" t="s">
        <v>1264</v>
      </c>
      <c r="C967">
        <v>192</v>
      </c>
      <c r="D967">
        <v>3.1907485356593202</v>
      </c>
      <c r="E967">
        <v>612.62371884658899</v>
      </c>
      <c r="F967">
        <v>0.95688649787442204</v>
      </c>
      <c r="G967">
        <v>0.963695872991987</v>
      </c>
      <c r="H967" t="str">
        <f t="shared" si="15"/>
        <v>Q2</v>
      </c>
    </row>
    <row r="968" spans="1:8">
      <c r="A968">
        <v>741259</v>
      </c>
      <c r="B968" t="s">
        <v>1862</v>
      </c>
      <c r="C968">
        <v>193</v>
      </c>
      <c r="D968">
        <v>3.1710722218291698</v>
      </c>
      <c r="E968">
        <v>612.01693881303095</v>
      </c>
      <c r="F968">
        <v>0.95726270644445299</v>
      </c>
      <c r="G968">
        <v>0.96365825213498402</v>
      </c>
      <c r="H968" t="str">
        <f t="shared" si="15"/>
        <v>Q2</v>
      </c>
    </row>
    <row r="969" spans="1:8">
      <c r="A969">
        <v>772785</v>
      </c>
      <c r="B969" t="s">
        <v>3349</v>
      </c>
      <c r="C969">
        <v>70</v>
      </c>
      <c r="D969">
        <v>8.72026644114937</v>
      </c>
      <c r="E969">
        <v>610.41865088045597</v>
      </c>
      <c r="F969">
        <v>0.87555020503367098</v>
      </c>
      <c r="G969">
        <v>0.96362063127798003</v>
      </c>
      <c r="H969" t="str">
        <f t="shared" si="15"/>
        <v>Q3</v>
      </c>
    </row>
    <row r="970" spans="1:8">
      <c r="A970">
        <v>732413</v>
      </c>
      <c r="B970" t="s">
        <v>3633</v>
      </c>
      <c r="C970">
        <v>232</v>
      </c>
      <c r="D970">
        <v>2.62977058340892</v>
      </c>
      <c r="E970">
        <v>610.10677535086904</v>
      </c>
      <c r="F970">
        <v>0.96587788269816799</v>
      </c>
      <c r="G970">
        <v>0.96358301042097705</v>
      </c>
      <c r="H970" t="str">
        <f t="shared" si="15"/>
        <v>Q2</v>
      </c>
    </row>
    <row r="971" spans="1:8">
      <c r="A971">
        <v>740208</v>
      </c>
      <c r="B971" t="s">
        <v>930</v>
      </c>
      <c r="C971">
        <v>71</v>
      </c>
      <c r="D971">
        <v>8.5873240972278797</v>
      </c>
      <c r="E971">
        <v>609.70001090317999</v>
      </c>
      <c r="F971">
        <v>0.87799556073887397</v>
      </c>
      <c r="G971">
        <v>0.96354538956397395</v>
      </c>
      <c r="H971" t="str">
        <f t="shared" si="15"/>
        <v>Q3</v>
      </c>
    </row>
    <row r="972" spans="1:8">
      <c r="A972">
        <v>745250</v>
      </c>
      <c r="B972" t="s">
        <v>725</v>
      </c>
      <c r="C972">
        <v>190</v>
      </c>
      <c r="D972">
        <v>3.2050044109162501</v>
      </c>
      <c r="E972">
        <v>608.95083807408798</v>
      </c>
      <c r="F972">
        <v>0.95635980587637803</v>
      </c>
      <c r="G972">
        <v>0.96350776870697097</v>
      </c>
      <c r="H972" t="str">
        <f t="shared" si="15"/>
        <v>Q2</v>
      </c>
    </row>
    <row r="973" spans="1:8">
      <c r="A973">
        <v>798952</v>
      </c>
      <c r="B973" t="s">
        <v>3010</v>
      </c>
      <c r="C973">
        <v>157</v>
      </c>
      <c r="D973">
        <v>3.8768001832068002</v>
      </c>
      <c r="E973">
        <v>608.65762876346696</v>
      </c>
      <c r="F973">
        <v>0.94518641134644998</v>
      </c>
      <c r="G973">
        <v>0.96347014784996798</v>
      </c>
      <c r="H973" t="str">
        <f t="shared" si="15"/>
        <v>Q4</v>
      </c>
    </row>
    <row r="974" spans="1:8">
      <c r="A974">
        <v>570003</v>
      </c>
      <c r="B974" t="s">
        <v>5118</v>
      </c>
      <c r="C974">
        <v>496</v>
      </c>
      <c r="D974">
        <v>1.2260968998758</v>
      </c>
      <c r="E974">
        <v>608.14406233839702</v>
      </c>
      <c r="F974">
        <v>0.98852563861404796</v>
      </c>
      <c r="G974">
        <v>0.963432526992965</v>
      </c>
      <c r="H974" t="str">
        <f t="shared" si="15"/>
        <v>Q2</v>
      </c>
    </row>
    <row r="975" spans="1:8">
      <c r="A975">
        <v>632642</v>
      </c>
      <c r="B975" t="s">
        <v>3507</v>
      </c>
      <c r="C975">
        <v>141</v>
      </c>
      <c r="D975">
        <v>4.3127298724989496</v>
      </c>
      <c r="E975">
        <v>608.09491202235199</v>
      </c>
      <c r="F975">
        <v>0.939242315939957</v>
      </c>
      <c r="G975">
        <v>0.96339490613596201</v>
      </c>
      <c r="H975" t="str">
        <f t="shared" si="15"/>
        <v>Q4</v>
      </c>
    </row>
    <row r="976" spans="1:8">
      <c r="A976">
        <v>716958</v>
      </c>
      <c r="B976" t="s">
        <v>3620</v>
      </c>
      <c r="C976">
        <v>245</v>
      </c>
      <c r="D976">
        <v>2.4813835379876701</v>
      </c>
      <c r="E976">
        <v>607.93896680697799</v>
      </c>
      <c r="F976">
        <v>0.96805989240434898</v>
      </c>
      <c r="G976">
        <v>0.96335728527895903</v>
      </c>
      <c r="H976" t="str">
        <f t="shared" si="15"/>
        <v>Q2</v>
      </c>
    </row>
    <row r="977" spans="1:8">
      <c r="A977">
        <v>707569</v>
      </c>
      <c r="B977" t="s">
        <v>4500</v>
      </c>
      <c r="C977">
        <v>112</v>
      </c>
      <c r="D977">
        <v>5.4267252928444298</v>
      </c>
      <c r="E977">
        <v>607.79323279857601</v>
      </c>
      <c r="F977">
        <v>0.92156051314848997</v>
      </c>
      <c r="G977">
        <v>0.96331966442195505</v>
      </c>
      <c r="H977" t="str">
        <f t="shared" si="15"/>
        <v>Q3</v>
      </c>
    </row>
    <row r="978" spans="1:8">
      <c r="A978">
        <v>744073</v>
      </c>
      <c r="B978" t="s">
        <v>342</v>
      </c>
      <c r="C978">
        <v>123</v>
      </c>
      <c r="D978">
        <v>4.9292408263053398</v>
      </c>
      <c r="E978">
        <v>606.29662163555599</v>
      </c>
      <c r="F978">
        <v>0.92893420112110203</v>
      </c>
      <c r="G978">
        <v>0.96328204356495195</v>
      </c>
      <c r="H978" t="str">
        <f t="shared" si="15"/>
        <v>Q3</v>
      </c>
    </row>
    <row r="979" spans="1:8">
      <c r="A979">
        <v>249136</v>
      </c>
      <c r="B979" t="s">
        <v>4452</v>
      </c>
      <c r="C979">
        <v>110</v>
      </c>
      <c r="D979">
        <v>5.5099845559082201</v>
      </c>
      <c r="E979">
        <v>606.09830114990496</v>
      </c>
      <c r="F979">
        <v>0.92001805801136105</v>
      </c>
      <c r="G979">
        <v>0.96324442270794897</v>
      </c>
      <c r="H979" t="str">
        <f t="shared" si="15"/>
        <v>Q3</v>
      </c>
    </row>
    <row r="980" spans="1:8">
      <c r="A980">
        <v>678689</v>
      </c>
      <c r="B980" t="s">
        <v>2700</v>
      </c>
      <c r="C980">
        <v>245</v>
      </c>
      <c r="D980">
        <v>2.4724109375811398</v>
      </c>
      <c r="E980">
        <v>605.74067970737804</v>
      </c>
      <c r="F980">
        <v>0.96805989240434898</v>
      </c>
      <c r="G980">
        <v>0.96320680185094598</v>
      </c>
      <c r="H980" t="str">
        <f t="shared" si="15"/>
        <v>Q2</v>
      </c>
    </row>
    <row r="981" spans="1:8">
      <c r="A981">
        <v>153115</v>
      </c>
      <c r="B981" t="s">
        <v>3566</v>
      </c>
      <c r="C981">
        <v>271</v>
      </c>
      <c r="D981">
        <v>2.2337919815934901</v>
      </c>
      <c r="E981">
        <v>605.35762701183603</v>
      </c>
      <c r="F981">
        <v>0.97193484067567104</v>
      </c>
      <c r="G981">
        <v>0.963169180993943</v>
      </c>
      <c r="H981" t="str">
        <f t="shared" si="15"/>
        <v>Q2</v>
      </c>
    </row>
    <row r="982" spans="1:8">
      <c r="A982">
        <v>619234</v>
      </c>
      <c r="B982" t="s">
        <v>2177</v>
      </c>
      <c r="C982">
        <v>140</v>
      </c>
      <c r="D982">
        <v>4.3193705323418303</v>
      </c>
      <c r="E982">
        <v>604.71187452785705</v>
      </c>
      <c r="F982">
        <v>0.93852751965689796</v>
      </c>
      <c r="G982">
        <v>0.96313156013694001</v>
      </c>
      <c r="H982" t="str">
        <f t="shared" si="15"/>
        <v>Q4</v>
      </c>
    </row>
    <row r="983" spans="1:8">
      <c r="A983">
        <v>734287</v>
      </c>
      <c r="B983" t="s">
        <v>1851</v>
      </c>
      <c r="C983">
        <v>347</v>
      </c>
      <c r="D983">
        <v>1.7424510357101599</v>
      </c>
      <c r="E983">
        <v>604.63050939142704</v>
      </c>
      <c r="F983">
        <v>0.98032429178736702</v>
      </c>
      <c r="G983">
        <v>0.96309393927993703</v>
      </c>
      <c r="H983" t="str">
        <f t="shared" si="15"/>
        <v>Q2</v>
      </c>
    </row>
    <row r="984" spans="1:8">
      <c r="A984">
        <v>754697</v>
      </c>
      <c r="B984" t="s">
        <v>2091</v>
      </c>
      <c r="C984">
        <v>201</v>
      </c>
      <c r="D984">
        <v>3.00401378265438</v>
      </c>
      <c r="E984">
        <v>603.80677031353105</v>
      </c>
      <c r="F984">
        <v>0.95936947443662801</v>
      </c>
      <c r="G984">
        <v>0.96305631842293404</v>
      </c>
      <c r="H984" t="str">
        <f t="shared" si="15"/>
        <v>Q2</v>
      </c>
    </row>
    <row r="985" spans="1:8">
      <c r="A985">
        <v>794538</v>
      </c>
      <c r="B985" t="s">
        <v>3776</v>
      </c>
      <c r="C985">
        <v>151</v>
      </c>
      <c r="D985">
        <v>3.9958805795635599</v>
      </c>
      <c r="E985">
        <v>603.37796751409803</v>
      </c>
      <c r="F985">
        <v>0.94323012678228801</v>
      </c>
      <c r="G985">
        <v>0.96301869756593095</v>
      </c>
      <c r="H985" t="str">
        <f t="shared" si="15"/>
        <v>Q4</v>
      </c>
    </row>
    <row r="986" spans="1:8">
      <c r="A986">
        <v>638945</v>
      </c>
      <c r="B986" t="s">
        <v>4923</v>
      </c>
      <c r="C986">
        <v>160</v>
      </c>
      <c r="D986">
        <v>3.7702860165154601</v>
      </c>
      <c r="E986">
        <v>603.24576264247298</v>
      </c>
      <c r="F986">
        <v>0.94646552048455701</v>
      </c>
      <c r="G986">
        <v>0.96298107670892696</v>
      </c>
      <c r="H986" t="str">
        <f t="shared" si="15"/>
        <v>Q4</v>
      </c>
    </row>
    <row r="987" spans="1:8">
      <c r="A987">
        <v>789049</v>
      </c>
      <c r="B987" t="s">
        <v>4556</v>
      </c>
      <c r="C987">
        <v>53</v>
      </c>
      <c r="D987">
        <v>11.3757597387962</v>
      </c>
      <c r="E987">
        <v>602.91526615619705</v>
      </c>
      <c r="F987">
        <v>0.84218050487190099</v>
      </c>
      <c r="G987">
        <v>0.96294345585192398</v>
      </c>
      <c r="H987" t="str">
        <f t="shared" si="15"/>
        <v>Q3</v>
      </c>
    </row>
    <row r="988" spans="1:8">
      <c r="A988">
        <v>721744</v>
      </c>
      <c r="B988" t="s">
        <v>2356</v>
      </c>
      <c r="C988">
        <v>263</v>
      </c>
      <c r="D988">
        <v>2.2899336236468901</v>
      </c>
      <c r="E988">
        <v>602.25254301913105</v>
      </c>
      <c r="F988">
        <v>0.97084383582258005</v>
      </c>
      <c r="G988">
        <v>0.96290583499492099</v>
      </c>
      <c r="H988" t="str">
        <f t="shared" si="15"/>
        <v>Q2</v>
      </c>
    </row>
    <row r="989" spans="1:8">
      <c r="A989">
        <v>573282</v>
      </c>
      <c r="B989" t="s">
        <v>306</v>
      </c>
      <c r="C989">
        <v>540</v>
      </c>
      <c r="D989">
        <v>1.11318266364159</v>
      </c>
      <c r="E989">
        <v>601.11863836646103</v>
      </c>
      <c r="F989">
        <v>0.99048192317821004</v>
      </c>
      <c r="G989">
        <v>0.96286821413791801</v>
      </c>
      <c r="H989" t="str">
        <f t="shared" si="15"/>
        <v>Q2</v>
      </c>
    </row>
    <row r="990" spans="1:8">
      <c r="A990">
        <v>711823</v>
      </c>
      <c r="B990" t="s">
        <v>4387</v>
      </c>
      <c r="C990">
        <v>424</v>
      </c>
      <c r="D990">
        <v>1.41661731127588</v>
      </c>
      <c r="E990">
        <v>600.64573998097296</v>
      </c>
      <c r="F990">
        <v>0.985478349196795</v>
      </c>
      <c r="G990">
        <v>0.96283059328091503</v>
      </c>
      <c r="H990" t="str">
        <f t="shared" si="15"/>
        <v>Q2</v>
      </c>
    </row>
    <row r="991" spans="1:8">
      <c r="A991">
        <v>502224</v>
      </c>
      <c r="B991" t="s">
        <v>1424</v>
      </c>
      <c r="C991">
        <v>137</v>
      </c>
      <c r="D991">
        <v>4.3803166965172204</v>
      </c>
      <c r="E991">
        <v>600.10338742286001</v>
      </c>
      <c r="F991">
        <v>0.93687220194875998</v>
      </c>
      <c r="G991">
        <v>0.96279297242391204</v>
      </c>
      <c r="H991" t="str">
        <f t="shared" si="15"/>
        <v>Q4</v>
      </c>
    </row>
    <row r="992" spans="1:8">
      <c r="A992">
        <v>699424</v>
      </c>
      <c r="B992" t="s">
        <v>4057</v>
      </c>
      <c r="C992">
        <v>326</v>
      </c>
      <c r="D992">
        <v>1.8398616330103901</v>
      </c>
      <c r="E992">
        <v>599.79489236138795</v>
      </c>
      <c r="F992">
        <v>0.97851849065121699</v>
      </c>
      <c r="G992">
        <v>0.96275535156690895</v>
      </c>
      <c r="H992" t="str">
        <f t="shared" si="15"/>
        <v>Q2</v>
      </c>
    </row>
    <row r="993" spans="1:8">
      <c r="A993">
        <v>800800</v>
      </c>
      <c r="B993" t="s">
        <v>2303</v>
      </c>
      <c r="C993">
        <v>151</v>
      </c>
      <c r="D993">
        <v>3.9714558518781602</v>
      </c>
      <c r="E993">
        <v>599.68983363360201</v>
      </c>
      <c r="F993">
        <v>0.94323012678228801</v>
      </c>
      <c r="G993">
        <v>0.96271773070990596</v>
      </c>
      <c r="H993" t="str">
        <f t="shared" si="15"/>
        <v>Q4</v>
      </c>
    </row>
    <row r="994" spans="1:8">
      <c r="A994">
        <v>787095</v>
      </c>
      <c r="B994" t="s">
        <v>3155</v>
      </c>
      <c r="C994">
        <v>57</v>
      </c>
      <c r="D994">
        <v>10.51763298088</v>
      </c>
      <c r="E994">
        <v>599.505079910159</v>
      </c>
      <c r="F994">
        <v>0.851849065121703</v>
      </c>
      <c r="G994">
        <v>0.96268010985290198</v>
      </c>
      <c r="H994" t="str">
        <f t="shared" si="15"/>
        <v>Q3</v>
      </c>
    </row>
    <row r="995" spans="1:8">
      <c r="A995">
        <v>750422</v>
      </c>
      <c r="B995" t="s">
        <v>4553</v>
      </c>
      <c r="C995">
        <v>187</v>
      </c>
      <c r="D995">
        <v>3.2050575104786101</v>
      </c>
      <c r="E995">
        <v>599.34575445949997</v>
      </c>
      <c r="F995">
        <v>0.95553214702230904</v>
      </c>
      <c r="G995">
        <v>0.96264248899589899</v>
      </c>
      <c r="H995" t="str">
        <f t="shared" si="15"/>
        <v>Q2</v>
      </c>
    </row>
    <row r="996" spans="1:8">
      <c r="A996">
        <v>758089</v>
      </c>
      <c r="B996" t="s">
        <v>2871</v>
      </c>
      <c r="C996">
        <v>205</v>
      </c>
      <c r="D996">
        <v>2.9221248313239401</v>
      </c>
      <c r="E996">
        <v>599.03559042140796</v>
      </c>
      <c r="F996">
        <v>0.96038523757571204</v>
      </c>
      <c r="G996">
        <v>0.96260486813889601</v>
      </c>
      <c r="H996" t="str">
        <f t="shared" si="15"/>
        <v>Q2</v>
      </c>
    </row>
    <row r="997" spans="1:8">
      <c r="A997">
        <v>685944</v>
      </c>
      <c r="B997" t="s">
        <v>2232</v>
      </c>
      <c r="C997">
        <v>107</v>
      </c>
      <c r="D997">
        <v>5.5967369247401999</v>
      </c>
      <c r="E997">
        <v>598.85085094720102</v>
      </c>
      <c r="F997">
        <v>0.91791129001918703</v>
      </c>
      <c r="G997">
        <v>0.96256724728189302</v>
      </c>
      <c r="H997" t="str">
        <f t="shared" si="15"/>
        <v>Q3</v>
      </c>
    </row>
    <row r="998" spans="1:8">
      <c r="A998">
        <v>779706</v>
      </c>
      <c r="B998" t="s">
        <v>1350</v>
      </c>
      <c r="C998">
        <v>96</v>
      </c>
      <c r="D998">
        <v>6.2321150559000698</v>
      </c>
      <c r="E998">
        <v>598.28304536640599</v>
      </c>
      <c r="F998">
        <v>0.90812986719837496</v>
      </c>
      <c r="G998">
        <v>0.96252962642489004</v>
      </c>
      <c r="H998" t="str">
        <f t="shared" si="15"/>
        <v>Q3</v>
      </c>
    </row>
    <row r="999" spans="1:8">
      <c r="A999">
        <v>792817</v>
      </c>
      <c r="B999" t="s">
        <v>2133</v>
      </c>
      <c r="C999">
        <v>390</v>
      </c>
      <c r="D999">
        <v>1.5323771819329</v>
      </c>
      <c r="E999">
        <v>597.62710095383204</v>
      </c>
      <c r="F999">
        <v>0.983070614348595</v>
      </c>
      <c r="G999">
        <v>0.96249200556788705</v>
      </c>
      <c r="H999" t="str">
        <f t="shared" si="15"/>
        <v>Q2</v>
      </c>
    </row>
    <row r="1000" spans="1:8">
      <c r="A1000">
        <v>748856</v>
      </c>
      <c r="B1000" t="s">
        <v>443</v>
      </c>
      <c r="C1000">
        <v>230</v>
      </c>
      <c r="D1000">
        <v>2.5961237315736398</v>
      </c>
      <c r="E1000">
        <v>597.10845826193702</v>
      </c>
      <c r="F1000">
        <v>0.96538881155712697</v>
      </c>
      <c r="G1000">
        <v>0.96245438471088396</v>
      </c>
      <c r="H1000" t="str">
        <f t="shared" si="15"/>
        <v>Q2</v>
      </c>
    </row>
    <row r="1001" spans="1:8">
      <c r="A1001">
        <v>554450</v>
      </c>
      <c r="B1001" t="s">
        <v>2414</v>
      </c>
      <c r="C1001">
        <v>185</v>
      </c>
      <c r="D1001">
        <v>3.2269720028381101</v>
      </c>
      <c r="E1001">
        <v>596.98982052505005</v>
      </c>
      <c r="F1001">
        <v>0.95515593845227797</v>
      </c>
      <c r="G1001">
        <v>0.96241676385388097</v>
      </c>
      <c r="H1001" t="str">
        <f t="shared" si="15"/>
        <v>Q2</v>
      </c>
    </row>
    <row r="1002" spans="1:8">
      <c r="A1002">
        <v>713754</v>
      </c>
      <c r="B1002" t="s">
        <v>1665</v>
      </c>
      <c r="C1002">
        <v>241</v>
      </c>
      <c r="D1002">
        <v>2.47530065809234</v>
      </c>
      <c r="E1002">
        <v>596.54745860025298</v>
      </c>
      <c r="F1002">
        <v>0.96742033783529602</v>
      </c>
      <c r="G1002">
        <v>0.96237914299687699</v>
      </c>
      <c r="H1002" t="str">
        <f t="shared" si="15"/>
        <v>Q2</v>
      </c>
    </row>
    <row r="1003" spans="1:8">
      <c r="A1003">
        <v>771826</v>
      </c>
      <c r="B1003" t="s">
        <v>5176</v>
      </c>
      <c r="C1003">
        <v>75</v>
      </c>
      <c r="D1003">
        <v>7.9538531700770099</v>
      </c>
      <c r="E1003">
        <v>596.538987755775</v>
      </c>
      <c r="F1003">
        <v>0.88420300214438896</v>
      </c>
      <c r="G1003">
        <v>0.96234152213987401</v>
      </c>
      <c r="H1003" t="str">
        <f t="shared" si="15"/>
        <v>Q3</v>
      </c>
    </row>
    <row r="1004" spans="1:8">
      <c r="A1004">
        <v>731130</v>
      </c>
      <c r="B1004" t="s">
        <v>3838</v>
      </c>
      <c r="C1004">
        <v>73</v>
      </c>
      <c r="D1004">
        <v>8.1664269203192603</v>
      </c>
      <c r="E1004">
        <v>596.14916518330597</v>
      </c>
      <c r="F1004">
        <v>0.88111809187013301</v>
      </c>
      <c r="G1004">
        <v>0.96230390128287102</v>
      </c>
      <c r="H1004" t="str">
        <f t="shared" si="15"/>
        <v>Q3</v>
      </c>
    </row>
    <row r="1005" spans="1:8">
      <c r="A1005">
        <v>786751</v>
      </c>
      <c r="B1005" t="s">
        <v>4966</v>
      </c>
      <c r="C1005">
        <v>48</v>
      </c>
      <c r="D1005">
        <v>12.4184322310612</v>
      </c>
      <c r="E1005">
        <v>596.08474709093605</v>
      </c>
      <c r="F1005">
        <v>0.82957751777585498</v>
      </c>
      <c r="G1005">
        <v>0.96226628042586804</v>
      </c>
      <c r="H1005" t="str">
        <f t="shared" si="15"/>
        <v>Q3</v>
      </c>
    </row>
    <row r="1006" spans="1:8">
      <c r="A1006">
        <v>716379</v>
      </c>
      <c r="B1006" t="s">
        <v>373</v>
      </c>
      <c r="C1006">
        <v>44</v>
      </c>
      <c r="D1006">
        <v>13.5316256264394</v>
      </c>
      <c r="E1006">
        <v>595.39152756333397</v>
      </c>
      <c r="F1006">
        <v>0.817689326962868</v>
      </c>
      <c r="G1006">
        <v>0.96222865956886505</v>
      </c>
      <c r="H1006" t="str">
        <f t="shared" si="15"/>
        <v>Q3</v>
      </c>
    </row>
    <row r="1007" spans="1:8">
      <c r="A1007">
        <v>408875</v>
      </c>
      <c r="B1007" t="s">
        <v>1947</v>
      </c>
      <c r="C1007">
        <v>481</v>
      </c>
      <c r="D1007">
        <v>1.2366397592762799</v>
      </c>
      <c r="E1007">
        <v>594.823724211892</v>
      </c>
      <c r="F1007">
        <v>0.98796132575900097</v>
      </c>
      <c r="G1007">
        <v>0.96219103871186196</v>
      </c>
      <c r="H1007" t="str">
        <f t="shared" si="15"/>
        <v>Q2</v>
      </c>
    </row>
    <row r="1008" spans="1:8">
      <c r="A1008">
        <v>776776</v>
      </c>
      <c r="B1008" t="s">
        <v>1221</v>
      </c>
      <c r="C1008">
        <v>30</v>
      </c>
      <c r="D1008">
        <v>19.815706337491701</v>
      </c>
      <c r="E1008">
        <v>594.47119012475002</v>
      </c>
      <c r="F1008">
        <v>0.760430382604116</v>
      </c>
      <c r="G1008">
        <v>0.96215341785485897</v>
      </c>
      <c r="H1008" t="str">
        <f t="shared" si="15"/>
        <v>Q3</v>
      </c>
    </row>
    <row r="1009" spans="1:8">
      <c r="A1009">
        <v>716672</v>
      </c>
      <c r="B1009" t="s">
        <v>2332</v>
      </c>
      <c r="C1009">
        <v>307</v>
      </c>
      <c r="D1009">
        <v>1.93479269263653</v>
      </c>
      <c r="E1009">
        <v>593.98135663941503</v>
      </c>
      <c r="F1009">
        <v>0.97675031037207005</v>
      </c>
      <c r="G1009">
        <v>0.96211579699785599</v>
      </c>
      <c r="H1009" t="str">
        <f t="shared" si="15"/>
        <v>Q2</v>
      </c>
    </row>
    <row r="1010" spans="1:8">
      <c r="A1010">
        <v>228257</v>
      </c>
      <c r="B1010" t="s">
        <v>148</v>
      </c>
      <c r="C1010">
        <v>805</v>
      </c>
      <c r="D1010">
        <v>0.73768185260011498</v>
      </c>
      <c r="E1010">
        <v>593.833891343093</v>
      </c>
      <c r="F1010">
        <v>0.99574884315864698</v>
      </c>
      <c r="G1010">
        <v>0.962078176140852</v>
      </c>
      <c r="H1010" t="str">
        <f t="shared" si="15"/>
        <v>Q2</v>
      </c>
    </row>
    <row r="1011" spans="1:8">
      <c r="A1011">
        <v>666354</v>
      </c>
      <c r="B1011" t="s">
        <v>1021</v>
      </c>
      <c r="C1011">
        <v>194</v>
      </c>
      <c r="D1011">
        <v>3.0605363846785298</v>
      </c>
      <c r="E1011">
        <v>593.74405862763501</v>
      </c>
      <c r="F1011">
        <v>0.95741318987246504</v>
      </c>
      <c r="G1011">
        <v>0.96204055528384902</v>
      </c>
      <c r="H1011" t="str">
        <f t="shared" si="15"/>
        <v>Q2</v>
      </c>
    </row>
    <row r="1012" spans="1:8">
      <c r="A1012">
        <v>776861</v>
      </c>
      <c r="B1012" t="s">
        <v>1258</v>
      </c>
      <c r="C1012">
        <v>274</v>
      </c>
      <c r="D1012">
        <v>2.16619447264548</v>
      </c>
      <c r="E1012">
        <v>593.53728550486301</v>
      </c>
      <c r="F1012">
        <v>0.97253677438772101</v>
      </c>
      <c r="G1012">
        <v>0.96200293442684603</v>
      </c>
      <c r="H1012" t="str">
        <f t="shared" si="15"/>
        <v>Q2</v>
      </c>
    </row>
    <row r="1013" spans="1:8">
      <c r="A1013">
        <v>771759</v>
      </c>
      <c r="B1013" t="s">
        <v>1088</v>
      </c>
      <c r="C1013">
        <v>52</v>
      </c>
      <c r="D1013">
        <v>11.411114624486499</v>
      </c>
      <c r="E1013">
        <v>593.37796047329903</v>
      </c>
      <c r="F1013">
        <v>0.84003611602272299</v>
      </c>
      <c r="G1013">
        <v>0.96196531356984305</v>
      </c>
      <c r="H1013" t="str">
        <f t="shared" si="15"/>
        <v>Q3</v>
      </c>
    </row>
    <row r="1014" spans="1:8">
      <c r="A1014">
        <v>681385</v>
      </c>
      <c r="B1014" t="s">
        <v>4961</v>
      </c>
      <c r="C1014">
        <v>247</v>
      </c>
      <c r="D1014">
        <v>2.4021752610395399</v>
      </c>
      <c r="E1014">
        <v>593.33728947676695</v>
      </c>
      <c r="F1014">
        <v>0.96828561754636799</v>
      </c>
      <c r="G1014">
        <v>0.96192769271283995</v>
      </c>
      <c r="H1014" t="str">
        <f t="shared" si="15"/>
        <v>Q2</v>
      </c>
    </row>
    <row r="1015" spans="1:8">
      <c r="A1015">
        <v>717884</v>
      </c>
      <c r="B1015" t="s">
        <v>1259</v>
      </c>
      <c r="C1015">
        <v>365</v>
      </c>
      <c r="D1015">
        <v>1.62543294980025</v>
      </c>
      <c r="E1015">
        <v>593.28302667709102</v>
      </c>
      <c r="F1015">
        <v>0.98156578006846995</v>
      </c>
      <c r="G1015">
        <v>0.96189007185583697</v>
      </c>
      <c r="H1015" t="str">
        <f t="shared" si="15"/>
        <v>Q2</v>
      </c>
    </row>
    <row r="1016" spans="1:8">
      <c r="A1016">
        <v>464927</v>
      </c>
      <c r="B1016" t="s">
        <v>2212</v>
      </c>
      <c r="C1016">
        <v>418</v>
      </c>
      <c r="D1016">
        <v>1.4190941070915</v>
      </c>
      <c r="E1016">
        <v>593.181336764246</v>
      </c>
      <c r="F1016">
        <v>0.98480117377073895</v>
      </c>
      <c r="G1016">
        <v>0.96185245099883399</v>
      </c>
      <c r="H1016" t="str">
        <f t="shared" si="15"/>
        <v>Q2</v>
      </c>
    </row>
    <row r="1017" spans="1:8">
      <c r="A1017">
        <v>718278</v>
      </c>
      <c r="B1017" t="s">
        <v>597</v>
      </c>
      <c r="C1017">
        <v>734</v>
      </c>
      <c r="D1017">
        <v>0.80761557181013099</v>
      </c>
      <c r="E1017">
        <v>592.78982970863603</v>
      </c>
      <c r="F1017">
        <v>0.99477070087656605</v>
      </c>
      <c r="G1017">
        <v>0.961814830141831</v>
      </c>
      <c r="H1017" t="str">
        <f t="shared" si="15"/>
        <v>Q2</v>
      </c>
    </row>
    <row r="1018" spans="1:8">
      <c r="A1018">
        <v>764514</v>
      </c>
      <c r="B1018" t="s">
        <v>2935</v>
      </c>
      <c r="C1018">
        <v>212</v>
      </c>
      <c r="D1018">
        <v>2.79412372081699</v>
      </c>
      <c r="E1018">
        <v>592.35422881320096</v>
      </c>
      <c r="F1018">
        <v>0.96200293442684603</v>
      </c>
      <c r="G1018">
        <v>0.96177720928482702</v>
      </c>
      <c r="H1018" t="str">
        <f t="shared" si="15"/>
        <v>Q2</v>
      </c>
    </row>
    <row r="1019" spans="1:8">
      <c r="A1019">
        <v>739346</v>
      </c>
      <c r="B1019" t="s">
        <v>3472</v>
      </c>
      <c r="C1019">
        <v>122</v>
      </c>
      <c r="D1019">
        <v>4.8534593789181804</v>
      </c>
      <c r="E1019">
        <v>592.12204422801699</v>
      </c>
      <c r="F1019">
        <v>0.92855799255106997</v>
      </c>
      <c r="G1019">
        <v>0.96173958842782403</v>
      </c>
      <c r="H1019" t="str">
        <f t="shared" si="15"/>
        <v>Q4</v>
      </c>
    </row>
    <row r="1020" spans="1:8">
      <c r="A1020">
        <v>759070</v>
      </c>
      <c r="B1020" t="s">
        <v>3378</v>
      </c>
      <c r="C1020">
        <v>60</v>
      </c>
      <c r="D1020">
        <v>9.8680793183545301</v>
      </c>
      <c r="E1020">
        <v>592.08475910127197</v>
      </c>
      <c r="F1020">
        <v>0.85805650652721899</v>
      </c>
      <c r="G1020">
        <v>0.96170196757082105</v>
      </c>
      <c r="H1020" t="str">
        <f t="shared" si="15"/>
        <v>Q3</v>
      </c>
    </row>
    <row r="1021" spans="1:8">
      <c r="A1021">
        <v>727937</v>
      </c>
      <c r="B1021" t="s">
        <v>4012</v>
      </c>
      <c r="C1021">
        <v>91</v>
      </c>
      <c r="D1021">
        <v>6.5058110895883896</v>
      </c>
      <c r="E1021">
        <v>592.028809152544</v>
      </c>
      <c r="F1021">
        <v>0.90350250178699099</v>
      </c>
      <c r="G1021">
        <v>0.96166434671381795</v>
      </c>
      <c r="H1021" t="str">
        <f t="shared" si="15"/>
        <v>Q3</v>
      </c>
    </row>
    <row r="1022" spans="1:8">
      <c r="A1022">
        <v>735607</v>
      </c>
      <c r="B1022" t="s">
        <v>1676</v>
      </c>
      <c r="C1022">
        <v>371</v>
      </c>
      <c r="D1022">
        <v>1.5943486996577401</v>
      </c>
      <c r="E1022">
        <v>591.50336757302296</v>
      </c>
      <c r="F1022">
        <v>0.98201723035250699</v>
      </c>
      <c r="G1022">
        <v>0.96162672585681497</v>
      </c>
      <c r="H1022" t="str">
        <f t="shared" si="15"/>
        <v>Q2</v>
      </c>
    </row>
    <row r="1023" spans="1:8">
      <c r="A1023">
        <v>714032</v>
      </c>
      <c r="B1023" t="s">
        <v>3606</v>
      </c>
      <c r="C1023">
        <v>121</v>
      </c>
      <c r="D1023">
        <v>4.8832050116717296</v>
      </c>
      <c r="E1023">
        <v>590.86780641227995</v>
      </c>
      <c r="F1023">
        <v>0.92788081712501402</v>
      </c>
      <c r="G1023">
        <v>0.96158910499981198</v>
      </c>
      <c r="H1023" t="str">
        <f t="shared" si="15"/>
        <v>Q4</v>
      </c>
    </row>
    <row r="1024" spans="1:8">
      <c r="A1024">
        <v>719214</v>
      </c>
      <c r="B1024" t="s">
        <v>3975</v>
      </c>
      <c r="C1024">
        <v>387</v>
      </c>
      <c r="D1024">
        <v>1.5257828015814801</v>
      </c>
      <c r="E1024">
        <v>590.477944212034</v>
      </c>
      <c r="F1024">
        <v>0.98284488920657598</v>
      </c>
      <c r="G1024">
        <v>0.961551484142809</v>
      </c>
      <c r="H1024" t="str">
        <f t="shared" si="15"/>
        <v>Q2</v>
      </c>
    </row>
    <row r="1025" spans="1:8">
      <c r="A1025">
        <v>735622</v>
      </c>
      <c r="B1025" t="s">
        <v>252</v>
      </c>
      <c r="C1025">
        <v>125</v>
      </c>
      <c r="D1025">
        <v>4.7191865030676103</v>
      </c>
      <c r="E1025">
        <v>589.89831288345204</v>
      </c>
      <c r="F1025">
        <v>0.93028855197321403</v>
      </c>
      <c r="G1025">
        <v>0.96151386328580601</v>
      </c>
      <c r="H1025" t="str">
        <f t="shared" si="15"/>
        <v>Q4</v>
      </c>
    </row>
    <row r="1026" spans="1:8">
      <c r="A1026">
        <v>682670</v>
      </c>
      <c r="B1026" t="s">
        <v>5266</v>
      </c>
      <c r="C1026">
        <v>276</v>
      </c>
      <c r="D1026">
        <v>2.1348377794324298</v>
      </c>
      <c r="E1026">
        <v>589.21522712335002</v>
      </c>
      <c r="F1026">
        <v>0.97272487867273605</v>
      </c>
      <c r="G1026">
        <v>0.96147624242880203</v>
      </c>
      <c r="H1026" t="str">
        <f t="shared" si="15"/>
        <v>Q2</v>
      </c>
    </row>
    <row r="1027" spans="1:8">
      <c r="A1027">
        <v>636935</v>
      </c>
      <c r="B1027" t="s">
        <v>1004</v>
      </c>
      <c r="C1027">
        <v>129</v>
      </c>
      <c r="D1027">
        <v>4.5651032120104897</v>
      </c>
      <c r="E1027">
        <v>588.89831434935297</v>
      </c>
      <c r="F1027">
        <v>0.93247056167939502</v>
      </c>
      <c r="G1027">
        <v>0.96143862157179905</v>
      </c>
      <c r="H1027" t="str">
        <f t="shared" ref="H1027:H1090" si="16">IF(C1027&gt;$J$2,
   IF(D1027&gt;$J$3,"Q1","Q2"),
   IF(D1027&gt;$J$3,"Q3","Q4"))</f>
        <v>Q4</v>
      </c>
    </row>
    <row r="1028" spans="1:8">
      <c r="A1028">
        <v>559616</v>
      </c>
      <c r="B1028" t="s">
        <v>4898</v>
      </c>
      <c r="C1028">
        <v>280</v>
      </c>
      <c r="D1028">
        <v>2.1018886155382299</v>
      </c>
      <c r="E1028">
        <v>588.52881235070504</v>
      </c>
      <c r="F1028">
        <v>0.97328919152778304</v>
      </c>
      <c r="G1028">
        <v>0.96140100071479595</v>
      </c>
      <c r="H1028" t="str">
        <f t="shared" si="16"/>
        <v>Q2</v>
      </c>
    </row>
    <row r="1029" spans="1:8">
      <c r="A1029">
        <v>707735</v>
      </c>
      <c r="B1029" t="s">
        <v>3312</v>
      </c>
      <c r="C1029">
        <v>226</v>
      </c>
      <c r="D1029">
        <v>2.5993474722073402</v>
      </c>
      <c r="E1029">
        <v>587.45252871885896</v>
      </c>
      <c r="F1029">
        <v>0.964786877845077</v>
      </c>
      <c r="G1029">
        <v>0.96136337985779297</v>
      </c>
      <c r="H1029" t="str">
        <f t="shared" si="16"/>
        <v>Q2</v>
      </c>
    </row>
    <row r="1030" spans="1:8">
      <c r="A1030">
        <v>561445</v>
      </c>
      <c r="B1030" t="s">
        <v>584</v>
      </c>
      <c r="C1030">
        <v>733</v>
      </c>
      <c r="D1030">
        <v>0.80127176424643398</v>
      </c>
      <c r="E1030">
        <v>587.33220319263603</v>
      </c>
      <c r="F1030">
        <v>0.99473308001956295</v>
      </c>
      <c r="G1030">
        <v>0.96132575900078998</v>
      </c>
      <c r="H1030" t="str">
        <f t="shared" si="16"/>
        <v>Q2</v>
      </c>
    </row>
    <row r="1031" spans="1:8">
      <c r="A1031">
        <v>717885</v>
      </c>
      <c r="B1031" t="s">
        <v>1260</v>
      </c>
      <c r="C1031">
        <v>294</v>
      </c>
      <c r="D1031">
        <v>1.99566470145495</v>
      </c>
      <c r="E1031">
        <v>586.72542222775496</v>
      </c>
      <c r="F1031">
        <v>0.97532071780595198</v>
      </c>
      <c r="G1031">
        <v>0.961288138143787</v>
      </c>
      <c r="H1031" t="str">
        <f t="shared" si="16"/>
        <v>Q2</v>
      </c>
    </row>
    <row r="1032" spans="1:8">
      <c r="A1032">
        <v>712853</v>
      </c>
      <c r="B1032" t="s">
        <v>539</v>
      </c>
      <c r="C1032">
        <v>195</v>
      </c>
      <c r="D1032">
        <v>3.0053975929816601</v>
      </c>
      <c r="E1032">
        <v>586.052530631423</v>
      </c>
      <c r="F1032">
        <v>0.95767653587148704</v>
      </c>
      <c r="G1032">
        <v>0.96125051728678401</v>
      </c>
      <c r="H1032" t="str">
        <f t="shared" si="16"/>
        <v>Q2</v>
      </c>
    </row>
    <row r="1033" spans="1:8">
      <c r="A1033">
        <v>525518</v>
      </c>
      <c r="B1033" t="s">
        <v>696</v>
      </c>
      <c r="C1033">
        <v>141</v>
      </c>
      <c r="D1033">
        <v>4.14047362084718</v>
      </c>
      <c r="E1033">
        <v>583.80678053945303</v>
      </c>
      <c r="F1033">
        <v>0.939242315939957</v>
      </c>
      <c r="G1033">
        <v>0.96121289642978103</v>
      </c>
      <c r="H1033" t="str">
        <f t="shared" si="16"/>
        <v>Q4</v>
      </c>
    </row>
    <row r="1034" spans="1:8">
      <c r="A1034">
        <v>662344</v>
      </c>
      <c r="B1034" t="s">
        <v>2727</v>
      </c>
      <c r="C1034">
        <v>210</v>
      </c>
      <c r="D1034">
        <v>2.7790314234083602</v>
      </c>
      <c r="E1034">
        <v>583.59659891575598</v>
      </c>
      <c r="F1034">
        <v>0.96151386328580601</v>
      </c>
      <c r="G1034">
        <v>0.96117527557277804</v>
      </c>
      <c r="H1034" t="str">
        <f t="shared" si="16"/>
        <v>Q2</v>
      </c>
    </row>
    <row r="1035" spans="1:8">
      <c r="A1035">
        <v>788301</v>
      </c>
      <c r="B1035" t="s">
        <v>4529</v>
      </c>
      <c r="C1035">
        <v>40</v>
      </c>
      <c r="D1035">
        <v>14.5844916254282</v>
      </c>
      <c r="E1035">
        <v>583.37966501712799</v>
      </c>
      <c r="F1035">
        <v>0.804522027011775</v>
      </c>
      <c r="G1035">
        <v>0.96113765471577395</v>
      </c>
      <c r="H1035" t="str">
        <f t="shared" si="16"/>
        <v>Q3</v>
      </c>
    </row>
    <row r="1036" spans="1:8">
      <c r="A1036">
        <v>552346</v>
      </c>
      <c r="B1036" t="s">
        <v>4458</v>
      </c>
      <c r="C1036">
        <v>189</v>
      </c>
      <c r="D1036">
        <v>3.08522996714427</v>
      </c>
      <c r="E1036">
        <v>583.10846379026805</v>
      </c>
      <c r="F1036">
        <v>0.95605883902035305</v>
      </c>
      <c r="G1036">
        <v>0.96110003385877096</v>
      </c>
      <c r="H1036" t="str">
        <f t="shared" si="16"/>
        <v>Q2</v>
      </c>
    </row>
    <row r="1037" spans="1:8">
      <c r="A1037">
        <v>737224</v>
      </c>
      <c r="B1037" t="s">
        <v>2136</v>
      </c>
      <c r="C1037">
        <v>375</v>
      </c>
      <c r="D1037">
        <v>1.5532609711090699</v>
      </c>
      <c r="E1037">
        <v>582.47286416590202</v>
      </c>
      <c r="F1037">
        <v>0.98220533463752302</v>
      </c>
      <c r="G1037">
        <v>0.96106241300176798</v>
      </c>
      <c r="H1037" t="str">
        <f t="shared" si="16"/>
        <v>Q2</v>
      </c>
    </row>
    <row r="1038" spans="1:8">
      <c r="A1038">
        <v>736581</v>
      </c>
      <c r="B1038" t="s">
        <v>2618</v>
      </c>
      <c r="C1038">
        <v>272</v>
      </c>
      <c r="D1038">
        <v>2.1350324035772799</v>
      </c>
      <c r="E1038">
        <v>580.72881377302099</v>
      </c>
      <c r="F1038">
        <v>0.97212294496068596</v>
      </c>
      <c r="G1038">
        <v>0.96102479214476499</v>
      </c>
      <c r="H1038" t="str">
        <f t="shared" si="16"/>
        <v>Q2</v>
      </c>
    </row>
    <row r="1039" spans="1:8">
      <c r="A1039">
        <v>717445</v>
      </c>
      <c r="B1039" t="s">
        <v>3532</v>
      </c>
      <c r="C1039">
        <v>128</v>
      </c>
      <c r="D1039">
        <v>4.5338982570683601</v>
      </c>
      <c r="E1039">
        <v>580.33897690474998</v>
      </c>
      <c r="F1039">
        <v>0.93201911139535798</v>
      </c>
      <c r="G1039">
        <v>0.96098717128776201</v>
      </c>
      <c r="H1039" t="str">
        <f t="shared" si="16"/>
        <v>Q4</v>
      </c>
    </row>
    <row r="1040" spans="1:8">
      <c r="A1040">
        <v>748097</v>
      </c>
      <c r="B1040" t="s">
        <v>3551</v>
      </c>
      <c r="C1040">
        <v>252</v>
      </c>
      <c r="D1040">
        <v>2.3005851517645799</v>
      </c>
      <c r="E1040">
        <v>579.74745824467402</v>
      </c>
      <c r="F1040">
        <v>0.96930138068545202</v>
      </c>
      <c r="G1040">
        <v>0.96094955043075903</v>
      </c>
      <c r="H1040" t="str">
        <f t="shared" si="16"/>
        <v>Q2</v>
      </c>
    </row>
    <row r="1041" spans="1:8">
      <c r="A1041">
        <v>108775</v>
      </c>
      <c r="B1041" t="s">
        <v>4693</v>
      </c>
      <c r="C1041">
        <v>705</v>
      </c>
      <c r="D1041">
        <v>0.82217093451437395</v>
      </c>
      <c r="E1041">
        <v>579.63050883263304</v>
      </c>
      <c r="F1041">
        <v>0.994356871449532</v>
      </c>
      <c r="G1041">
        <v>0.96091192957375604</v>
      </c>
      <c r="H1041" t="str">
        <f t="shared" si="16"/>
        <v>Q2</v>
      </c>
    </row>
    <row r="1042" spans="1:8">
      <c r="A1042">
        <v>757926</v>
      </c>
      <c r="B1042" t="s">
        <v>4466</v>
      </c>
      <c r="C1042">
        <v>87</v>
      </c>
      <c r="D1042">
        <v>6.6565166002717504</v>
      </c>
      <c r="E1042">
        <v>579.11694422364201</v>
      </c>
      <c r="F1042">
        <v>0.89955231180166295</v>
      </c>
      <c r="G1042">
        <v>0.96087430871675295</v>
      </c>
      <c r="H1042" t="str">
        <f t="shared" si="16"/>
        <v>Q3</v>
      </c>
    </row>
    <row r="1043" spans="1:8">
      <c r="A1043">
        <v>724791</v>
      </c>
      <c r="B1043" t="s">
        <v>3772</v>
      </c>
      <c r="C1043">
        <v>181</v>
      </c>
      <c r="D1043">
        <v>3.1993444463577698</v>
      </c>
      <c r="E1043">
        <v>579.08134479075704</v>
      </c>
      <c r="F1043">
        <v>0.95387682931417195</v>
      </c>
      <c r="G1043">
        <v>0.96083668785974896</v>
      </c>
      <c r="H1043" t="str">
        <f t="shared" si="16"/>
        <v>Q2</v>
      </c>
    </row>
    <row r="1044" spans="1:8">
      <c r="A1044">
        <v>754910</v>
      </c>
      <c r="B1044" t="s">
        <v>3187</v>
      </c>
      <c r="C1044">
        <v>244</v>
      </c>
      <c r="D1044">
        <v>2.3727701795592799</v>
      </c>
      <c r="E1044">
        <v>578.95592381246399</v>
      </c>
      <c r="F1044">
        <v>0.96783416726232996</v>
      </c>
      <c r="G1044">
        <v>0.96079906700274598</v>
      </c>
      <c r="H1044" t="str">
        <f t="shared" si="16"/>
        <v>Q2</v>
      </c>
    </row>
    <row r="1045" spans="1:8">
      <c r="A1045">
        <v>797988</v>
      </c>
      <c r="B1045" t="s">
        <v>1849</v>
      </c>
      <c r="C1045">
        <v>237</v>
      </c>
      <c r="D1045">
        <v>2.4426017345601201</v>
      </c>
      <c r="E1045">
        <v>578.89661109074996</v>
      </c>
      <c r="F1045">
        <v>0.96678078326624295</v>
      </c>
      <c r="G1045">
        <v>0.96076144614574299</v>
      </c>
      <c r="H1045" t="str">
        <f t="shared" si="16"/>
        <v>Q2</v>
      </c>
    </row>
    <row r="1046" spans="1:8">
      <c r="A1046">
        <v>767687</v>
      </c>
      <c r="B1046" t="s">
        <v>2141</v>
      </c>
      <c r="C1046">
        <v>200</v>
      </c>
      <c r="D1046">
        <v>2.8883220283314599</v>
      </c>
      <c r="E1046">
        <v>577.66440566629205</v>
      </c>
      <c r="F1046">
        <v>0.95903088672360004</v>
      </c>
      <c r="G1046">
        <v>0.96072382528874001</v>
      </c>
      <c r="H1046" t="str">
        <f t="shared" si="16"/>
        <v>Q2</v>
      </c>
    </row>
    <row r="1047" spans="1:8">
      <c r="A1047">
        <v>774003</v>
      </c>
      <c r="B1047" t="s">
        <v>3272</v>
      </c>
      <c r="C1047">
        <v>90</v>
      </c>
      <c r="D1047">
        <v>6.4102824363443602</v>
      </c>
      <c r="E1047">
        <v>576.92541927099205</v>
      </c>
      <c r="F1047">
        <v>0.90267484293292199</v>
      </c>
      <c r="G1047">
        <v>0.96068620443173702</v>
      </c>
      <c r="H1047" t="str">
        <f t="shared" si="16"/>
        <v>Q3</v>
      </c>
    </row>
    <row r="1048" spans="1:8">
      <c r="A1048">
        <v>400246</v>
      </c>
      <c r="B1048" t="s">
        <v>1694</v>
      </c>
      <c r="C1048">
        <v>163</v>
      </c>
      <c r="D1048">
        <v>3.5387230831329801</v>
      </c>
      <c r="E1048">
        <v>576.81186255067598</v>
      </c>
      <c r="F1048">
        <v>0.94751890448064402</v>
      </c>
      <c r="G1048">
        <v>0.96064858357473404</v>
      </c>
      <c r="H1048" t="str">
        <f t="shared" si="16"/>
        <v>Q4</v>
      </c>
    </row>
    <row r="1049" spans="1:8">
      <c r="A1049">
        <v>684210</v>
      </c>
      <c r="B1049" t="s">
        <v>3068</v>
      </c>
      <c r="C1049">
        <v>133</v>
      </c>
      <c r="D1049">
        <v>4.33566973831757</v>
      </c>
      <c r="E1049">
        <v>576.64407519623603</v>
      </c>
      <c r="F1049">
        <v>0.93476543395658596</v>
      </c>
      <c r="G1049">
        <v>0.96061096271773105</v>
      </c>
      <c r="H1049" t="str">
        <f t="shared" si="16"/>
        <v>Q4</v>
      </c>
    </row>
    <row r="1050" spans="1:8">
      <c r="A1050">
        <v>760223</v>
      </c>
      <c r="B1050" t="s">
        <v>3351</v>
      </c>
      <c r="C1050">
        <v>290</v>
      </c>
      <c r="D1050">
        <v>1.9878549737341999</v>
      </c>
      <c r="E1050">
        <v>576.47794238291704</v>
      </c>
      <c r="F1050">
        <v>0.97460592152289205</v>
      </c>
      <c r="G1050">
        <v>0.96057334186072796</v>
      </c>
      <c r="H1050" t="str">
        <f t="shared" si="16"/>
        <v>Q2</v>
      </c>
    </row>
    <row r="1051" spans="1:8">
      <c r="A1051">
        <v>745843</v>
      </c>
      <c r="B1051" t="s">
        <v>161</v>
      </c>
      <c r="C1051">
        <v>294</v>
      </c>
      <c r="D1051">
        <v>1.9577597120624699</v>
      </c>
      <c r="E1051">
        <v>575.58135534636699</v>
      </c>
      <c r="F1051">
        <v>0.97532071780595198</v>
      </c>
      <c r="G1051">
        <v>0.96053572100372397</v>
      </c>
      <c r="H1051" t="str">
        <f t="shared" si="16"/>
        <v>Q2</v>
      </c>
    </row>
    <row r="1052" spans="1:8">
      <c r="A1052">
        <v>629061</v>
      </c>
      <c r="B1052" t="s">
        <v>3980</v>
      </c>
      <c r="C1052">
        <v>70</v>
      </c>
      <c r="D1052">
        <v>8.2195641739027803</v>
      </c>
      <c r="E1052">
        <v>575.369492173195</v>
      </c>
      <c r="F1052">
        <v>0.87555020503367098</v>
      </c>
      <c r="G1052">
        <v>0.96049810014672099</v>
      </c>
      <c r="H1052" t="str">
        <f t="shared" si="16"/>
        <v>Q3</v>
      </c>
    </row>
    <row r="1053" spans="1:8">
      <c r="A1053">
        <v>742274</v>
      </c>
      <c r="B1053" t="s">
        <v>1486</v>
      </c>
      <c r="C1053">
        <v>242</v>
      </c>
      <c r="D1053">
        <v>2.3770626172546501</v>
      </c>
      <c r="E1053">
        <v>575.24915337562595</v>
      </c>
      <c r="F1053">
        <v>0.96760844212031105</v>
      </c>
      <c r="G1053">
        <v>0.96046047928971801</v>
      </c>
      <c r="H1053" t="str">
        <f t="shared" si="16"/>
        <v>Q2</v>
      </c>
    </row>
    <row r="1054" spans="1:8">
      <c r="A1054">
        <v>711024</v>
      </c>
      <c r="B1054" t="s">
        <v>2297</v>
      </c>
      <c r="C1054">
        <v>160</v>
      </c>
      <c r="D1054">
        <v>3.5901165480027002</v>
      </c>
      <c r="E1054">
        <v>574.41864768043195</v>
      </c>
      <c r="F1054">
        <v>0.94646552048455701</v>
      </c>
      <c r="G1054">
        <v>0.96042285843271502</v>
      </c>
      <c r="H1054" t="str">
        <f t="shared" si="16"/>
        <v>Q4</v>
      </c>
    </row>
    <row r="1055" spans="1:8">
      <c r="A1055">
        <v>713782</v>
      </c>
      <c r="B1055" t="s">
        <v>2758</v>
      </c>
      <c r="C1055">
        <v>244</v>
      </c>
      <c r="D1055">
        <v>2.3529869437477302</v>
      </c>
      <c r="E1055">
        <v>574.12881427444495</v>
      </c>
      <c r="F1055">
        <v>0.96783416726232996</v>
      </c>
      <c r="G1055">
        <v>0.96038523757571204</v>
      </c>
      <c r="H1055" t="str">
        <f t="shared" si="16"/>
        <v>Q2</v>
      </c>
    </row>
    <row r="1056" spans="1:8">
      <c r="A1056">
        <v>707777</v>
      </c>
      <c r="B1056" t="s">
        <v>2249</v>
      </c>
      <c r="C1056">
        <v>118</v>
      </c>
      <c r="D1056">
        <v>4.8643063248719196</v>
      </c>
      <c r="E1056">
        <v>573.98814633488701</v>
      </c>
      <c r="F1056">
        <v>0.92592453256085205</v>
      </c>
      <c r="G1056">
        <v>0.96034761671870905</v>
      </c>
      <c r="H1056" t="str">
        <f t="shared" si="16"/>
        <v>Q4</v>
      </c>
    </row>
    <row r="1057" spans="1:8">
      <c r="A1057">
        <v>705799</v>
      </c>
      <c r="B1057" t="s">
        <v>3541</v>
      </c>
      <c r="C1057">
        <v>100</v>
      </c>
      <c r="D1057">
        <v>5.7337288521230203</v>
      </c>
      <c r="E1057">
        <v>573.37288521230198</v>
      </c>
      <c r="F1057">
        <v>0.91155336518565899</v>
      </c>
      <c r="G1057">
        <v>0.96030999586170596</v>
      </c>
      <c r="H1057" t="str">
        <f t="shared" si="16"/>
        <v>Q3</v>
      </c>
    </row>
    <row r="1058" spans="1:8">
      <c r="A1058">
        <v>720654</v>
      </c>
      <c r="B1058" t="s">
        <v>1722</v>
      </c>
      <c r="C1058">
        <v>59</v>
      </c>
      <c r="D1058">
        <v>9.7176675447973206</v>
      </c>
      <c r="E1058">
        <v>573.34238514304195</v>
      </c>
      <c r="F1058">
        <v>0.85617546367706299</v>
      </c>
      <c r="G1058">
        <v>0.96027237500470297</v>
      </c>
      <c r="H1058" t="str">
        <f t="shared" si="16"/>
        <v>Q3</v>
      </c>
    </row>
    <row r="1059" spans="1:8">
      <c r="A1059">
        <v>790666</v>
      </c>
      <c r="B1059" t="s">
        <v>1179</v>
      </c>
      <c r="C1059">
        <v>119</v>
      </c>
      <c r="D1059">
        <v>4.8156388698756203</v>
      </c>
      <c r="E1059">
        <v>573.06102551519905</v>
      </c>
      <c r="F1059">
        <v>0.92667694970091397</v>
      </c>
      <c r="G1059">
        <v>0.96023475414769899</v>
      </c>
      <c r="H1059" t="str">
        <f t="shared" si="16"/>
        <v>Q4</v>
      </c>
    </row>
    <row r="1060" spans="1:8">
      <c r="A1060">
        <v>736678</v>
      </c>
      <c r="B1060" t="s">
        <v>908</v>
      </c>
      <c r="C1060">
        <v>174</v>
      </c>
      <c r="D1060">
        <v>3.2933858769207198</v>
      </c>
      <c r="E1060">
        <v>573.04914258420501</v>
      </c>
      <c r="F1060">
        <v>0.95150671532297504</v>
      </c>
      <c r="G1060">
        <v>0.960197133290696</v>
      </c>
      <c r="H1060" t="str">
        <f t="shared" si="16"/>
        <v>Q2</v>
      </c>
    </row>
    <row r="1061" spans="1:8">
      <c r="A1061">
        <v>811913</v>
      </c>
      <c r="B1061" t="s">
        <v>2455</v>
      </c>
      <c r="C1061">
        <v>184</v>
      </c>
      <c r="D1061">
        <v>3.1143883273572399</v>
      </c>
      <c r="E1061">
        <v>573.04745223373197</v>
      </c>
      <c r="F1061">
        <v>0.95477972988224702</v>
      </c>
      <c r="G1061">
        <v>0.96015951243369302</v>
      </c>
      <c r="H1061" t="str">
        <f t="shared" si="16"/>
        <v>Q2</v>
      </c>
    </row>
    <row r="1062" spans="1:8">
      <c r="A1062">
        <v>758808</v>
      </c>
      <c r="B1062" t="s">
        <v>4935</v>
      </c>
      <c r="C1062">
        <v>229</v>
      </c>
      <c r="D1062">
        <v>2.5023240127344502</v>
      </c>
      <c r="E1062">
        <v>573.03219891618903</v>
      </c>
      <c r="F1062">
        <v>0.96512546555810497</v>
      </c>
      <c r="G1062">
        <v>0.96012189157669003</v>
      </c>
      <c r="H1062" t="str">
        <f t="shared" si="16"/>
        <v>Q2</v>
      </c>
    </row>
    <row r="1063" spans="1:8">
      <c r="A1063">
        <v>712915</v>
      </c>
      <c r="B1063" t="s">
        <v>4603</v>
      </c>
      <c r="C1063">
        <v>92</v>
      </c>
      <c r="D1063">
        <v>6.2266580254325401</v>
      </c>
      <c r="E1063">
        <v>572.85253833979402</v>
      </c>
      <c r="F1063">
        <v>0.90429253978405599</v>
      </c>
      <c r="G1063">
        <v>0.96008427071968705</v>
      </c>
      <c r="H1063" t="str">
        <f t="shared" si="16"/>
        <v>Q3</v>
      </c>
    </row>
    <row r="1064" spans="1:8">
      <c r="A1064">
        <v>510126</v>
      </c>
      <c r="B1064" t="s">
        <v>5088</v>
      </c>
      <c r="C1064">
        <v>120</v>
      </c>
      <c r="D1064">
        <v>4.7634464021151297</v>
      </c>
      <c r="E1064">
        <v>571.61356825381495</v>
      </c>
      <c r="F1064">
        <v>0.92731650426996703</v>
      </c>
      <c r="G1064">
        <v>0.96004664986268395</v>
      </c>
      <c r="H1064" t="str">
        <f t="shared" si="16"/>
        <v>Q4</v>
      </c>
    </row>
    <row r="1065" spans="1:8">
      <c r="A1065">
        <v>786657</v>
      </c>
      <c r="B1065" t="s">
        <v>3866</v>
      </c>
      <c r="C1065">
        <v>142</v>
      </c>
      <c r="D1065">
        <v>4.02041062069926</v>
      </c>
      <c r="E1065">
        <v>570.89830813929404</v>
      </c>
      <c r="F1065">
        <v>0.93954328279598198</v>
      </c>
      <c r="G1065">
        <v>0.96000902900568097</v>
      </c>
      <c r="H1065" t="str">
        <f t="shared" si="16"/>
        <v>Q4</v>
      </c>
    </row>
    <row r="1066" spans="1:8">
      <c r="A1066">
        <v>378447</v>
      </c>
      <c r="B1066" t="s">
        <v>5115</v>
      </c>
      <c r="C1066">
        <v>97</v>
      </c>
      <c r="D1066">
        <v>5.8842914226973804</v>
      </c>
      <c r="E1066">
        <v>570.77626800164603</v>
      </c>
      <c r="F1066">
        <v>0.909108009480456</v>
      </c>
      <c r="G1066">
        <v>0.95997140814867798</v>
      </c>
      <c r="H1066" t="str">
        <f t="shared" si="16"/>
        <v>Q3</v>
      </c>
    </row>
    <row r="1067" spans="1:8">
      <c r="A1067">
        <v>755745</v>
      </c>
      <c r="B1067" t="s">
        <v>4614</v>
      </c>
      <c r="C1067">
        <v>122</v>
      </c>
      <c r="D1067">
        <v>4.6767575170112003</v>
      </c>
      <c r="E1067">
        <v>570.56441707536601</v>
      </c>
      <c r="F1067">
        <v>0.92855799255106997</v>
      </c>
      <c r="G1067">
        <v>0.959933787291675</v>
      </c>
      <c r="H1067" t="str">
        <f t="shared" si="16"/>
        <v>Q4</v>
      </c>
    </row>
    <row r="1068" spans="1:8">
      <c r="A1068">
        <v>294008</v>
      </c>
      <c r="B1068" t="s">
        <v>2111</v>
      </c>
      <c r="C1068">
        <v>353</v>
      </c>
      <c r="D1068">
        <v>1.6149132670808299</v>
      </c>
      <c r="E1068">
        <v>570.06438327953197</v>
      </c>
      <c r="F1068">
        <v>0.98077574207140406</v>
      </c>
      <c r="G1068">
        <v>0.95989616643467102</v>
      </c>
      <c r="H1068" t="str">
        <f t="shared" si="16"/>
        <v>Q2</v>
      </c>
    </row>
    <row r="1069" spans="1:8">
      <c r="A1069">
        <v>790791</v>
      </c>
      <c r="B1069" t="s">
        <v>3683</v>
      </c>
      <c r="C1069">
        <v>143</v>
      </c>
      <c r="D1069">
        <v>3.98639327084476</v>
      </c>
      <c r="E1069">
        <v>570.05423773080099</v>
      </c>
      <c r="F1069">
        <v>0.940032353937023</v>
      </c>
      <c r="G1069">
        <v>0.95985854557766803</v>
      </c>
      <c r="H1069" t="str">
        <f t="shared" si="16"/>
        <v>Q4</v>
      </c>
    </row>
    <row r="1070" spans="1:8">
      <c r="A1070">
        <v>745247</v>
      </c>
      <c r="B1070" t="s">
        <v>1720</v>
      </c>
      <c r="C1070">
        <v>395</v>
      </c>
      <c r="D1070">
        <v>1.4420295579806901</v>
      </c>
      <c r="E1070">
        <v>569.60167540237296</v>
      </c>
      <c r="F1070">
        <v>0.983333960347617</v>
      </c>
      <c r="G1070">
        <v>0.95982092472066505</v>
      </c>
      <c r="H1070" t="str">
        <f t="shared" si="16"/>
        <v>Q2</v>
      </c>
    </row>
    <row r="1071" spans="1:8">
      <c r="A1071">
        <v>685347</v>
      </c>
      <c r="B1071" t="s">
        <v>1430</v>
      </c>
      <c r="C1071">
        <v>352</v>
      </c>
      <c r="D1071">
        <v>1.6168479683322201</v>
      </c>
      <c r="E1071">
        <v>569.13048485293996</v>
      </c>
      <c r="F1071">
        <v>0.98058763778638902</v>
      </c>
      <c r="G1071">
        <v>0.95978330386366195</v>
      </c>
      <c r="H1071" t="str">
        <f t="shared" si="16"/>
        <v>Q2</v>
      </c>
    </row>
    <row r="1072" spans="1:8">
      <c r="A1072">
        <v>607154</v>
      </c>
      <c r="B1072" t="s">
        <v>333</v>
      </c>
      <c r="C1072">
        <v>140</v>
      </c>
      <c r="D1072">
        <v>4.0607748273760098</v>
      </c>
      <c r="E1072">
        <v>568.50847583264101</v>
      </c>
      <c r="F1072">
        <v>0.93852751965689796</v>
      </c>
      <c r="G1072">
        <v>0.95974568300665897</v>
      </c>
      <c r="H1072" t="str">
        <f t="shared" si="16"/>
        <v>Q4</v>
      </c>
    </row>
    <row r="1073" spans="1:8">
      <c r="A1073">
        <v>768419</v>
      </c>
      <c r="B1073" t="s">
        <v>1969</v>
      </c>
      <c r="C1073">
        <v>142</v>
      </c>
      <c r="D1073">
        <v>4.0013487358958004</v>
      </c>
      <c r="E1073">
        <v>568.19152049720299</v>
      </c>
      <c r="F1073">
        <v>0.93954328279598198</v>
      </c>
      <c r="G1073">
        <v>0.95970806214965598</v>
      </c>
      <c r="H1073" t="str">
        <f t="shared" si="16"/>
        <v>Q4</v>
      </c>
    </row>
    <row r="1074" spans="1:8">
      <c r="A1074">
        <v>713692</v>
      </c>
      <c r="B1074" t="s">
        <v>3409</v>
      </c>
      <c r="C1074">
        <v>211</v>
      </c>
      <c r="D1074">
        <v>2.6899911043944802</v>
      </c>
      <c r="E1074">
        <v>567.58812302723504</v>
      </c>
      <c r="F1074">
        <v>0.961814830141831</v>
      </c>
      <c r="G1074">
        <v>0.959670441292653</v>
      </c>
      <c r="H1074" t="str">
        <f t="shared" si="16"/>
        <v>Q2</v>
      </c>
    </row>
    <row r="1075" spans="1:8">
      <c r="A1075">
        <v>694410</v>
      </c>
      <c r="B1075" t="s">
        <v>2520</v>
      </c>
      <c r="C1075">
        <v>101</v>
      </c>
      <c r="D1075">
        <v>5.6189127211080896</v>
      </c>
      <c r="E1075">
        <v>567.51018483191694</v>
      </c>
      <c r="F1075">
        <v>0.91245626575373395</v>
      </c>
      <c r="G1075">
        <v>0.95963282043565001</v>
      </c>
      <c r="H1075" t="str">
        <f t="shared" si="16"/>
        <v>Q3</v>
      </c>
    </row>
    <row r="1076" spans="1:8">
      <c r="A1076">
        <v>492897</v>
      </c>
      <c r="B1076" t="s">
        <v>205</v>
      </c>
      <c r="C1076">
        <v>238</v>
      </c>
      <c r="D1076">
        <v>2.3835564767863602</v>
      </c>
      <c r="E1076">
        <v>567.28644147515297</v>
      </c>
      <c r="F1076">
        <v>0.966931266694255</v>
      </c>
      <c r="G1076">
        <v>0.95959519957864603</v>
      </c>
      <c r="H1076" t="str">
        <f t="shared" si="16"/>
        <v>Q2</v>
      </c>
    </row>
    <row r="1077" spans="1:8">
      <c r="A1077">
        <v>647982</v>
      </c>
      <c r="B1077" t="s">
        <v>1227</v>
      </c>
      <c r="C1077">
        <v>126</v>
      </c>
      <c r="D1077">
        <v>4.5013586820531897</v>
      </c>
      <c r="E1077">
        <v>567.171193938702</v>
      </c>
      <c r="F1077">
        <v>0.93096572739926997</v>
      </c>
      <c r="G1077">
        <v>0.95955757872164305</v>
      </c>
      <c r="H1077" t="str">
        <f t="shared" si="16"/>
        <v>Q4</v>
      </c>
    </row>
    <row r="1078" spans="1:8">
      <c r="A1078">
        <v>689047</v>
      </c>
      <c r="B1078" t="s">
        <v>4869</v>
      </c>
      <c r="C1078">
        <v>97</v>
      </c>
      <c r="D1078">
        <v>5.8449066906553</v>
      </c>
      <c r="E1078">
        <v>566.95594899356399</v>
      </c>
      <c r="F1078">
        <v>0.909108009480456</v>
      </c>
      <c r="G1078">
        <v>0.95951995786463995</v>
      </c>
      <c r="H1078" t="str">
        <f t="shared" si="16"/>
        <v>Q3</v>
      </c>
    </row>
    <row r="1079" spans="1:8">
      <c r="A1079">
        <v>649662</v>
      </c>
      <c r="B1079" t="s">
        <v>5184</v>
      </c>
      <c r="C1079">
        <v>102</v>
      </c>
      <c r="D1079">
        <v>5.5565137671781502</v>
      </c>
      <c r="E1079">
        <v>566.76440425217197</v>
      </c>
      <c r="F1079">
        <v>0.91332154546480604</v>
      </c>
      <c r="G1079">
        <v>0.95948233700763697</v>
      </c>
      <c r="H1079" t="str">
        <f t="shared" si="16"/>
        <v>Q3</v>
      </c>
    </row>
    <row r="1080" spans="1:8">
      <c r="A1080">
        <v>766440</v>
      </c>
      <c r="B1080" t="s">
        <v>3171</v>
      </c>
      <c r="C1080">
        <v>180</v>
      </c>
      <c r="D1080">
        <v>3.1476553094883801</v>
      </c>
      <c r="E1080">
        <v>566.57795570790802</v>
      </c>
      <c r="F1080">
        <v>0.95346299988713701</v>
      </c>
      <c r="G1080">
        <v>0.95944471615063398</v>
      </c>
      <c r="H1080" t="str">
        <f t="shared" si="16"/>
        <v>Q2</v>
      </c>
    </row>
    <row r="1081" spans="1:8">
      <c r="A1081">
        <v>774148</v>
      </c>
      <c r="B1081" t="s">
        <v>5018</v>
      </c>
      <c r="C1081">
        <v>157</v>
      </c>
      <c r="D1081">
        <v>3.6086473127554202</v>
      </c>
      <c r="E1081">
        <v>566.55762810260103</v>
      </c>
      <c r="F1081">
        <v>0.94518641134644998</v>
      </c>
      <c r="G1081">
        <v>0.959407095293631</v>
      </c>
      <c r="H1081" t="str">
        <f t="shared" si="16"/>
        <v>Q4</v>
      </c>
    </row>
    <row r="1082" spans="1:8">
      <c r="A1082">
        <v>754267</v>
      </c>
      <c r="B1082" t="s">
        <v>5248</v>
      </c>
      <c r="C1082">
        <v>423</v>
      </c>
      <c r="D1082">
        <v>1.33911523159954</v>
      </c>
      <c r="E1082">
        <v>566.44574296660699</v>
      </c>
      <c r="F1082">
        <v>0.98525262405477598</v>
      </c>
      <c r="G1082">
        <v>0.95936947443662801</v>
      </c>
      <c r="H1082" t="str">
        <f t="shared" si="16"/>
        <v>Q2</v>
      </c>
    </row>
    <row r="1083" spans="1:8">
      <c r="A1083">
        <v>736983</v>
      </c>
      <c r="B1083" t="s">
        <v>1082</v>
      </c>
      <c r="C1083">
        <v>121</v>
      </c>
      <c r="D1083">
        <v>4.6812859656335402</v>
      </c>
      <c r="E1083">
        <v>566.43560184165801</v>
      </c>
      <c r="F1083">
        <v>0.92788081712501402</v>
      </c>
      <c r="G1083">
        <v>0.95933185357962503</v>
      </c>
      <c r="H1083" t="str">
        <f t="shared" si="16"/>
        <v>Q4</v>
      </c>
    </row>
    <row r="1084" spans="1:8">
      <c r="A1084">
        <v>753210</v>
      </c>
      <c r="B1084" t="s">
        <v>673</v>
      </c>
      <c r="C1084">
        <v>403</v>
      </c>
      <c r="D1084">
        <v>1.40476506134084</v>
      </c>
      <c r="E1084">
        <v>566.120319720358</v>
      </c>
      <c r="F1084">
        <v>0.98386065234566</v>
      </c>
      <c r="G1084">
        <v>0.95929423272262104</v>
      </c>
      <c r="H1084" t="str">
        <f t="shared" si="16"/>
        <v>Q2</v>
      </c>
    </row>
    <row r="1085" spans="1:8">
      <c r="A1085">
        <v>681657</v>
      </c>
      <c r="B1085" t="s">
        <v>1889</v>
      </c>
      <c r="C1085">
        <v>291</v>
      </c>
      <c r="D1085">
        <v>1.9450811663629699</v>
      </c>
      <c r="E1085">
        <v>566.01861941162497</v>
      </c>
      <c r="F1085">
        <v>0.97475640495090499</v>
      </c>
      <c r="G1085">
        <v>0.95925661186561795</v>
      </c>
      <c r="H1085" t="str">
        <f t="shared" si="16"/>
        <v>Q2</v>
      </c>
    </row>
    <row r="1086" spans="1:8">
      <c r="A1086">
        <v>733045</v>
      </c>
      <c r="B1086" t="s">
        <v>426</v>
      </c>
      <c r="C1086">
        <v>374</v>
      </c>
      <c r="D1086">
        <v>1.5117283945375299</v>
      </c>
      <c r="E1086">
        <v>565.38641955703497</v>
      </c>
      <c r="F1086">
        <v>0.98216771378052004</v>
      </c>
      <c r="G1086">
        <v>0.95921899100861496</v>
      </c>
      <c r="H1086" t="str">
        <f t="shared" si="16"/>
        <v>Q2</v>
      </c>
    </row>
    <row r="1087" spans="1:8">
      <c r="A1087">
        <v>746326</v>
      </c>
      <c r="B1087" t="s">
        <v>4236</v>
      </c>
      <c r="C1087">
        <v>147</v>
      </c>
      <c r="D1087">
        <v>3.8443099282884701</v>
      </c>
      <c r="E1087">
        <v>565.11355945840501</v>
      </c>
      <c r="F1087">
        <v>0.94195101764418199</v>
      </c>
      <c r="G1087">
        <v>0.95918137015161198</v>
      </c>
      <c r="H1087" t="str">
        <f t="shared" si="16"/>
        <v>Q4</v>
      </c>
    </row>
    <row r="1088" spans="1:8">
      <c r="A1088">
        <v>772898</v>
      </c>
      <c r="B1088" t="s">
        <v>1174</v>
      </c>
      <c r="C1088">
        <v>202</v>
      </c>
      <c r="D1088">
        <v>2.7949907134591401</v>
      </c>
      <c r="E1088">
        <v>564.58812411874499</v>
      </c>
      <c r="F1088">
        <v>0.95951995786463995</v>
      </c>
      <c r="G1088">
        <v>0.95914374929460899</v>
      </c>
      <c r="H1088" t="str">
        <f t="shared" si="16"/>
        <v>Q2</v>
      </c>
    </row>
    <row r="1089" spans="1:8">
      <c r="A1089">
        <v>724729</v>
      </c>
      <c r="B1089" t="s">
        <v>4559</v>
      </c>
      <c r="C1089">
        <v>204</v>
      </c>
      <c r="D1089">
        <v>2.76684940247066</v>
      </c>
      <c r="E1089">
        <v>564.43727810401504</v>
      </c>
      <c r="F1089">
        <v>0.96015951243369302</v>
      </c>
      <c r="G1089">
        <v>0.95910612843760601</v>
      </c>
      <c r="H1089" t="str">
        <f t="shared" si="16"/>
        <v>Q2</v>
      </c>
    </row>
    <row r="1090" spans="1:8">
      <c r="A1090">
        <v>724626</v>
      </c>
      <c r="B1090" t="s">
        <v>1282</v>
      </c>
      <c r="C1090">
        <v>117</v>
      </c>
      <c r="D1090">
        <v>4.82041139282987</v>
      </c>
      <c r="E1090">
        <v>563.98813296109404</v>
      </c>
      <c r="F1090">
        <v>0.925247357134796</v>
      </c>
      <c r="G1090">
        <v>0.95906850758060302</v>
      </c>
      <c r="H1090" t="str">
        <f t="shared" si="16"/>
        <v>Q4</v>
      </c>
    </row>
    <row r="1091" spans="1:8">
      <c r="A1091">
        <v>756097</v>
      </c>
      <c r="B1091" t="s">
        <v>5025</v>
      </c>
      <c r="C1091">
        <v>189</v>
      </c>
      <c r="D1091">
        <v>2.9820733058152999</v>
      </c>
      <c r="E1091">
        <v>563.61185479909204</v>
      </c>
      <c r="F1091">
        <v>0.95605883902035305</v>
      </c>
      <c r="G1091">
        <v>0.95903088672360004</v>
      </c>
      <c r="H1091" t="str">
        <f t="shared" ref="H1091:H1154" si="17">IF(C1091&gt;$J$2,
   IF(D1091&gt;$J$3,"Q1","Q2"),
   IF(D1091&gt;$J$3,"Q3","Q4"))</f>
        <v>Q2</v>
      </c>
    </row>
    <row r="1092" spans="1:8">
      <c r="A1092">
        <v>537346</v>
      </c>
      <c r="B1092" t="s">
        <v>4051</v>
      </c>
      <c r="C1092">
        <v>243</v>
      </c>
      <c r="D1092">
        <v>2.31933456082893</v>
      </c>
      <c r="E1092">
        <v>563.59829828143097</v>
      </c>
      <c r="F1092">
        <v>0.96775892554832399</v>
      </c>
      <c r="G1092">
        <v>0.95899326586659595</v>
      </c>
      <c r="H1092" t="str">
        <f t="shared" si="17"/>
        <v>Q2</v>
      </c>
    </row>
    <row r="1093" spans="1:8">
      <c r="A1093">
        <v>759117</v>
      </c>
      <c r="B1093" t="s">
        <v>1116</v>
      </c>
      <c r="C1093">
        <v>71</v>
      </c>
      <c r="D1093">
        <v>7.9243973035260398</v>
      </c>
      <c r="E1093">
        <v>562.63220855034899</v>
      </c>
      <c r="F1093">
        <v>0.87799556073887397</v>
      </c>
      <c r="G1093">
        <v>0.95895564500959296</v>
      </c>
      <c r="H1093" t="str">
        <f t="shared" si="17"/>
        <v>Q3</v>
      </c>
    </row>
    <row r="1094" spans="1:8">
      <c r="A1094">
        <v>788261</v>
      </c>
      <c r="B1094" t="s">
        <v>263</v>
      </c>
      <c r="C1094">
        <v>696</v>
      </c>
      <c r="D1094">
        <v>0.80776348801720499</v>
      </c>
      <c r="E1094">
        <v>562.20338765997406</v>
      </c>
      <c r="F1094">
        <v>0.99428162973552503</v>
      </c>
      <c r="G1094">
        <v>0.95891802415258998</v>
      </c>
      <c r="H1094" t="str">
        <f t="shared" si="17"/>
        <v>Q2</v>
      </c>
    </row>
    <row r="1095" spans="1:8">
      <c r="A1095">
        <v>781688</v>
      </c>
      <c r="B1095" t="s">
        <v>1342</v>
      </c>
      <c r="C1095">
        <v>89</v>
      </c>
      <c r="D1095">
        <v>6.3147781437702397</v>
      </c>
      <c r="E1095">
        <v>562.01525479555096</v>
      </c>
      <c r="F1095">
        <v>0.90135811293781298</v>
      </c>
      <c r="G1095">
        <v>0.95888040329558699</v>
      </c>
      <c r="H1095" t="str">
        <f t="shared" si="17"/>
        <v>Q3</v>
      </c>
    </row>
    <row r="1096" spans="1:8">
      <c r="A1096">
        <v>559630</v>
      </c>
      <c r="B1096" t="s">
        <v>4903</v>
      </c>
      <c r="C1096">
        <v>249</v>
      </c>
      <c r="D1096">
        <v>2.2555442120184201</v>
      </c>
      <c r="E1096">
        <v>561.63050879258697</v>
      </c>
      <c r="F1096">
        <v>0.96873706783040503</v>
      </c>
      <c r="G1096">
        <v>0.95884278243858401</v>
      </c>
      <c r="H1096" t="str">
        <f t="shared" si="17"/>
        <v>Q2</v>
      </c>
    </row>
    <row r="1097" spans="1:8">
      <c r="A1097">
        <v>733438</v>
      </c>
      <c r="B1097" t="s">
        <v>2396</v>
      </c>
      <c r="C1097">
        <v>173</v>
      </c>
      <c r="D1097">
        <v>3.2407170893742898</v>
      </c>
      <c r="E1097">
        <v>560.64405646175101</v>
      </c>
      <c r="F1097">
        <v>0.95116812760994696</v>
      </c>
      <c r="G1097">
        <v>0.95880516158158102</v>
      </c>
      <c r="H1097" t="str">
        <f t="shared" si="17"/>
        <v>Q2</v>
      </c>
    </row>
    <row r="1098" spans="1:8">
      <c r="A1098">
        <v>827349</v>
      </c>
      <c r="B1098" t="s">
        <v>1168</v>
      </c>
      <c r="C1098">
        <v>96</v>
      </c>
      <c r="D1098">
        <v>5.8302789286244696</v>
      </c>
      <c r="E1098">
        <v>559.70677714794897</v>
      </c>
      <c r="F1098">
        <v>0.90812986719837496</v>
      </c>
      <c r="G1098">
        <v>0.95876754072457804</v>
      </c>
      <c r="H1098" t="str">
        <f t="shared" si="17"/>
        <v>Q3</v>
      </c>
    </row>
    <row r="1099" spans="1:8">
      <c r="A1099">
        <v>753214</v>
      </c>
      <c r="B1099" t="s">
        <v>3935</v>
      </c>
      <c r="C1099">
        <v>771</v>
      </c>
      <c r="D1099">
        <v>0.72592055327204696</v>
      </c>
      <c r="E1099">
        <v>559.68474657274805</v>
      </c>
      <c r="F1099">
        <v>0.99522215116060297</v>
      </c>
      <c r="G1099">
        <v>0.95872991986757505</v>
      </c>
      <c r="H1099" t="str">
        <f t="shared" si="17"/>
        <v>Q2</v>
      </c>
    </row>
    <row r="1100" spans="1:8">
      <c r="A1100">
        <v>674047</v>
      </c>
      <c r="B1100" t="s">
        <v>3516</v>
      </c>
      <c r="C1100">
        <v>51</v>
      </c>
      <c r="D1100">
        <v>10.9540045042248</v>
      </c>
      <c r="E1100">
        <v>558.65422971546604</v>
      </c>
      <c r="F1100">
        <v>0.83762838117452298</v>
      </c>
      <c r="G1100">
        <v>0.95869229901057196</v>
      </c>
      <c r="H1100" t="str">
        <f t="shared" si="17"/>
        <v>Q3</v>
      </c>
    </row>
    <row r="1101" spans="1:8">
      <c r="A1101">
        <v>809230</v>
      </c>
      <c r="B1101" t="s">
        <v>1706</v>
      </c>
      <c r="C1101">
        <v>112</v>
      </c>
      <c r="D1101">
        <v>4.9822639881832798</v>
      </c>
      <c r="E1101">
        <v>558.01356667652703</v>
      </c>
      <c r="F1101">
        <v>0.92156051314848997</v>
      </c>
      <c r="G1101">
        <v>0.95865467815356797</v>
      </c>
      <c r="H1101" t="str">
        <f t="shared" si="17"/>
        <v>Q3</v>
      </c>
    </row>
    <row r="1102" spans="1:8">
      <c r="A1102">
        <v>781548</v>
      </c>
      <c r="B1102" t="s">
        <v>4030</v>
      </c>
      <c r="C1102">
        <v>59</v>
      </c>
      <c r="D1102">
        <v>9.4205976479639393</v>
      </c>
      <c r="E1102">
        <v>555.81526122987304</v>
      </c>
      <c r="F1102">
        <v>0.85617546367706299</v>
      </c>
      <c r="G1102">
        <v>0.95861705729656499</v>
      </c>
      <c r="H1102" t="str">
        <f t="shared" si="17"/>
        <v>Q3</v>
      </c>
    </row>
    <row r="1103" spans="1:8">
      <c r="A1103">
        <v>746730</v>
      </c>
      <c r="B1103" t="s">
        <v>1870</v>
      </c>
      <c r="C1103">
        <v>138</v>
      </c>
      <c r="D1103">
        <v>4.0255957296576996</v>
      </c>
      <c r="E1103">
        <v>555.53221069276299</v>
      </c>
      <c r="F1103">
        <v>0.93747413566080995</v>
      </c>
      <c r="G1103">
        <v>0.958579436439562</v>
      </c>
      <c r="H1103" t="str">
        <f t="shared" si="17"/>
        <v>Q4</v>
      </c>
    </row>
    <row r="1104" spans="1:8">
      <c r="A1104">
        <v>746268</v>
      </c>
      <c r="B1104" t="s">
        <v>1950</v>
      </c>
      <c r="C1104">
        <v>74</v>
      </c>
      <c r="D1104">
        <v>7.5022904781272297</v>
      </c>
      <c r="E1104">
        <v>555.169495381415</v>
      </c>
      <c r="F1104">
        <v>0.88307437643429498</v>
      </c>
      <c r="G1104">
        <v>0.95854181558255902</v>
      </c>
      <c r="H1104" t="str">
        <f t="shared" si="17"/>
        <v>Q3</v>
      </c>
    </row>
    <row r="1105" spans="1:8">
      <c r="A1105">
        <v>793137</v>
      </c>
      <c r="B1105" t="s">
        <v>471</v>
      </c>
      <c r="C1105">
        <v>179</v>
      </c>
      <c r="D1105">
        <v>3.1014486762315201</v>
      </c>
      <c r="E1105">
        <v>555.15931304544199</v>
      </c>
      <c r="F1105">
        <v>0.95308679131710605</v>
      </c>
      <c r="G1105">
        <v>0.95850419472555604</v>
      </c>
      <c r="H1105" t="str">
        <f t="shared" si="17"/>
        <v>Q2</v>
      </c>
    </row>
    <row r="1106" spans="1:8">
      <c r="A1106">
        <v>305304</v>
      </c>
      <c r="B1106" t="s">
        <v>688</v>
      </c>
      <c r="C1106">
        <v>199</v>
      </c>
      <c r="D1106">
        <v>2.78927688018873</v>
      </c>
      <c r="E1106">
        <v>555.06609915755701</v>
      </c>
      <c r="F1106">
        <v>0.95872991986757505</v>
      </c>
      <c r="G1106">
        <v>0.95846657386855305</v>
      </c>
      <c r="H1106" t="str">
        <f t="shared" si="17"/>
        <v>Q2</v>
      </c>
    </row>
    <row r="1107" spans="1:8">
      <c r="A1107">
        <v>794768</v>
      </c>
      <c r="B1107" t="s">
        <v>3138</v>
      </c>
      <c r="C1107">
        <v>131</v>
      </c>
      <c r="D1107">
        <v>4.2363048879472398</v>
      </c>
      <c r="E1107">
        <v>554.95594032108795</v>
      </c>
      <c r="F1107">
        <v>0.93374967081750104</v>
      </c>
      <c r="G1107">
        <v>0.95842895301154996</v>
      </c>
      <c r="H1107" t="str">
        <f t="shared" si="17"/>
        <v>Q4</v>
      </c>
    </row>
    <row r="1108" spans="1:8">
      <c r="A1108">
        <v>623115</v>
      </c>
      <c r="B1108" t="s">
        <v>2360</v>
      </c>
      <c r="C1108">
        <v>133</v>
      </c>
      <c r="D1108">
        <v>4.1711355251421196</v>
      </c>
      <c r="E1108">
        <v>554.76102484390105</v>
      </c>
      <c r="F1108">
        <v>0.93476543395658596</v>
      </c>
      <c r="G1108">
        <v>0.95839133215454697</v>
      </c>
      <c r="H1108" t="str">
        <f t="shared" si="17"/>
        <v>Q4</v>
      </c>
    </row>
    <row r="1109" spans="1:8">
      <c r="A1109">
        <v>681182</v>
      </c>
      <c r="B1109" t="s">
        <v>2034</v>
      </c>
      <c r="C1109">
        <v>318</v>
      </c>
      <c r="D1109">
        <v>1.7440411418899</v>
      </c>
      <c r="E1109">
        <v>554.60508312098705</v>
      </c>
      <c r="F1109">
        <v>0.97784131522516105</v>
      </c>
      <c r="G1109">
        <v>0.95835371129754299</v>
      </c>
      <c r="H1109" t="str">
        <f t="shared" si="17"/>
        <v>Q2</v>
      </c>
    </row>
    <row r="1110" spans="1:8">
      <c r="A1110">
        <v>784229</v>
      </c>
      <c r="B1110" t="s">
        <v>1407</v>
      </c>
      <c r="C1110">
        <v>127</v>
      </c>
      <c r="D1110">
        <v>4.3642733935413398</v>
      </c>
      <c r="E1110">
        <v>554.26272097975004</v>
      </c>
      <c r="F1110">
        <v>0.93141717768330801</v>
      </c>
      <c r="G1110">
        <v>0.95831609044054</v>
      </c>
      <c r="H1110" t="str">
        <f t="shared" si="17"/>
        <v>Q4</v>
      </c>
    </row>
    <row r="1111" spans="1:8">
      <c r="A1111">
        <v>746332</v>
      </c>
      <c r="B1111" t="s">
        <v>1106</v>
      </c>
      <c r="C1111">
        <v>183</v>
      </c>
      <c r="D1111">
        <v>3.02328417876664</v>
      </c>
      <c r="E1111">
        <v>553.26100471429504</v>
      </c>
      <c r="F1111">
        <v>0.95447876302622203</v>
      </c>
      <c r="G1111">
        <v>0.95827846958353702</v>
      </c>
      <c r="H1111" t="str">
        <f t="shared" si="17"/>
        <v>Q2</v>
      </c>
    </row>
    <row r="1112" spans="1:8">
      <c r="A1112">
        <v>757741</v>
      </c>
      <c r="B1112" t="s">
        <v>4781</v>
      </c>
      <c r="C1112">
        <v>235</v>
      </c>
      <c r="D1112">
        <v>2.3489073168565602</v>
      </c>
      <c r="E1112">
        <v>551.99321946129203</v>
      </c>
      <c r="F1112">
        <v>0.96655505812422404</v>
      </c>
      <c r="G1112">
        <v>0.95824084872653403</v>
      </c>
      <c r="H1112" t="str">
        <f t="shared" si="17"/>
        <v>Q2</v>
      </c>
    </row>
    <row r="1113" spans="1:8">
      <c r="A1113">
        <v>640539</v>
      </c>
      <c r="B1113" t="s">
        <v>3681</v>
      </c>
      <c r="C1113">
        <v>174</v>
      </c>
      <c r="D1113">
        <v>3.16875116717627</v>
      </c>
      <c r="E1113">
        <v>551.36270308867097</v>
      </c>
      <c r="F1113">
        <v>0.95150671532297504</v>
      </c>
      <c r="G1113">
        <v>0.95820322786953105</v>
      </c>
      <c r="H1113" t="str">
        <f t="shared" si="17"/>
        <v>Q2</v>
      </c>
    </row>
    <row r="1114" spans="1:8">
      <c r="A1114">
        <v>746087</v>
      </c>
      <c r="B1114" t="s">
        <v>2405</v>
      </c>
      <c r="C1114">
        <v>171</v>
      </c>
      <c r="D1114">
        <v>3.2222320788610701</v>
      </c>
      <c r="E1114">
        <v>551.00168548524402</v>
      </c>
      <c r="F1114">
        <v>0.95041571046988405</v>
      </c>
      <c r="G1114">
        <v>0.95816560701252795</v>
      </c>
      <c r="H1114" t="str">
        <f t="shared" si="17"/>
        <v>Q2</v>
      </c>
    </row>
    <row r="1115" spans="1:8">
      <c r="A1115">
        <v>735793</v>
      </c>
      <c r="B1115" t="s">
        <v>1633</v>
      </c>
      <c r="C1115">
        <v>137</v>
      </c>
      <c r="D1115">
        <v>4.0172584450049103</v>
      </c>
      <c r="E1115">
        <v>550.36440696567297</v>
      </c>
      <c r="F1115">
        <v>0.93687220194875998</v>
      </c>
      <c r="G1115">
        <v>0.95812798615552497</v>
      </c>
      <c r="H1115" t="str">
        <f t="shared" si="17"/>
        <v>Q4</v>
      </c>
    </row>
    <row r="1116" spans="1:8">
      <c r="A1116">
        <v>814962</v>
      </c>
      <c r="B1116" t="s">
        <v>3611</v>
      </c>
      <c r="C1116">
        <v>71</v>
      </c>
      <c r="D1116">
        <v>7.7489377327368301</v>
      </c>
      <c r="E1116">
        <v>550.17457902431499</v>
      </c>
      <c r="F1116">
        <v>0.87799556073887397</v>
      </c>
      <c r="G1116">
        <v>0.95809036529852198</v>
      </c>
      <c r="H1116" t="str">
        <f t="shared" si="17"/>
        <v>Q3</v>
      </c>
    </row>
    <row r="1117" spans="1:8">
      <c r="A1117">
        <v>611020</v>
      </c>
      <c r="B1117" t="s">
        <v>4521</v>
      </c>
      <c r="C1117">
        <v>120</v>
      </c>
      <c r="D1117">
        <v>4.5759463263675597</v>
      </c>
      <c r="E1117">
        <v>549.11355916410696</v>
      </c>
      <c r="F1117">
        <v>0.92731650426996703</v>
      </c>
      <c r="G1117">
        <v>0.958052744441518</v>
      </c>
      <c r="H1117" t="str">
        <f t="shared" si="17"/>
        <v>Q4</v>
      </c>
    </row>
    <row r="1118" spans="1:8">
      <c r="A1118">
        <v>710876</v>
      </c>
      <c r="B1118" t="s">
        <v>2527</v>
      </c>
      <c r="C1118">
        <v>134</v>
      </c>
      <c r="D1118">
        <v>4.0960662887056403</v>
      </c>
      <c r="E1118">
        <v>548.87288268655504</v>
      </c>
      <c r="F1118">
        <v>0.93551785109664798</v>
      </c>
      <c r="G1118">
        <v>0.95801512358451502</v>
      </c>
      <c r="H1118" t="str">
        <f t="shared" si="17"/>
        <v>Q4</v>
      </c>
    </row>
    <row r="1119" spans="1:8">
      <c r="A1119">
        <v>786307</v>
      </c>
      <c r="B1119" t="s">
        <v>4249</v>
      </c>
      <c r="C1119">
        <v>255</v>
      </c>
      <c r="D1119">
        <v>2.1522431908284898</v>
      </c>
      <c r="E1119">
        <v>548.82201366126503</v>
      </c>
      <c r="F1119">
        <v>0.96982807268349602</v>
      </c>
      <c r="G1119">
        <v>0.95797750272751203</v>
      </c>
      <c r="H1119" t="str">
        <f t="shared" si="17"/>
        <v>Q2</v>
      </c>
    </row>
    <row r="1120" spans="1:8">
      <c r="A1120">
        <v>589017</v>
      </c>
      <c r="B1120" t="s">
        <v>4658</v>
      </c>
      <c r="C1120">
        <v>134</v>
      </c>
      <c r="D1120">
        <v>4.0922843427188802</v>
      </c>
      <c r="E1120">
        <v>548.36610192433</v>
      </c>
      <c r="F1120">
        <v>0.93551785109664798</v>
      </c>
      <c r="G1120">
        <v>0.95793988187050905</v>
      </c>
      <c r="H1120" t="str">
        <f t="shared" si="17"/>
        <v>Q4</v>
      </c>
    </row>
    <row r="1121" spans="1:8">
      <c r="A1121">
        <v>599742</v>
      </c>
      <c r="B1121" t="s">
        <v>3503</v>
      </c>
      <c r="C1121">
        <v>147</v>
      </c>
      <c r="D1121">
        <v>3.7282601176273298</v>
      </c>
      <c r="E1121">
        <v>548.05423729121696</v>
      </c>
      <c r="F1121">
        <v>0.94195101764418199</v>
      </c>
      <c r="G1121">
        <v>0.95790226101350595</v>
      </c>
      <c r="H1121" t="str">
        <f t="shared" si="17"/>
        <v>Q4</v>
      </c>
    </row>
    <row r="1122" spans="1:8">
      <c r="A1122">
        <v>766829</v>
      </c>
      <c r="B1122" t="s">
        <v>4348</v>
      </c>
      <c r="C1122">
        <v>179</v>
      </c>
      <c r="D1122">
        <v>3.0617270696720902</v>
      </c>
      <c r="E1122">
        <v>548.049145471305</v>
      </c>
      <c r="F1122">
        <v>0.95308679131710605</v>
      </c>
      <c r="G1122">
        <v>0.95786464015650297</v>
      </c>
      <c r="H1122" t="str">
        <f t="shared" si="17"/>
        <v>Q2</v>
      </c>
    </row>
    <row r="1123" spans="1:8">
      <c r="A1123">
        <v>716384</v>
      </c>
      <c r="B1123" t="s">
        <v>246</v>
      </c>
      <c r="C1123">
        <v>70</v>
      </c>
      <c r="D1123">
        <v>7.8251815826765103</v>
      </c>
      <c r="E1123">
        <v>547.76271078735601</v>
      </c>
      <c r="F1123">
        <v>0.87555020503367098</v>
      </c>
      <c r="G1123">
        <v>0.95782701929949998</v>
      </c>
      <c r="H1123" t="str">
        <f t="shared" si="17"/>
        <v>Q3</v>
      </c>
    </row>
    <row r="1124" spans="1:8">
      <c r="A1124">
        <v>760597</v>
      </c>
      <c r="B1124" t="s">
        <v>753</v>
      </c>
      <c r="C1124">
        <v>169</v>
      </c>
      <c r="D1124">
        <v>3.2387824122898698</v>
      </c>
      <c r="E1124">
        <v>547.35422767698799</v>
      </c>
      <c r="F1124">
        <v>0.94973853504382799</v>
      </c>
      <c r="G1124">
        <v>0.957789398442497</v>
      </c>
      <c r="H1124" t="str">
        <f t="shared" si="17"/>
        <v>Q2</v>
      </c>
    </row>
    <row r="1125" spans="1:8">
      <c r="A1125">
        <v>803757</v>
      </c>
      <c r="B1125" t="s">
        <v>701</v>
      </c>
      <c r="C1125">
        <v>345</v>
      </c>
      <c r="D1125">
        <v>1.5856398328922801</v>
      </c>
      <c r="E1125">
        <v>547.04574234783604</v>
      </c>
      <c r="F1125">
        <v>0.98013618750235099</v>
      </c>
      <c r="G1125">
        <v>0.95775177758549301</v>
      </c>
      <c r="H1125" t="str">
        <f t="shared" si="17"/>
        <v>Q2</v>
      </c>
    </row>
    <row r="1126" spans="1:8">
      <c r="A1126">
        <v>524825</v>
      </c>
      <c r="B1126" t="s">
        <v>2649</v>
      </c>
      <c r="C1126">
        <v>155</v>
      </c>
      <c r="D1126">
        <v>3.5292400275507299</v>
      </c>
      <c r="E1126">
        <v>547.03220427036297</v>
      </c>
      <c r="F1126">
        <v>0.94454685677739703</v>
      </c>
      <c r="G1126">
        <v>0.95771415672849003</v>
      </c>
      <c r="H1126" t="str">
        <f t="shared" si="17"/>
        <v>Q4</v>
      </c>
    </row>
    <row r="1127" spans="1:8">
      <c r="A1127">
        <v>787948</v>
      </c>
      <c r="B1127" t="s">
        <v>3921</v>
      </c>
      <c r="C1127">
        <v>44</v>
      </c>
      <c r="D1127">
        <v>12.4294301325625</v>
      </c>
      <c r="E1127">
        <v>546.89492583274796</v>
      </c>
      <c r="F1127">
        <v>0.817689326962868</v>
      </c>
      <c r="G1127">
        <v>0.95767653587148704</v>
      </c>
      <c r="H1127" t="str">
        <f t="shared" si="17"/>
        <v>Q3</v>
      </c>
    </row>
    <row r="1128" spans="1:8">
      <c r="A1128">
        <v>721545</v>
      </c>
      <c r="B1128" t="s">
        <v>2740</v>
      </c>
      <c r="C1128">
        <v>114</v>
      </c>
      <c r="D1128">
        <v>4.7957925305685496</v>
      </c>
      <c r="E1128">
        <v>546.72034848481405</v>
      </c>
      <c r="F1128">
        <v>0.92306534742861401</v>
      </c>
      <c r="G1128">
        <v>0.95763891501448395</v>
      </c>
      <c r="H1128" t="str">
        <f t="shared" si="17"/>
        <v>Q4</v>
      </c>
    </row>
    <row r="1129" spans="1:8">
      <c r="A1129">
        <v>698294</v>
      </c>
      <c r="B1129" t="s">
        <v>2436</v>
      </c>
      <c r="C1129">
        <v>270</v>
      </c>
      <c r="D1129">
        <v>2.02443179846914</v>
      </c>
      <c r="E1129">
        <v>546.59658558666695</v>
      </c>
      <c r="F1129">
        <v>0.97170911553365202</v>
      </c>
      <c r="G1129">
        <v>0.95760129415748096</v>
      </c>
      <c r="H1129" t="str">
        <f t="shared" si="17"/>
        <v>Q2</v>
      </c>
    </row>
    <row r="1130" spans="1:8">
      <c r="A1130">
        <v>732429</v>
      </c>
      <c r="B1130" t="s">
        <v>2945</v>
      </c>
      <c r="C1130">
        <v>53</v>
      </c>
      <c r="D1130">
        <v>10.2976973537567</v>
      </c>
      <c r="E1130">
        <v>545.77795974910305</v>
      </c>
      <c r="F1130">
        <v>0.84218050487190099</v>
      </c>
      <c r="G1130">
        <v>0.95756367330047798</v>
      </c>
      <c r="H1130" t="str">
        <f t="shared" si="17"/>
        <v>Q3</v>
      </c>
    </row>
    <row r="1131" spans="1:8">
      <c r="A1131">
        <v>795052</v>
      </c>
      <c r="B1131" t="s">
        <v>1289</v>
      </c>
      <c r="C1131">
        <v>61</v>
      </c>
      <c r="D1131">
        <v>8.9343430291189492</v>
      </c>
      <c r="E1131">
        <v>544.99492477625597</v>
      </c>
      <c r="F1131">
        <v>0.86035137880440904</v>
      </c>
      <c r="G1131">
        <v>0.957526052443475</v>
      </c>
      <c r="H1131" t="str">
        <f t="shared" si="17"/>
        <v>Q3</v>
      </c>
    </row>
    <row r="1132" spans="1:8">
      <c r="A1132">
        <v>638228</v>
      </c>
      <c r="B1132" t="s">
        <v>2992</v>
      </c>
      <c r="C1132">
        <v>126</v>
      </c>
      <c r="D1132">
        <v>4.3232849621701801</v>
      </c>
      <c r="E1132">
        <v>544.73390523344301</v>
      </c>
      <c r="F1132">
        <v>0.93096572739926997</v>
      </c>
      <c r="G1132">
        <v>0.95748843158647201</v>
      </c>
      <c r="H1132" t="str">
        <f t="shared" si="17"/>
        <v>Q4</v>
      </c>
    </row>
    <row r="1133" spans="1:8">
      <c r="A1133">
        <v>733077</v>
      </c>
      <c r="B1133" t="s">
        <v>1872</v>
      </c>
      <c r="C1133">
        <v>115</v>
      </c>
      <c r="D1133">
        <v>4.7339277633506303</v>
      </c>
      <c r="E1133">
        <v>544.40169278532301</v>
      </c>
      <c r="F1133">
        <v>0.92370490199766797</v>
      </c>
      <c r="G1133">
        <v>0.95745081072946803</v>
      </c>
      <c r="H1133" t="str">
        <f t="shared" si="17"/>
        <v>Q4</v>
      </c>
    </row>
    <row r="1134" spans="1:8">
      <c r="A1134">
        <v>765907</v>
      </c>
      <c r="B1134" t="s">
        <v>223</v>
      </c>
      <c r="C1134">
        <v>27</v>
      </c>
      <c r="D1134">
        <v>20.147645914996101</v>
      </c>
      <c r="E1134">
        <v>543.98643970489502</v>
      </c>
      <c r="F1134">
        <v>0.74312478838267904</v>
      </c>
      <c r="G1134">
        <v>0.95741318987246504</v>
      </c>
      <c r="H1134" t="str">
        <f t="shared" si="17"/>
        <v>Q3</v>
      </c>
    </row>
    <row r="1135" spans="1:8">
      <c r="A1135">
        <v>692632</v>
      </c>
      <c r="B1135" t="s">
        <v>1400</v>
      </c>
      <c r="C1135">
        <v>70</v>
      </c>
      <c r="D1135">
        <v>7.7474332334739797</v>
      </c>
      <c r="E1135">
        <v>542.32032634317898</v>
      </c>
      <c r="F1135">
        <v>0.87555020503367098</v>
      </c>
      <c r="G1135">
        <v>0.95737556901546195</v>
      </c>
      <c r="H1135" t="str">
        <f t="shared" si="17"/>
        <v>Q3</v>
      </c>
    </row>
    <row r="1136" spans="1:8">
      <c r="A1136">
        <v>828830</v>
      </c>
      <c r="B1136" t="s">
        <v>2008</v>
      </c>
      <c r="C1136">
        <v>85</v>
      </c>
      <c r="D1136">
        <v>6.3785842104869701</v>
      </c>
      <c r="E1136">
        <v>542.17965789139305</v>
      </c>
      <c r="F1136">
        <v>0.89721981866746903</v>
      </c>
      <c r="G1136">
        <v>0.95733794815845896</v>
      </c>
      <c r="H1136" t="str">
        <f t="shared" si="17"/>
        <v>Q3</v>
      </c>
    </row>
    <row r="1137" spans="1:8">
      <c r="A1137">
        <v>705988</v>
      </c>
      <c r="B1137" t="s">
        <v>3291</v>
      </c>
      <c r="C1137">
        <v>239</v>
      </c>
      <c r="D1137">
        <v>2.2673143796763</v>
      </c>
      <c r="E1137">
        <v>541.88813674263702</v>
      </c>
      <c r="F1137">
        <v>0.96700650840826197</v>
      </c>
      <c r="G1137">
        <v>0.95730032730145598</v>
      </c>
      <c r="H1137" t="str">
        <f t="shared" si="17"/>
        <v>Q2</v>
      </c>
    </row>
    <row r="1138" spans="1:8">
      <c r="A1138">
        <v>798579</v>
      </c>
      <c r="B1138" t="s">
        <v>4733</v>
      </c>
      <c r="C1138">
        <v>168</v>
      </c>
      <c r="D1138">
        <v>3.2249696874281502</v>
      </c>
      <c r="E1138">
        <v>541.79490748792898</v>
      </c>
      <c r="F1138">
        <v>0.94936232647379704</v>
      </c>
      <c r="G1138">
        <v>0.95726270644445299</v>
      </c>
      <c r="H1138" t="str">
        <f t="shared" si="17"/>
        <v>Q4</v>
      </c>
    </row>
    <row r="1139" spans="1:8">
      <c r="A1139">
        <v>774997</v>
      </c>
      <c r="B1139" t="s">
        <v>342</v>
      </c>
      <c r="C1139">
        <v>166</v>
      </c>
      <c r="D1139">
        <v>3.2633039971297402</v>
      </c>
      <c r="E1139">
        <v>541.70846352353703</v>
      </c>
      <c r="F1139">
        <v>0.94860990933373501</v>
      </c>
      <c r="G1139">
        <v>0.95722508558745001</v>
      </c>
      <c r="H1139" t="str">
        <f t="shared" si="17"/>
        <v>Q4</v>
      </c>
    </row>
    <row r="1140" spans="1:8">
      <c r="A1140">
        <v>525518</v>
      </c>
      <c r="B1140" t="s">
        <v>694</v>
      </c>
      <c r="C1140">
        <v>130</v>
      </c>
      <c r="D1140">
        <v>4.1654498101427002</v>
      </c>
      <c r="E1140">
        <v>541.50847531855095</v>
      </c>
      <c r="F1140">
        <v>0.93307249539144499</v>
      </c>
      <c r="G1140">
        <v>0.95718746473044702</v>
      </c>
      <c r="H1140" t="str">
        <f t="shared" si="17"/>
        <v>Q4</v>
      </c>
    </row>
    <row r="1141" spans="1:8">
      <c r="A1141">
        <v>754262</v>
      </c>
      <c r="B1141" t="s">
        <v>3651</v>
      </c>
      <c r="C1141">
        <v>179</v>
      </c>
      <c r="D1141">
        <v>3.0249976069151399</v>
      </c>
      <c r="E1141">
        <v>541.47457163780905</v>
      </c>
      <c r="F1141">
        <v>0.95308679131710605</v>
      </c>
      <c r="G1141">
        <v>0.95714984387344304</v>
      </c>
      <c r="H1141" t="str">
        <f t="shared" si="17"/>
        <v>Q2</v>
      </c>
    </row>
    <row r="1142" spans="1:8">
      <c r="A1142">
        <v>681178</v>
      </c>
      <c r="B1142" t="s">
        <v>3999</v>
      </c>
      <c r="C1142">
        <v>237</v>
      </c>
      <c r="D1142">
        <v>2.28287920803775</v>
      </c>
      <c r="E1142">
        <v>541.04237230494596</v>
      </c>
      <c r="F1142">
        <v>0.96678078326624295</v>
      </c>
      <c r="G1142">
        <v>0.95711222301643994</v>
      </c>
      <c r="H1142" t="str">
        <f t="shared" si="17"/>
        <v>Q2</v>
      </c>
    </row>
    <row r="1143" spans="1:8">
      <c r="A1143">
        <v>702807</v>
      </c>
      <c r="B1143" t="s">
        <v>2629</v>
      </c>
      <c r="C1143">
        <v>169</v>
      </c>
      <c r="D1143">
        <v>3.1993981902680502</v>
      </c>
      <c r="E1143">
        <v>540.6982941553</v>
      </c>
      <c r="F1143">
        <v>0.94973853504382799</v>
      </c>
      <c r="G1143">
        <v>0.95707460215943696</v>
      </c>
      <c r="H1143" t="str">
        <f t="shared" si="17"/>
        <v>Q2</v>
      </c>
    </row>
    <row r="1144" spans="1:8">
      <c r="A1144">
        <v>629746</v>
      </c>
      <c r="B1144" t="s">
        <v>1963</v>
      </c>
      <c r="C1144">
        <v>209</v>
      </c>
      <c r="D1144">
        <v>2.5857675615609002</v>
      </c>
      <c r="E1144">
        <v>540.42542036622797</v>
      </c>
      <c r="F1144">
        <v>0.96132575900078998</v>
      </c>
      <c r="G1144">
        <v>0.95703698130243398</v>
      </c>
      <c r="H1144" t="str">
        <f t="shared" si="17"/>
        <v>Q2</v>
      </c>
    </row>
    <row r="1145" spans="1:8">
      <c r="A1145">
        <v>744072</v>
      </c>
      <c r="B1145" t="s">
        <v>4788</v>
      </c>
      <c r="C1145">
        <v>109</v>
      </c>
      <c r="D1145">
        <v>4.9567097678370402</v>
      </c>
      <c r="E1145">
        <v>540.28136469423805</v>
      </c>
      <c r="F1145">
        <v>0.91922802001429604</v>
      </c>
      <c r="G1145">
        <v>0.95699936044543099</v>
      </c>
      <c r="H1145" t="str">
        <f t="shared" si="17"/>
        <v>Q3</v>
      </c>
    </row>
    <row r="1146" spans="1:8">
      <c r="A1146">
        <v>723347</v>
      </c>
      <c r="B1146" t="s">
        <v>4897</v>
      </c>
      <c r="C1146">
        <v>234</v>
      </c>
      <c r="D1146">
        <v>2.3047370690868298</v>
      </c>
      <c r="E1146">
        <v>539.308474166319</v>
      </c>
      <c r="F1146">
        <v>0.96632933298220502</v>
      </c>
      <c r="G1146">
        <v>0.95696173958842801</v>
      </c>
      <c r="H1146" t="str">
        <f t="shared" si="17"/>
        <v>Q2</v>
      </c>
    </row>
    <row r="1147" spans="1:8">
      <c r="A1147">
        <v>461327</v>
      </c>
      <c r="B1147" t="s">
        <v>4116</v>
      </c>
      <c r="C1147">
        <v>113</v>
      </c>
      <c r="D1147">
        <v>4.7719364919889298</v>
      </c>
      <c r="E1147">
        <v>539.22882359474897</v>
      </c>
      <c r="F1147">
        <v>0.92257627628757399</v>
      </c>
      <c r="G1147">
        <v>0.95692411873142502</v>
      </c>
      <c r="H1147" t="str">
        <f t="shared" si="17"/>
        <v>Q4</v>
      </c>
    </row>
    <row r="1148" spans="1:8">
      <c r="A1148">
        <v>734460</v>
      </c>
      <c r="B1148" t="s">
        <v>2806</v>
      </c>
      <c r="C1148">
        <v>343</v>
      </c>
      <c r="D1148">
        <v>1.5720511315548</v>
      </c>
      <c r="E1148">
        <v>539.21353812329505</v>
      </c>
      <c r="F1148">
        <v>0.97994808321733595</v>
      </c>
      <c r="G1148">
        <v>0.95688649787442204</v>
      </c>
      <c r="H1148" t="str">
        <f t="shared" si="17"/>
        <v>Q2</v>
      </c>
    </row>
    <row r="1149" spans="1:8">
      <c r="A1149">
        <v>305931</v>
      </c>
      <c r="B1149" t="s">
        <v>1680</v>
      </c>
      <c r="C1149">
        <v>176</v>
      </c>
      <c r="D1149">
        <v>3.0631837006446601</v>
      </c>
      <c r="E1149">
        <v>539.12033131346095</v>
      </c>
      <c r="F1149">
        <v>0.95199578646401595</v>
      </c>
      <c r="G1149">
        <v>0.95684887701741805</v>
      </c>
      <c r="H1149" t="str">
        <f t="shared" si="17"/>
        <v>Q2</v>
      </c>
    </row>
    <row r="1150" spans="1:8">
      <c r="A1150">
        <v>607427</v>
      </c>
      <c r="B1150" t="s">
        <v>3972</v>
      </c>
      <c r="C1150">
        <v>202</v>
      </c>
      <c r="D1150">
        <v>2.6685768699199701</v>
      </c>
      <c r="E1150">
        <v>539.05252772383403</v>
      </c>
      <c r="F1150">
        <v>0.95951995786463995</v>
      </c>
      <c r="G1150">
        <v>0.95681125616041496</v>
      </c>
      <c r="H1150" t="str">
        <f t="shared" si="17"/>
        <v>Q2</v>
      </c>
    </row>
    <row r="1151" spans="1:8">
      <c r="A1151">
        <v>715469</v>
      </c>
      <c r="B1151" t="s">
        <v>2993</v>
      </c>
      <c r="C1151">
        <v>45</v>
      </c>
      <c r="D1151">
        <v>11.9725803865327</v>
      </c>
      <c r="E1151">
        <v>538.76611739397003</v>
      </c>
      <c r="F1151">
        <v>0.82069899552311798</v>
      </c>
      <c r="G1151">
        <v>0.95677363530341197</v>
      </c>
      <c r="H1151" t="str">
        <f t="shared" si="17"/>
        <v>Q3</v>
      </c>
    </row>
    <row r="1152" spans="1:8">
      <c r="A1152">
        <v>665095</v>
      </c>
      <c r="B1152" t="s">
        <v>2453</v>
      </c>
      <c r="C1152">
        <v>226</v>
      </c>
      <c r="D1152">
        <v>2.3838308135014601</v>
      </c>
      <c r="E1152">
        <v>538.74576385133003</v>
      </c>
      <c r="F1152">
        <v>0.964786877845077</v>
      </c>
      <c r="G1152">
        <v>0.95673601444640899</v>
      </c>
      <c r="H1152" t="str">
        <f t="shared" si="17"/>
        <v>Q2</v>
      </c>
    </row>
    <row r="1153" spans="1:8">
      <c r="A1153">
        <v>690627</v>
      </c>
      <c r="B1153" t="s">
        <v>2583</v>
      </c>
      <c r="C1153">
        <v>136</v>
      </c>
      <c r="D1153">
        <v>3.95841226940427</v>
      </c>
      <c r="E1153">
        <v>538.34406863898005</v>
      </c>
      <c r="F1153">
        <v>0.93630788909371399</v>
      </c>
      <c r="G1153">
        <v>0.956698393589406</v>
      </c>
      <c r="H1153" t="str">
        <f t="shared" si="17"/>
        <v>Q4</v>
      </c>
    </row>
    <row r="1154" spans="1:8">
      <c r="A1154">
        <v>373506</v>
      </c>
      <c r="B1154" t="s">
        <v>4950</v>
      </c>
      <c r="C1154">
        <v>429</v>
      </c>
      <c r="D1154">
        <v>1.25484570876059</v>
      </c>
      <c r="E1154">
        <v>538.32880905829404</v>
      </c>
      <c r="F1154">
        <v>0.98570407433881302</v>
      </c>
      <c r="G1154">
        <v>0.95666077273240302</v>
      </c>
      <c r="H1154" t="str">
        <f t="shared" si="17"/>
        <v>Q2</v>
      </c>
    </row>
    <row r="1155" spans="1:8">
      <c r="A1155">
        <v>479167</v>
      </c>
      <c r="B1155" t="s">
        <v>4675</v>
      </c>
      <c r="C1155">
        <v>173</v>
      </c>
      <c r="D1155">
        <v>3.10664244179178</v>
      </c>
      <c r="E1155">
        <v>537.449142429978</v>
      </c>
      <c r="F1155">
        <v>0.95116812760994696</v>
      </c>
      <c r="G1155">
        <v>0.95662315187540004</v>
      </c>
      <c r="H1155" t="str">
        <f t="shared" ref="H1155:H1218" si="18">IF(C1155&gt;$J$2,
   IF(D1155&gt;$J$3,"Q1","Q2"),
   IF(D1155&gt;$J$3,"Q3","Q4"))</f>
        <v>Q2</v>
      </c>
    </row>
    <row r="1156" spans="1:8">
      <c r="A1156">
        <v>598859</v>
      </c>
      <c r="B1156" t="s">
        <v>1731</v>
      </c>
      <c r="C1156">
        <v>99</v>
      </c>
      <c r="D1156">
        <v>5.4270160356254298</v>
      </c>
      <c r="E1156">
        <v>537.274587526917</v>
      </c>
      <c r="F1156">
        <v>0.91076332718859299</v>
      </c>
      <c r="G1156">
        <v>0.95658553101839705</v>
      </c>
      <c r="H1156" t="str">
        <f t="shared" si="18"/>
        <v>Q3</v>
      </c>
    </row>
    <row r="1157" spans="1:8">
      <c r="A1157">
        <v>744600</v>
      </c>
      <c r="B1157" t="s">
        <v>5104</v>
      </c>
      <c r="C1157">
        <v>65</v>
      </c>
      <c r="D1157">
        <v>8.2583834632084905</v>
      </c>
      <c r="E1157">
        <v>536.79492510855198</v>
      </c>
      <c r="F1157">
        <v>0.86802603363304598</v>
      </c>
      <c r="G1157">
        <v>0.95654791016139395</v>
      </c>
      <c r="H1157" t="str">
        <f t="shared" si="18"/>
        <v>Q3</v>
      </c>
    </row>
    <row r="1158" spans="1:8">
      <c r="A1158">
        <v>433444</v>
      </c>
      <c r="B1158" t="s">
        <v>4260</v>
      </c>
      <c r="C1158">
        <v>240</v>
      </c>
      <c r="D1158">
        <v>2.2366101711910802</v>
      </c>
      <c r="E1158">
        <v>536.78644108586002</v>
      </c>
      <c r="F1158">
        <v>0.96723223355027999</v>
      </c>
      <c r="G1158">
        <v>0.95651028930438997</v>
      </c>
      <c r="H1158" t="str">
        <f t="shared" si="18"/>
        <v>Q2</v>
      </c>
    </row>
    <row r="1159" spans="1:8">
      <c r="A1159">
        <v>731960</v>
      </c>
      <c r="B1159" t="s">
        <v>1764</v>
      </c>
      <c r="C1159">
        <v>212</v>
      </c>
      <c r="D1159">
        <v>2.5282938430911699</v>
      </c>
      <c r="E1159">
        <v>535.99829473532702</v>
      </c>
      <c r="F1159">
        <v>0.96200293442684603</v>
      </c>
      <c r="G1159">
        <v>0.95647266844738699</v>
      </c>
      <c r="H1159" t="str">
        <f t="shared" si="18"/>
        <v>Q2</v>
      </c>
    </row>
    <row r="1160" spans="1:8">
      <c r="A1160">
        <v>711022</v>
      </c>
      <c r="B1160" t="s">
        <v>3452</v>
      </c>
      <c r="C1160">
        <v>82</v>
      </c>
      <c r="D1160">
        <v>6.5252583087762703</v>
      </c>
      <c r="E1160">
        <v>535.07118131965399</v>
      </c>
      <c r="F1160">
        <v>0.894323012678229</v>
      </c>
      <c r="G1160">
        <v>0.956435047590384</v>
      </c>
      <c r="H1160" t="str">
        <f t="shared" si="18"/>
        <v>Q3</v>
      </c>
    </row>
    <row r="1161" spans="1:8">
      <c r="A1161">
        <v>779883</v>
      </c>
      <c r="B1161" t="s">
        <v>5034</v>
      </c>
      <c r="C1161">
        <v>82</v>
      </c>
      <c r="D1161">
        <v>6.5251756414044202</v>
      </c>
      <c r="E1161">
        <v>535.06440259516205</v>
      </c>
      <c r="F1161">
        <v>0.894323012678229</v>
      </c>
      <c r="G1161">
        <v>0.95639742673338102</v>
      </c>
      <c r="H1161" t="str">
        <f t="shared" si="18"/>
        <v>Q3</v>
      </c>
    </row>
    <row r="1162" spans="1:8">
      <c r="A1162">
        <v>611221</v>
      </c>
      <c r="B1162" t="s">
        <v>548</v>
      </c>
      <c r="C1162">
        <v>332</v>
      </c>
      <c r="D1162">
        <v>1.6085766140842801</v>
      </c>
      <c r="E1162">
        <v>534.04743587598205</v>
      </c>
      <c r="F1162">
        <v>0.97881945750724197</v>
      </c>
      <c r="G1162">
        <v>0.95635980587637803</v>
      </c>
      <c r="H1162" t="str">
        <f t="shared" si="18"/>
        <v>Q2</v>
      </c>
    </row>
    <row r="1163" spans="1:8">
      <c r="A1163">
        <v>156231</v>
      </c>
      <c r="B1163" t="s">
        <v>685</v>
      </c>
      <c r="C1163">
        <v>816</v>
      </c>
      <c r="D1163">
        <v>0.65408982579053099</v>
      </c>
      <c r="E1163">
        <v>533.73729784507304</v>
      </c>
      <c r="F1163">
        <v>0.99582408487265295</v>
      </c>
      <c r="G1163">
        <v>0.95632218501937505</v>
      </c>
      <c r="H1163" t="str">
        <f t="shared" si="18"/>
        <v>Q2</v>
      </c>
    </row>
    <row r="1164" spans="1:8">
      <c r="A1164">
        <v>711521</v>
      </c>
      <c r="B1164" t="s">
        <v>1187</v>
      </c>
      <c r="C1164">
        <v>245</v>
      </c>
      <c r="D1164">
        <v>2.1776340356362698</v>
      </c>
      <c r="E1164">
        <v>533.52033873088703</v>
      </c>
      <c r="F1164">
        <v>0.96805989240434898</v>
      </c>
      <c r="G1164">
        <v>0.95628456416237195</v>
      </c>
      <c r="H1164" t="str">
        <f t="shared" si="18"/>
        <v>Q2</v>
      </c>
    </row>
    <row r="1165" spans="1:8">
      <c r="A1165">
        <v>661306</v>
      </c>
      <c r="B1165" t="s">
        <v>1618</v>
      </c>
      <c r="C1165">
        <v>358</v>
      </c>
      <c r="D1165">
        <v>1.48929546277595</v>
      </c>
      <c r="E1165">
        <v>533.16777567379199</v>
      </c>
      <c r="F1165">
        <v>0.98111432978443203</v>
      </c>
      <c r="G1165">
        <v>0.95624694330536897</v>
      </c>
      <c r="H1165" t="str">
        <f t="shared" si="18"/>
        <v>Q2</v>
      </c>
    </row>
    <row r="1166" spans="1:8">
      <c r="A1166">
        <v>778051</v>
      </c>
      <c r="B1166" t="s">
        <v>5203</v>
      </c>
      <c r="C1166">
        <v>114</v>
      </c>
      <c r="D1166">
        <v>4.6760333783663199</v>
      </c>
      <c r="E1166">
        <v>533.06780513375998</v>
      </c>
      <c r="F1166">
        <v>0.92306534742861401</v>
      </c>
      <c r="G1166">
        <v>0.95620932244836498</v>
      </c>
      <c r="H1166" t="str">
        <f t="shared" si="18"/>
        <v>Q4</v>
      </c>
    </row>
    <row r="1167" spans="1:8">
      <c r="A1167">
        <v>599719</v>
      </c>
      <c r="B1167" t="s">
        <v>2157</v>
      </c>
      <c r="C1167">
        <v>163</v>
      </c>
      <c r="D1167">
        <v>3.2687012020475699</v>
      </c>
      <c r="E1167">
        <v>532.79829593375302</v>
      </c>
      <c r="F1167">
        <v>0.94751890448064402</v>
      </c>
      <c r="G1167">
        <v>0.956171701591362</v>
      </c>
      <c r="H1167" t="str">
        <f t="shared" si="18"/>
        <v>Q4</v>
      </c>
    </row>
    <row r="1168" spans="1:8">
      <c r="A1168">
        <v>729814</v>
      </c>
      <c r="B1168" t="s">
        <v>3757</v>
      </c>
      <c r="C1168">
        <v>129</v>
      </c>
      <c r="D1168">
        <v>4.1300486282322799</v>
      </c>
      <c r="E1168">
        <v>532.77627304196403</v>
      </c>
      <c r="F1168">
        <v>0.93247056167939502</v>
      </c>
      <c r="G1168">
        <v>0.95613408073435902</v>
      </c>
      <c r="H1168" t="str">
        <f t="shared" si="18"/>
        <v>Q4</v>
      </c>
    </row>
    <row r="1169" spans="1:8">
      <c r="A1169">
        <v>769748</v>
      </c>
      <c r="B1169" t="s">
        <v>2071</v>
      </c>
      <c r="C1169">
        <v>108</v>
      </c>
      <c r="D1169">
        <v>4.9311833766599502</v>
      </c>
      <c r="E1169">
        <v>532.56780467927501</v>
      </c>
      <c r="F1169">
        <v>0.91866370715924905</v>
      </c>
      <c r="G1169">
        <v>0.95609645987735603</v>
      </c>
      <c r="H1169" t="str">
        <f t="shared" si="18"/>
        <v>Q3</v>
      </c>
    </row>
    <row r="1170" spans="1:8">
      <c r="A1170">
        <v>708977</v>
      </c>
      <c r="B1170" t="s">
        <v>4125</v>
      </c>
      <c r="C1170">
        <v>169</v>
      </c>
      <c r="D1170">
        <v>3.1508373669706899</v>
      </c>
      <c r="E1170">
        <v>532.49151501804602</v>
      </c>
      <c r="F1170">
        <v>0.94973853504382799</v>
      </c>
      <c r="G1170">
        <v>0.95605883902035305</v>
      </c>
      <c r="H1170" t="str">
        <f t="shared" si="18"/>
        <v>Q2</v>
      </c>
    </row>
    <row r="1171" spans="1:8">
      <c r="A1171">
        <v>786347</v>
      </c>
      <c r="B1171" t="s">
        <v>2497</v>
      </c>
      <c r="C1171">
        <v>177</v>
      </c>
      <c r="D1171">
        <v>3.00678920663767</v>
      </c>
      <c r="E1171">
        <v>532.20168957486703</v>
      </c>
      <c r="F1171">
        <v>0.95244723674805298</v>
      </c>
      <c r="G1171">
        <v>0.95602121816334995</v>
      </c>
      <c r="H1171" t="str">
        <f t="shared" si="18"/>
        <v>Q2</v>
      </c>
    </row>
    <row r="1172" spans="1:8">
      <c r="A1172">
        <v>766346</v>
      </c>
      <c r="B1172" t="s">
        <v>2463</v>
      </c>
      <c r="C1172">
        <v>214</v>
      </c>
      <c r="D1172">
        <v>2.4847853702501701</v>
      </c>
      <c r="E1172">
        <v>531.74406923353695</v>
      </c>
      <c r="F1172">
        <v>0.96256724728189302</v>
      </c>
      <c r="G1172">
        <v>0.95598359730634697</v>
      </c>
      <c r="H1172" t="str">
        <f t="shared" si="18"/>
        <v>Q2</v>
      </c>
    </row>
    <row r="1173" spans="1:8">
      <c r="A1173">
        <v>826498</v>
      </c>
      <c r="B1173" t="s">
        <v>1746</v>
      </c>
      <c r="C1173">
        <v>165</v>
      </c>
      <c r="D1173">
        <v>3.21930143417734</v>
      </c>
      <c r="E1173">
        <v>531.18473663926102</v>
      </c>
      <c r="F1173">
        <v>0.948384184191716</v>
      </c>
      <c r="G1173">
        <v>0.95594597644934398</v>
      </c>
      <c r="H1173" t="str">
        <f t="shared" si="18"/>
        <v>Q4</v>
      </c>
    </row>
    <row r="1174" spans="1:8">
      <c r="A1174">
        <v>739267</v>
      </c>
      <c r="B1174" t="s">
        <v>4318</v>
      </c>
      <c r="C1174">
        <v>200</v>
      </c>
      <c r="D1174">
        <v>2.6527795912697898</v>
      </c>
      <c r="E1174">
        <v>530.555918253958</v>
      </c>
      <c r="F1174">
        <v>0.95903088672360004</v>
      </c>
      <c r="G1174">
        <v>0.95590835559234</v>
      </c>
      <c r="H1174" t="str">
        <f t="shared" si="18"/>
        <v>Q2</v>
      </c>
    </row>
    <row r="1175" spans="1:8">
      <c r="A1175">
        <v>742455</v>
      </c>
      <c r="B1175" t="s">
        <v>1131</v>
      </c>
      <c r="C1175">
        <v>399</v>
      </c>
      <c r="D1175">
        <v>1.3292383103815799</v>
      </c>
      <c r="E1175">
        <v>530.36608584225201</v>
      </c>
      <c r="F1175">
        <v>0.98355968548963502</v>
      </c>
      <c r="G1175">
        <v>0.95587073473533701</v>
      </c>
      <c r="H1175" t="str">
        <f t="shared" si="18"/>
        <v>Q2</v>
      </c>
    </row>
    <row r="1176" spans="1:8">
      <c r="A1176">
        <v>516000</v>
      </c>
      <c r="B1176" t="s">
        <v>193</v>
      </c>
      <c r="C1176">
        <v>477</v>
      </c>
      <c r="D1176">
        <v>1.1098887548787799</v>
      </c>
      <c r="E1176">
        <v>529.41693607717798</v>
      </c>
      <c r="F1176">
        <v>0.98769797975997897</v>
      </c>
      <c r="G1176">
        <v>0.95583311387833403</v>
      </c>
      <c r="H1176" t="str">
        <f t="shared" si="18"/>
        <v>Q2</v>
      </c>
    </row>
    <row r="1177" spans="1:8">
      <c r="A1177">
        <v>760084</v>
      </c>
      <c r="B1177" t="s">
        <v>5082</v>
      </c>
      <c r="C1177">
        <v>218</v>
      </c>
      <c r="D1177">
        <v>2.4284559161052002</v>
      </c>
      <c r="E1177">
        <v>529.40338971093297</v>
      </c>
      <c r="F1177">
        <v>0.96335728527895903</v>
      </c>
      <c r="G1177">
        <v>0.95579549302133104</v>
      </c>
      <c r="H1177" t="str">
        <f t="shared" si="18"/>
        <v>Q2</v>
      </c>
    </row>
    <row r="1178" spans="1:8">
      <c r="A1178">
        <v>594264</v>
      </c>
      <c r="B1178" t="s">
        <v>2163</v>
      </c>
      <c r="C1178">
        <v>218</v>
      </c>
      <c r="D1178">
        <v>2.4276317870500699</v>
      </c>
      <c r="E1178">
        <v>529.22372957691596</v>
      </c>
      <c r="F1178">
        <v>0.96335728527895903</v>
      </c>
      <c r="G1178">
        <v>0.95575787216432795</v>
      </c>
      <c r="H1178" t="str">
        <f t="shared" si="18"/>
        <v>Q2</v>
      </c>
    </row>
    <row r="1179" spans="1:8">
      <c r="A1179">
        <v>542533</v>
      </c>
      <c r="B1179" t="s">
        <v>5075</v>
      </c>
      <c r="C1179">
        <v>164</v>
      </c>
      <c r="D1179">
        <v>3.2258784125854301</v>
      </c>
      <c r="E1179">
        <v>529.044059664011</v>
      </c>
      <c r="F1179">
        <v>0.94823370076370295</v>
      </c>
      <c r="G1179">
        <v>0.95572025130732496</v>
      </c>
      <c r="H1179" t="str">
        <f t="shared" si="18"/>
        <v>Q4</v>
      </c>
    </row>
    <row r="1180" spans="1:8">
      <c r="A1180">
        <v>762796</v>
      </c>
      <c r="B1180" t="s">
        <v>4431</v>
      </c>
      <c r="C1180">
        <v>169</v>
      </c>
      <c r="D1180">
        <v>3.1285828453372901</v>
      </c>
      <c r="E1180">
        <v>528.73050086200203</v>
      </c>
      <c r="F1180">
        <v>0.94973853504382799</v>
      </c>
      <c r="G1180">
        <v>0.95568263045032198</v>
      </c>
      <c r="H1180" t="str">
        <f t="shared" si="18"/>
        <v>Q2</v>
      </c>
    </row>
    <row r="1181" spans="1:8">
      <c r="A1181">
        <v>594987</v>
      </c>
      <c r="B1181" t="s">
        <v>1727</v>
      </c>
      <c r="C1181">
        <v>337</v>
      </c>
      <c r="D1181">
        <v>1.5688124941855399</v>
      </c>
      <c r="E1181">
        <v>528.68981054052699</v>
      </c>
      <c r="F1181">
        <v>0.97930852864828299</v>
      </c>
      <c r="G1181">
        <v>0.95564500959331899</v>
      </c>
      <c r="H1181" t="str">
        <f t="shared" si="18"/>
        <v>Q2</v>
      </c>
    </row>
    <row r="1182" spans="1:8">
      <c r="A1182">
        <v>616598</v>
      </c>
      <c r="B1182" t="s">
        <v>4523</v>
      </c>
      <c r="C1182">
        <v>110</v>
      </c>
      <c r="D1182">
        <v>4.8051156493073197</v>
      </c>
      <c r="E1182">
        <v>528.56272142380499</v>
      </c>
      <c r="F1182">
        <v>0.92001805801136105</v>
      </c>
      <c r="G1182">
        <v>0.95560738873631501</v>
      </c>
      <c r="H1182" t="str">
        <f t="shared" si="18"/>
        <v>Q4</v>
      </c>
    </row>
    <row r="1183" spans="1:8">
      <c r="A1183">
        <v>774279</v>
      </c>
      <c r="B1183" t="s">
        <v>4318</v>
      </c>
      <c r="C1183">
        <v>181</v>
      </c>
      <c r="D1183">
        <v>2.9158628557278701</v>
      </c>
      <c r="E1183">
        <v>527.77117688674502</v>
      </c>
      <c r="F1183">
        <v>0.95387682931417195</v>
      </c>
      <c r="G1183">
        <v>0.95556976787931203</v>
      </c>
      <c r="H1183" t="str">
        <f t="shared" si="18"/>
        <v>Q2</v>
      </c>
    </row>
    <row r="1184" spans="1:8">
      <c r="A1184">
        <v>777892</v>
      </c>
      <c r="B1184" t="s">
        <v>1982</v>
      </c>
      <c r="C1184">
        <v>166</v>
      </c>
      <c r="D1184">
        <v>3.17675103713949</v>
      </c>
      <c r="E1184">
        <v>527.34067216515496</v>
      </c>
      <c r="F1184">
        <v>0.94860990933373501</v>
      </c>
      <c r="G1184">
        <v>0.95553214702230904</v>
      </c>
      <c r="H1184" t="str">
        <f t="shared" si="18"/>
        <v>Q4</v>
      </c>
    </row>
    <row r="1185" spans="1:8">
      <c r="A1185">
        <v>766439</v>
      </c>
      <c r="B1185" t="s">
        <v>4676</v>
      </c>
      <c r="C1185">
        <v>122</v>
      </c>
      <c r="D1185">
        <v>4.3215754747268598</v>
      </c>
      <c r="E1185">
        <v>527.232207916677</v>
      </c>
      <c r="F1185">
        <v>0.92855799255106997</v>
      </c>
      <c r="G1185">
        <v>0.95549452616530595</v>
      </c>
      <c r="H1185" t="str">
        <f t="shared" si="18"/>
        <v>Q4</v>
      </c>
    </row>
    <row r="1186" spans="1:8">
      <c r="A1186">
        <v>694182</v>
      </c>
      <c r="B1186" t="s">
        <v>2019</v>
      </c>
      <c r="C1186">
        <v>80</v>
      </c>
      <c r="D1186">
        <v>6.5878389053977999</v>
      </c>
      <c r="E1186">
        <v>527.02711243182398</v>
      </c>
      <c r="F1186">
        <v>0.89150144840299494</v>
      </c>
      <c r="G1186">
        <v>0.95545690530830296</v>
      </c>
      <c r="H1186" t="str">
        <f t="shared" si="18"/>
        <v>Q3</v>
      </c>
    </row>
    <row r="1187" spans="1:8">
      <c r="A1187">
        <v>774953</v>
      </c>
      <c r="B1187" t="s">
        <v>3826</v>
      </c>
      <c r="C1187">
        <v>46</v>
      </c>
      <c r="D1187">
        <v>11.455563633986101</v>
      </c>
      <c r="E1187">
        <v>526.95592716336296</v>
      </c>
      <c r="F1187">
        <v>0.82378390579737404</v>
      </c>
      <c r="G1187">
        <v>0.95541928445129998</v>
      </c>
      <c r="H1187" t="str">
        <f t="shared" si="18"/>
        <v>Q3</v>
      </c>
    </row>
    <row r="1188" spans="1:8">
      <c r="A1188">
        <v>810005</v>
      </c>
      <c r="B1188" t="s">
        <v>3847</v>
      </c>
      <c r="C1188">
        <v>61</v>
      </c>
      <c r="D1188">
        <v>8.6347041437860401</v>
      </c>
      <c r="E1188">
        <v>526.71695277094796</v>
      </c>
      <c r="F1188">
        <v>0.86035137880440904</v>
      </c>
      <c r="G1188">
        <v>0.95538166359429699</v>
      </c>
      <c r="H1188" t="str">
        <f t="shared" si="18"/>
        <v>Q3</v>
      </c>
    </row>
    <row r="1189" spans="1:8">
      <c r="A1189">
        <v>700079</v>
      </c>
      <c r="B1189" t="s">
        <v>3592</v>
      </c>
      <c r="C1189">
        <v>327</v>
      </c>
      <c r="D1189">
        <v>1.6089409992771</v>
      </c>
      <c r="E1189">
        <v>526.12370676361002</v>
      </c>
      <c r="F1189">
        <v>0.97855611150821997</v>
      </c>
      <c r="G1189">
        <v>0.95534404273729401</v>
      </c>
      <c r="H1189" t="str">
        <f t="shared" si="18"/>
        <v>Q2</v>
      </c>
    </row>
    <row r="1190" spans="1:8">
      <c r="A1190">
        <v>767782</v>
      </c>
      <c r="B1190" t="s">
        <v>5101</v>
      </c>
      <c r="C1190">
        <v>97</v>
      </c>
      <c r="D1190">
        <v>5.4207408455075701</v>
      </c>
      <c r="E1190">
        <v>525.81186201423395</v>
      </c>
      <c r="F1190">
        <v>0.909108009480456</v>
      </c>
      <c r="G1190">
        <v>0.95530642188029002</v>
      </c>
      <c r="H1190" t="str">
        <f t="shared" si="18"/>
        <v>Q3</v>
      </c>
    </row>
    <row r="1191" spans="1:8">
      <c r="A1191">
        <v>811184</v>
      </c>
      <c r="B1191" t="s">
        <v>3695</v>
      </c>
      <c r="C1191">
        <v>96</v>
      </c>
      <c r="D1191">
        <v>5.4741702935037502</v>
      </c>
      <c r="E1191">
        <v>525.52034817636002</v>
      </c>
      <c r="F1191">
        <v>0.90812986719837496</v>
      </c>
      <c r="G1191">
        <v>0.95526880102328704</v>
      </c>
      <c r="H1191" t="str">
        <f t="shared" si="18"/>
        <v>Q3</v>
      </c>
    </row>
    <row r="1192" spans="1:8">
      <c r="A1192">
        <v>784427</v>
      </c>
      <c r="B1192" t="s">
        <v>5125</v>
      </c>
      <c r="C1192">
        <v>112</v>
      </c>
      <c r="D1192">
        <v>4.6868644970735298</v>
      </c>
      <c r="E1192">
        <v>524.92882367223501</v>
      </c>
      <c r="F1192">
        <v>0.92156051314848997</v>
      </c>
      <c r="G1192">
        <v>0.95523118016628406</v>
      </c>
      <c r="H1192" t="str">
        <f t="shared" si="18"/>
        <v>Q4</v>
      </c>
    </row>
    <row r="1193" spans="1:8">
      <c r="A1193">
        <v>741985</v>
      </c>
      <c r="B1193" t="s">
        <v>472</v>
      </c>
      <c r="C1193">
        <v>216</v>
      </c>
      <c r="D1193">
        <v>2.4255806705224598</v>
      </c>
      <c r="E1193">
        <v>523.92542483285104</v>
      </c>
      <c r="F1193">
        <v>0.96301869756593095</v>
      </c>
      <c r="G1193">
        <v>0.95519355930928096</v>
      </c>
      <c r="H1193" t="str">
        <f t="shared" si="18"/>
        <v>Q2</v>
      </c>
    </row>
    <row r="1194" spans="1:8">
      <c r="A1194">
        <v>709692</v>
      </c>
      <c r="B1194" t="s">
        <v>3600</v>
      </c>
      <c r="C1194">
        <v>90</v>
      </c>
      <c r="D1194">
        <v>5.8199057955708797</v>
      </c>
      <c r="E1194">
        <v>523.79152160137903</v>
      </c>
      <c r="F1194">
        <v>0.90267484293292199</v>
      </c>
      <c r="G1194">
        <v>0.95515593845227797</v>
      </c>
      <c r="H1194" t="str">
        <f t="shared" si="18"/>
        <v>Q3</v>
      </c>
    </row>
    <row r="1195" spans="1:8">
      <c r="A1195">
        <v>708185</v>
      </c>
      <c r="B1195" t="s">
        <v>1437</v>
      </c>
      <c r="C1195">
        <v>98</v>
      </c>
      <c r="D1195">
        <v>5.3389312889502998</v>
      </c>
      <c r="E1195">
        <v>523.21526631712902</v>
      </c>
      <c r="F1195">
        <v>0.90997328919152798</v>
      </c>
      <c r="G1195">
        <v>0.95511831759527499</v>
      </c>
      <c r="H1195" t="str">
        <f t="shared" si="18"/>
        <v>Q3</v>
      </c>
    </row>
    <row r="1196" spans="1:8">
      <c r="A1196">
        <v>661147</v>
      </c>
      <c r="B1196" t="s">
        <v>4593</v>
      </c>
      <c r="C1196">
        <v>143</v>
      </c>
      <c r="D1196">
        <v>3.6564774700551199</v>
      </c>
      <c r="E1196">
        <v>522.87627821788203</v>
      </c>
      <c r="F1196">
        <v>0.940032353937023</v>
      </c>
      <c r="G1196">
        <v>0.95508069673827201</v>
      </c>
      <c r="H1196" t="str">
        <f t="shared" si="18"/>
        <v>Q4</v>
      </c>
    </row>
    <row r="1197" spans="1:8">
      <c r="A1197">
        <v>696931</v>
      </c>
      <c r="B1197" t="s">
        <v>436</v>
      </c>
      <c r="C1197">
        <v>88</v>
      </c>
      <c r="D1197">
        <v>5.9356895381246098</v>
      </c>
      <c r="E1197">
        <v>522.34067935496603</v>
      </c>
      <c r="F1197">
        <v>0.90045521236973802</v>
      </c>
      <c r="G1197">
        <v>0.95504307588126902</v>
      </c>
      <c r="H1197" t="str">
        <f t="shared" si="18"/>
        <v>Q3</v>
      </c>
    </row>
    <row r="1198" spans="1:8">
      <c r="A1198">
        <v>464908</v>
      </c>
      <c r="B1198" t="s">
        <v>2777</v>
      </c>
      <c r="C1198">
        <v>345</v>
      </c>
      <c r="D1198">
        <v>1.5124784508531099</v>
      </c>
      <c r="E1198">
        <v>521.80506554432202</v>
      </c>
      <c r="F1198">
        <v>0.98013618750235099</v>
      </c>
      <c r="G1198">
        <v>0.95500545502426504</v>
      </c>
      <c r="H1198" t="str">
        <f t="shared" si="18"/>
        <v>Q2</v>
      </c>
    </row>
    <row r="1199" spans="1:8">
      <c r="A1199">
        <v>737137</v>
      </c>
      <c r="B1199" t="s">
        <v>4730</v>
      </c>
      <c r="C1199">
        <v>227</v>
      </c>
      <c r="D1199">
        <v>2.2982303861380902</v>
      </c>
      <c r="E1199">
        <v>521.69829765334703</v>
      </c>
      <c r="F1199">
        <v>0.96486211955908396</v>
      </c>
      <c r="G1199">
        <v>0.95496783416726205</v>
      </c>
      <c r="H1199" t="str">
        <f t="shared" si="18"/>
        <v>Q2</v>
      </c>
    </row>
    <row r="1200" spans="1:8">
      <c r="A1200">
        <v>496762</v>
      </c>
      <c r="B1200" t="s">
        <v>4716</v>
      </c>
      <c r="C1200">
        <v>370</v>
      </c>
      <c r="D1200">
        <v>1.40841039275197</v>
      </c>
      <c r="E1200">
        <v>521.11184531822801</v>
      </c>
      <c r="F1200">
        <v>0.98190436778149803</v>
      </c>
      <c r="G1200">
        <v>0.95493021331025896</v>
      </c>
      <c r="H1200" t="str">
        <f t="shared" si="18"/>
        <v>Q2</v>
      </c>
    </row>
    <row r="1201" spans="1:8">
      <c r="A1201">
        <v>732418</v>
      </c>
      <c r="B1201" t="s">
        <v>1600</v>
      </c>
      <c r="C1201">
        <v>210</v>
      </c>
      <c r="D1201">
        <v>2.4796529504514901</v>
      </c>
      <c r="E1201">
        <v>520.72711959481205</v>
      </c>
      <c r="F1201">
        <v>0.96151386328580601</v>
      </c>
      <c r="G1201">
        <v>0.95489259245325597</v>
      </c>
      <c r="H1201" t="str">
        <f t="shared" si="18"/>
        <v>Q2</v>
      </c>
    </row>
    <row r="1202" spans="1:8">
      <c r="A1202">
        <v>772946</v>
      </c>
      <c r="B1202" t="s">
        <v>704</v>
      </c>
      <c r="C1202">
        <v>115</v>
      </c>
      <c r="D1202">
        <v>4.5259838454101402</v>
      </c>
      <c r="E1202">
        <v>520.48814222216595</v>
      </c>
      <c r="F1202">
        <v>0.92370490199766797</v>
      </c>
      <c r="G1202">
        <v>0.95485497159625299</v>
      </c>
      <c r="H1202" t="str">
        <f t="shared" si="18"/>
        <v>Q4</v>
      </c>
    </row>
    <row r="1203" spans="1:8">
      <c r="A1203">
        <v>734436</v>
      </c>
      <c r="B1203" t="s">
        <v>5238</v>
      </c>
      <c r="C1203">
        <v>81</v>
      </c>
      <c r="D1203">
        <v>6.42538182897332</v>
      </c>
      <c r="E1203">
        <v>520.45592814683903</v>
      </c>
      <c r="F1203">
        <v>0.89293104096911302</v>
      </c>
      <c r="G1203">
        <v>0.95481735073925</v>
      </c>
      <c r="H1203" t="str">
        <f t="shared" si="18"/>
        <v>Q3</v>
      </c>
    </row>
    <row r="1204" spans="1:8">
      <c r="A1204">
        <v>734595</v>
      </c>
      <c r="B1204" t="s">
        <v>3011</v>
      </c>
      <c r="C1204">
        <v>213</v>
      </c>
      <c r="D1204">
        <v>2.4415373638219799</v>
      </c>
      <c r="E1204">
        <v>520.04745849408198</v>
      </c>
      <c r="F1204">
        <v>0.96230390128287102</v>
      </c>
      <c r="G1204">
        <v>0.95477972988224702</v>
      </c>
      <c r="H1204" t="str">
        <f t="shared" si="18"/>
        <v>Q2</v>
      </c>
    </row>
    <row r="1205" spans="1:8">
      <c r="A1205">
        <v>762212</v>
      </c>
      <c r="B1205" t="s">
        <v>3787</v>
      </c>
      <c r="C1205">
        <v>190</v>
      </c>
      <c r="D1205">
        <v>2.7328902232999899</v>
      </c>
      <c r="E1205">
        <v>519.24914242699697</v>
      </c>
      <c r="F1205">
        <v>0.95635980587637803</v>
      </c>
      <c r="G1205">
        <v>0.95474210902524403</v>
      </c>
      <c r="H1205" t="str">
        <f t="shared" si="18"/>
        <v>Q2</v>
      </c>
    </row>
    <row r="1206" spans="1:8">
      <c r="A1206">
        <v>753061</v>
      </c>
      <c r="B1206" t="s">
        <v>1401</v>
      </c>
      <c r="C1206">
        <v>409</v>
      </c>
      <c r="D1206">
        <v>1.2695370739255301</v>
      </c>
      <c r="E1206">
        <v>519.24066323554098</v>
      </c>
      <c r="F1206">
        <v>0.98431210262969804</v>
      </c>
      <c r="G1206">
        <v>0.95470448816824005</v>
      </c>
      <c r="H1206" t="str">
        <f t="shared" si="18"/>
        <v>Q2</v>
      </c>
    </row>
    <row r="1207" spans="1:8">
      <c r="A1207">
        <v>736154</v>
      </c>
      <c r="B1207" t="s">
        <v>2573</v>
      </c>
      <c r="C1207">
        <v>79</v>
      </c>
      <c r="D1207">
        <v>6.5704569220542899</v>
      </c>
      <c r="E1207">
        <v>519.06609684228897</v>
      </c>
      <c r="F1207">
        <v>0.89022233926488803</v>
      </c>
      <c r="G1207">
        <v>0.95466686731123696</v>
      </c>
      <c r="H1207" t="str">
        <f t="shared" si="18"/>
        <v>Q3</v>
      </c>
    </row>
    <row r="1208" spans="1:8">
      <c r="A1208">
        <v>442915</v>
      </c>
      <c r="B1208" t="s">
        <v>1325</v>
      </c>
      <c r="C1208">
        <v>160</v>
      </c>
      <c r="D1208">
        <v>3.2383156125433699</v>
      </c>
      <c r="E1208">
        <v>518.13049800694</v>
      </c>
      <c r="F1208">
        <v>0.94646552048455701</v>
      </c>
      <c r="G1208">
        <v>0.95462924645423397</v>
      </c>
      <c r="H1208" t="str">
        <f t="shared" si="18"/>
        <v>Q4</v>
      </c>
    </row>
    <row r="1209" spans="1:8">
      <c r="A1209">
        <v>737260</v>
      </c>
      <c r="B1209" t="s">
        <v>3809</v>
      </c>
      <c r="C1209">
        <v>286</v>
      </c>
      <c r="D1209">
        <v>1.81089249623523</v>
      </c>
      <c r="E1209">
        <v>517.91525392327503</v>
      </c>
      <c r="F1209">
        <v>0.97407922952484904</v>
      </c>
      <c r="G1209">
        <v>0.95459162559723099</v>
      </c>
      <c r="H1209" t="str">
        <f t="shared" si="18"/>
        <v>Q2</v>
      </c>
    </row>
    <row r="1210" spans="1:8">
      <c r="A1210">
        <v>702802</v>
      </c>
      <c r="B1210" t="s">
        <v>775</v>
      </c>
      <c r="C1210">
        <v>272</v>
      </c>
      <c r="D1210">
        <v>1.9032153355724699</v>
      </c>
      <c r="E1210">
        <v>517.67457127571095</v>
      </c>
      <c r="F1210">
        <v>0.97212294496068596</v>
      </c>
      <c r="G1210">
        <v>0.954554004740228</v>
      </c>
      <c r="H1210" t="str">
        <f t="shared" si="18"/>
        <v>Q2</v>
      </c>
    </row>
    <row r="1211" spans="1:8">
      <c r="A1211">
        <v>787952</v>
      </c>
      <c r="B1211" t="s">
        <v>4231</v>
      </c>
      <c r="C1211">
        <v>65</v>
      </c>
      <c r="D1211">
        <v>7.9640939373236401</v>
      </c>
      <c r="E1211">
        <v>517.66610592603695</v>
      </c>
      <c r="F1211">
        <v>0.86802603363304598</v>
      </c>
      <c r="G1211">
        <v>0.95451638388322502</v>
      </c>
      <c r="H1211" t="str">
        <f t="shared" si="18"/>
        <v>Q3</v>
      </c>
    </row>
    <row r="1212" spans="1:8">
      <c r="A1212">
        <v>730863</v>
      </c>
      <c r="B1212" t="s">
        <v>4477</v>
      </c>
      <c r="C1212">
        <v>115</v>
      </c>
      <c r="D1212">
        <v>4.5010022900026803</v>
      </c>
      <c r="E1212">
        <v>517.61526335030806</v>
      </c>
      <c r="F1212">
        <v>0.92370490199766797</v>
      </c>
      <c r="G1212">
        <v>0.95447876302622203</v>
      </c>
      <c r="H1212" t="str">
        <f t="shared" si="18"/>
        <v>Q4</v>
      </c>
    </row>
    <row r="1213" spans="1:8">
      <c r="A1213">
        <v>742083</v>
      </c>
      <c r="B1213" t="s">
        <v>5149</v>
      </c>
      <c r="C1213">
        <v>250</v>
      </c>
      <c r="D1213">
        <v>2.06785762254149</v>
      </c>
      <c r="E1213">
        <v>516.96440563537203</v>
      </c>
      <c r="F1213">
        <v>0.96903803468643002</v>
      </c>
      <c r="G1213">
        <v>0.95444114216921905</v>
      </c>
      <c r="H1213" t="str">
        <f t="shared" si="18"/>
        <v>Q2</v>
      </c>
    </row>
    <row r="1214" spans="1:8">
      <c r="A1214">
        <v>734426</v>
      </c>
      <c r="B1214" t="s">
        <v>4240</v>
      </c>
      <c r="C1214">
        <v>83</v>
      </c>
      <c r="D1214">
        <v>6.2255257538643196</v>
      </c>
      <c r="E1214">
        <v>516.71863757073902</v>
      </c>
      <c r="F1214">
        <v>0.89530115496031004</v>
      </c>
      <c r="G1214">
        <v>0.95440352131221595</v>
      </c>
      <c r="H1214" t="str">
        <f t="shared" si="18"/>
        <v>Q3</v>
      </c>
    </row>
    <row r="1215" spans="1:8">
      <c r="A1215">
        <v>659854</v>
      </c>
      <c r="B1215" t="s">
        <v>1273</v>
      </c>
      <c r="C1215">
        <v>323</v>
      </c>
      <c r="D1215">
        <v>1.59840996531429</v>
      </c>
      <c r="E1215">
        <v>516.28641879651695</v>
      </c>
      <c r="F1215">
        <v>0.978217523795192</v>
      </c>
      <c r="G1215">
        <v>0.95436590045521197</v>
      </c>
      <c r="H1215" t="str">
        <f t="shared" si="18"/>
        <v>Q2</v>
      </c>
    </row>
    <row r="1216" spans="1:8">
      <c r="A1216">
        <v>766153</v>
      </c>
      <c r="B1216" t="s">
        <v>2965</v>
      </c>
      <c r="C1216">
        <v>136</v>
      </c>
      <c r="D1216">
        <v>3.7918369929470601</v>
      </c>
      <c r="E1216">
        <v>515.68983104079996</v>
      </c>
      <c r="F1216">
        <v>0.93630788909371399</v>
      </c>
      <c r="G1216">
        <v>0.95432827959820898</v>
      </c>
      <c r="H1216" t="str">
        <f t="shared" si="18"/>
        <v>Q4</v>
      </c>
    </row>
    <row r="1217" spans="1:8">
      <c r="A1217">
        <v>733029</v>
      </c>
      <c r="B1217" t="s">
        <v>2336</v>
      </c>
      <c r="C1217">
        <v>320</v>
      </c>
      <c r="D1217">
        <v>1.6091683694685299</v>
      </c>
      <c r="E1217">
        <v>514.933878229931</v>
      </c>
      <c r="F1217">
        <v>0.97814228208118603</v>
      </c>
      <c r="G1217">
        <v>0.954290658741206</v>
      </c>
      <c r="H1217" t="str">
        <f t="shared" si="18"/>
        <v>Q2</v>
      </c>
    </row>
    <row r="1218" spans="1:8">
      <c r="A1218">
        <v>682236</v>
      </c>
      <c r="B1218" t="s">
        <v>217</v>
      </c>
      <c r="C1218">
        <v>216</v>
      </c>
      <c r="D1218">
        <v>2.3815207203841502</v>
      </c>
      <c r="E1218">
        <v>514.40847560297698</v>
      </c>
      <c r="F1218">
        <v>0.96301869756593095</v>
      </c>
      <c r="G1218">
        <v>0.95425303788420301</v>
      </c>
      <c r="H1218" t="str">
        <f t="shared" si="18"/>
        <v>Q2</v>
      </c>
    </row>
    <row r="1219" spans="1:8">
      <c r="A1219">
        <v>547780</v>
      </c>
      <c r="B1219" t="s">
        <v>484</v>
      </c>
      <c r="C1219">
        <v>232</v>
      </c>
      <c r="D1219">
        <v>2.2145528962498502</v>
      </c>
      <c r="E1219">
        <v>513.77627192996397</v>
      </c>
      <c r="F1219">
        <v>0.96587788269816799</v>
      </c>
      <c r="G1219">
        <v>0.95421541702720003</v>
      </c>
      <c r="H1219" t="str">
        <f t="shared" ref="H1219:H1282" si="19">IF(C1219&gt;$J$2,
   IF(D1219&gt;$J$3,"Q1","Q2"),
   IF(D1219&gt;$J$3,"Q3","Q4"))</f>
        <v>Q2</v>
      </c>
    </row>
    <row r="1220" spans="1:8">
      <c r="A1220">
        <v>448515</v>
      </c>
      <c r="B1220" t="s">
        <v>2523</v>
      </c>
      <c r="C1220">
        <v>180</v>
      </c>
      <c r="D1220">
        <v>2.8537193747858201</v>
      </c>
      <c r="E1220">
        <v>513.66948746144794</v>
      </c>
      <c r="F1220">
        <v>0.95346299988713701</v>
      </c>
      <c r="G1220">
        <v>0.95417779617019705</v>
      </c>
      <c r="H1220" t="str">
        <f t="shared" si="19"/>
        <v>Q2</v>
      </c>
    </row>
    <row r="1221" spans="1:8">
      <c r="A1221">
        <v>767815</v>
      </c>
      <c r="B1221" t="s">
        <v>1531</v>
      </c>
      <c r="C1221">
        <v>78</v>
      </c>
      <c r="D1221">
        <v>6.5828986800251901</v>
      </c>
      <c r="E1221">
        <v>513.46609704196499</v>
      </c>
      <c r="F1221">
        <v>0.88867988412776</v>
      </c>
      <c r="G1221">
        <v>0.95414017531319395</v>
      </c>
      <c r="H1221" t="str">
        <f t="shared" si="19"/>
        <v>Q3</v>
      </c>
    </row>
    <row r="1222" spans="1:8">
      <c r="A1222">
        <v>703152</v>
      </c>
      <c r="B1222" t="s">
        <v>1554</v>
      </c>
      <c r="C1222">
        <v>106</v>
      </c>
      <c r="D1222">
        <v>4.8406141001801402</v>
      </c>
      <c r="E1222">
        <v>513.10509461909498</v>
      </c>
      <c r="F1222">
        <v>0.91730935630713695</v>
      </c>
      <c r="G1222">
        <v>0.95410255445619097</v>
      </c>
      <c r="H1222" t="str">
        <f t="shared" si="19"/>
        <v>Q4</v>
      </c>
    </row>
    <row r="1223" spans="1:8">
      <c r="A1223">
        <v>780172</v>
      </c>
      <c r="B1223" t="s">
        <v>1028</v>
      </c>
      <c r="C1223">
        <v>215</v>
      </c>
      <c r="D1223">
        <v>2.3837761141273202</v>
      </c>
      <c r="E1223">
        <v>512.51186453737296</v>
      </c>
      <c r="F1223">
        <v>0.96275535156690895</v>
      </c>
      <c r="G1223">
        <v>0.95406493359918698</v>
      </c>
      <c r="H1223" t="str">
        <f t="shared" si="19"/>
        <v>Q2</v>
      </c>
    </row>
    <row r="1224" spans="1:8">
      <c r="A1224">
        <v>733852</v>
      </c>
      <c r="B1224" t="s">
        <v>4278</v>
      </c>
      <c r="C1224">
        <v>21</v>
      </c>
      <c r="D1224">
        <v>24.397417619114801</v>
      </c>
      <c r="E1224">
        <v>512.34577000141098</v>
      </c>
      <c r="F1224">
        <v>0.70008652797110704</v>
      </c>
      <c r="G1224">
        <v>0.954027312742184</v>
      </c>
      <c r="H1224" t="str">
        <f t="shared" si="19"/>
        <v>Q3</v>
      </c>
    </row>
    <row r="1225" spans="1:8">
      <c r="A1225">
        <v>772831</v>
      </c>
      <c r="B1225" t="s">
        <v>667</v>
      </c>
      <c r="C1225">
        <v>163</v>
      </c>
      <c r="D1225">
        <v>3.1422480478014299</v>
      </c>
      <c r="E1225">
        <v>512.18643179163303</v>
      </c>
      <c r="F1225">
        <v>0.94751890448064402</v>
      </c>
      <c r="G1225">
        <v>0.95398969188518101</v>
      </c>
      <c r="H1225" t="str">
        <f t="shared" si="19"/>
        <v>Q4</v>
      </c>
    </row>
    <row r="1226" spans="1:8">
      <c r="A1226">
        <v>719639</v>
      </c>
      <c r="B1226" t="s">
        <v>1274</v>
      </c>
      <c r="C1226">
        <v>169</v>
      </c>
      <c r="D1226">
        <v>3.03060871345052</v>
      </c>
      <c r="E1226">
        <v>512.17287257313706</v>
      </c>
      <c r="F1226">
        <v>0.94973853504382799</v>
      </c>
      <c r="G1226">
        <v>0.95395207102817803</v>
      </c>
      <c r="H1226" t="str">
        <f t="shared" si="19"/>
        <v>Q2</v>
      </c>
    </row>
    <row r="1227" spans="1:8">
      <c r="A1227">
        <v>642895</v>
      </c>
      <c r="B1227" t="s">
        <v>4385</v>
      </c>
      <c r="C1227">
        <v>169</v>
      </c>
      <c r="D1227">
        <v>3.03048834138544</v>
      </c>
      <c r="E1227">
        <v>512.15252969413996</v>
      </c>
      <c r="F1227">
        <v>0.94973853504382799</v>
      </c>
      <c r="G1227">
        <v>0.95391445017117504</v>
      </c>
      <c r="H1227" t="str">
        <f t="shared" si="19"/>
        <v>Q2</v>
      </c>
    </row>
    <row r="1228" spans="1:8">
      <c r="A1228">
        <v>685816</v>
      </c>
      <c r="B1228" t="s">
        <v>4123</v>
      </c>
      <c r="C1228">
        <v>637</v>
      </c>
      <c r="D1228">
        <v>0.80395125465254103</v>
      </c>
      <c r="E1228">
        <v>512.11694921366905</v>
      </c>
      <c r="F1228">
        <v>0.99315300402543205</v>
      </c>
      <c r="G1228">
        <v>0.95387682931417195</v>
      </c>
      <c r="H1228" t="str">
        <f t="shared" si="19"/>
        <v>Q2</v>
      </c>
    </row>
    <row r="1229" spans="1:8">
      <c r="A1229">
        <v>736584</v>
      </c>
      <c r="B1229" t="s">
        <v>5227</v>
      </c>
      <c r="C1229">
        <v>123</v>
      </c>
      <c r="D1229">
        <v>4.1554361309220198</v>
      </c>
      <c r="E1229">
        <v>511.11864410340797</v>
      </c>
      <c r="F1229">
        <v>0.92893420112110203</v>
      </c>
      <c r="G1229">
        <v>0.95383920845716896</v>
      </c>
      <c r="H1229" t="str">
        <f t="shared" si="19"/>
        <v>Q4</v>
      </c>
    </row>
    <row r="1230" spans="1:8">
      <c r="A1230">
        <v>719348</v>
      </c>
      <c r="B1230" t="s">
        <v>530</v>
      </c>
      <c r="C1230">
        <v>151</v>
      </c>
      <c r="D1230">
        <v>3.3841508422170299</v>
      </c>
      <c r="E1230">
        <v>511.006777174771</v>
      </c>
      <c r="F1230">
        <v>0.94323012678228801</v>
      </c>
      <c r="G1230">
        <v>0.95380158760016598</v>
      </c>
      <c r="H1230" t="str">
        <f t="shared" si="19"/>
        <v>Q4</v>
      </c>
    </row>
    <row r="1231" spans="1:8">
      <c r="A1231">
        <v>721435</v>
      </c>
      <c r="B1231" t="s">
        <v>2855</v>
      </c>
      <c r="C1231">
        <v>125</v>
      </c>
      <c r="D1231">
        <v>4.0859118714928604</v>
      </c>
      <c r="E1231">
        <v>510.73898393660801</v>
      </c>
      <c r="F1231">
        <v>0.93028855197321403</v>
      </c>
      <c r="G1231">
        <v>0.95376396674316199</v>
      </c>
      <c r="H1231" t="str">
        <f t="shared" si="19"/>
        <v>Q4</v>
      </c>
    </row>
    <row r="1232" spans="1:8">
      <c r="A1232">
        <v>693321</v>
      </c>
      <c r="B1232" t="s">
        <v>1861</v>
      </c>
      <c r="C1232">
        <v>168</v>
      </c>
      <c r="D1232">
        <v>3.0368441726923701</v>
      </c>
      <c r="E1232">
        <v>510.18982101231802</v>
      </c>
      <c r="F1232">
        <v>0.94936232647379704</v>
      </c>
      <c r="G1232">
        <v>0.95372634588615901</v>
      </c>
      <c r="H1232" t="str">
        <f t="shared" si="19"/>
        <v>Q4</v>
      </c>
    </row>
    <row r="1233" spans="1:8">
      <c r="A1233">
        <v>809372</v>
      </c>
      <c r="B1233" t="s">
        <v>1705</v>
      </c>
      <c r="C1233">
        <v>76</v>
      </c>
      <c r="D1233">
        <v>6.7103478371312697</v>
      </c>
      <c r="E1233">
        <v>509.98643562197702</v>
      </c>
      <c r="F1233">
        <v>0.88612166585154795</v>
      </c>
      <c r="G1233">
        <v>0.95368872502915603</v>
      </c>
      <c r="H1233" t="str">
        <f t="shared" si="19"/>
        <v>Q3</v>
      </c>
    </row>
    <row r="1234" spans="1:8">
      <c r="A1234">
        <v>663568</v>
      </c>
      <c r="B1234" t="s">
        <v>1612</v>
      </c>
      <c r="C1234">
        <v>130</v>
      </c>
      <c r="D1234">
        <v>3.9201695092309001</v>
      </c>
      <c r="E1234">
        <v>509.62203620001702</v>
      </c>
      <c r="F1234">
        <v>0.93307249539144499</v>
      </c>
      <c r="G1234">
        <v>0.95365110417215304</v>
      </c>
      <c r="H1234" t="str">
        <f t="shared" si="19"/>
        <v>Q4</v>
      </c>
    </row>
    <row r="1235" spans="1:8">
      <c r="A1235">
        <v>770851</v>
      </c>
      <c r="B1235" t="s">
        <v>2335</v>
      </c>
      <c r="C1235">
        <v>77</v>
      </c>
      <c r="D1235">
        <v>6.6098392735441003</v>
      </c>
      <c r="E1235">
        <v>508.957624062896</v>
      </c>
      <c r="F1235">
        <v>0.88740077498965397</v>
      </c>
      <c r="G1235">
        <v>0.95361348331514995</v>
      </c>
      <c r="H1235" t="str">
        <f t="shared" si="19"/>
        <v>Q3</v>
      </c>
    </row>
    <row r="1236" spans="1:8">
      <c r="A1236">
        <v>719245</v>
      </c>
      <c r="B1236" t="s">
        <v>3121</v>
      </c>
      <c r="C1236">
        <v>91</v>
      </c>
      <c r="D1236">
        <v>5.5908922986178604</v>
      </c>
      <c r="E1236">
        <v>508.77119917422499</v>
      </c>
      <c r="F1236">
        <v>0.90350250178699099</v>
      </c>
      <c r="G1236">
        <v>0.95357586245814696</v>
      </c>
      <c r="H1236" t="str">
        <f t="shared" si="19"/>
        <v>Q3</v>
      </c>
    </row>
    <row r="1237" spans="1:8">
      <c r="A1237">
        <v>665481</v>
      </c>
      <c r="B1237" t="s">
        <v>4767</v>
      </c>
      <c r="C1237">
        <v>105</v>
      </c>
      <c r="D1237">
        <v>4.8431316497070496</v>
      </c>
      <c r="E1237">
        <v>508.52882321924</v>
      </c>
      <c r="F1237">
        <v>0.91618073059704297</v>
      </c>
      <c r="G1237">
        <v>0.95353824160114398</v>
      </c>
      <c r="H1237" t="str">
        <f t="shared" si="19"/>
        <v>Q4</v>
      </c>
    </row>
    <row r="1238" spans="1:8">
      <c r="A1238">
        <v>705800</v>
      </c>
      <c r="B1238" t="s">
        <v>3514</v>
      </c>
      <c r="C1238">
        <v>55</v>
      </c>
      <c r="D1238">
        <v>9.2457936331629806</v>
      </c>
      <c r="E1238">
        <v>508.51864982396398</v>
      </c>
      <c r="F1238">
        <v>0.84763552913735396</v>
      </c>
      <c r="G1238">
        <v>0.95350062074414099</v>
      </c>
      <c r="H1238" t="str">
        <f t="shared" si="19"/>
        <v>Q3</v>
      </c>
    </row>
    <row r="1239" spans="1:8">
      <c r="A1239">
        <v>708456</v>
      </c>
      <c r="B1239" t="s">
        <v>2106</v>
      </c>
      <c r="C1239">
        <v>337</v>
      </c>
      <c r="D1239">
        <v>1.5084091388794501</v>
      </c>
      <c r="E1239">
        <v>508.33387980237598</v>
      </c>
      <c r="F1239">
        <v>0.97930852864828299</v>
      </c>
      <c r="G1239">
        <v>0.95346299988713701</v>
      </c>
      <c r="H1239" t="str">
        <f t="shared" si="19"/>
        <v>Q2</v>
      </c>
    </row>
    <row r="1240" spans="1:8">
      <c r="A1240">
        <v>754751</v>
      </c>
      <c r="B1240" t="s">
        <v>3646</v>
      </c>
      <c r="C1240">
        <v>161</v>
      </c>
      <c r="D1240">
        <v>3.1563216774082301</v>
      </c>
      <c r="E1240">
        <v>508.167790062726</v>
      </c>
      <c r="F1240">
        <v>0.94680410819758498</v>
      </c>
      <c r="G1240">
        <v>0.95342537903013402</v>
      </c>
      <c r="H1240" t="str">
        <f t="shared" si="19"/>
        <v>Q4</v>
      </c>
    </row>
    <row r="1241" spans="1:8">
      <c r="A1241">
        <v>702762</v>
      </c>
      <c r="B1241" t="s">
        <v>2728</v>
      </c>
      <c r="C1241">
        <v>286</v>
      </c>
      <c r="D1241">
        <v>1.77624748068881</v>
      </c>
      <c r="E1241">
        <v>508.00677947700001</v>
      </c>
      <c r="F1241">
        <v>0.97407922952484904</v>
      </c>
      <c r="G1241">
        <v>0.95338775817313104</v>
      </c>
      <c r="H1241" t="str">
        <f t="shared" si="19"/>
        <v>Q2</v>
      </c>
    </row>
    <row r="1242" spans="1:8">
      <c r="A1242">
        <v>446224</v>
      </c>
      <c r="B1242" t="s">
        <v>2972</v>
      </c>
      <c r="C1242">
        <v>600</v>
      </c>
      <c r="D1242">
        <v>0.84507626147630299</v>
      </c>
      <c r="E1242">
        <v>507.045756885782</v>
      </c>
      <c r="F1242">
        <v>0.992212482600354</v>
      </c>
      <c r="G1242">
        <v>0.95335013731612805</v>
      </c>
      <c r="H1242" t="str">
        <f t="shared" si="19"/>
        <v>Q2</v>
      </c>
    </row>
    <row r="1243" spans="1:8">
      <c r="A1243">
        <v>809757</v>
      </c>
      <c r="B1243" t="s">
        <v>2322</v>
      </c>
      <c r="C1243">
        <v>99</v>
      </c>
      <c r="D1243">
        <v>5.1214860093713996</v>
      </c>
      <c r="E1243">
        <v>507.02711492776899</v>
      </c>
      <c r="F1243">
        <v>0.91076332718859299</v>
      </c>
      <c r="G1243">
        <v>0.95331251645912496</v>
      </c>
      <c r="H1243" t="str">
        <f t="shared" si="19"/>
        <v>Q3</v>
      </c>
    </row>
    <row r="1244" spans="1:8">
      <c r="A1244">
        <v>577512</v>
      </c>
      <c r="B1244" t="s">
        <v>2108</v>
      </c>
      <c r="C1244">
        <v>115</v>
      </c>
      <c r="D1244">
        <v>4.40887259400409</v>
      </c>
      <c r="E1244">
        <v>507.02034831047098</v>
      </c>
      <c r="F1244">
        <v>0.92370490199766797</v>
      </c>
      <c r="G1244">
        <v>0.95327489560212197</v>
      </c>
      <c r="H1244" t="str">
        <f t="shared" si="19"/>
        <v>Q4</v>
      </c>
    </row>
    <row r="1245" spans="1:8">
      <c r="A1245">
        <v>620081</v>
      </c>
      <c r="B1245" t="s">
        <v>4975</v>
      </c>
      <c r="C1245">
        <v>221</v>
      </c>
      <c r="D1245">
        <v>2.2920776166999501</v>
      </c>
      <c r="E1245">
        <v>506.54915329068899</v>
      </c>
      <c r="F1245">
        <v>0.96380873556299596</v>
      </c>
      <c r="G1245">
        <v>0.95323727474511899</v>
      </c>
      <c r="H1245" t="str">
        <f t="shared" si="19"/>
        <v>Q2</v>
      </c>
    </row>
    <row r="1246" spans="1:8">
      <c r="A1246">
        <v>685430</v>
      </c>
      <c r="B1246" t="s">
        <v>3181</v>
      </c>
      <c r="C1246">
        <v>158</v>
      </c>
      <c r="D1246">
        <v>3.2057390498185998</v>
      </c>
      <c r="E1246">
        <v>506.50676987133897</v>
      </c>
      <c r="F1246">
        <v>0.94563786163048802</v>
      </c>
      <c r="G1246">
        <v>0.95319965388811601</v>
      </c>
      <c r="H1246" t="str">
        <f t="shared" si="19"/>
        <v>Q4</v>
      </c>
    </row>
    <row r="1247" spans="1:8">
      <c r="A1247">
        <v>738731</v>
      </c>
      <c r="B1247" t="s">
        <v>2581</v>
      </c>
      <c r="C1247">
        <v>124</v>
      </c>
      <c r="D1247">
        <v>4.0812876060484902</v>
      </c>
      <c r="E1247">
        <v>506.07966315001198</v>
      </c>
      <c r="F1247">
        <v>0.92957375569015499</v>
      </c>
      <c r="G1247">
        <v>0.95316203303111202</v>
      </c>
      <c r="H1247" t="str">
        <f t="shared" si="19"/>
        <v>Q4</v>
      </c>
    </row>
    <row r="1248" spans="1:8">
      <c r="A1248">
        <v>585355</v>
      </c>
      <c r="B1248" t="s">
        <v>4395</v>
      </c>
      <c r="C1248">
        <v>129</v>
      </c>
      <c r="D1248">
        <v>3.91656812641394</v>
      </c>
      <c r="E1248">
        <v>505.23728830739901</v>
      </c>
      <c r="F1248">
        <v>0.93247056167939502</v>
      </c>
      <c r="G1248">
        <v>0.95312441217410904</v>
      </c>
      <c r="H1248" t="str">
        <f t="shared" si="19"/>
        <v>Q4</v>
      </c>
    </row>
    <row r="1249" spans="1:8">
      <c r="A1249">
        <v>712216</v>
      </c>
      <c r="B1249" t="s">
        <v>3938</v>
      </c>
      <c r="C1249">
        <v>500</v>
      </c>
      <c r="D1249">
        <v>1.0089898159727499</v>
      </c>
      <c r="E1249">
        <v>504.49490798637299</v>
      </c>
      <c r="F1249">
        <v>0.988713742899063</v>
      </c>
      <c r="G1249">
        <v>0.95308679131710605</v>
      </c>
      <c r="H1249" t="str">
        <f t="shared" si="19"/>
        <v>Q2</v>
      </c>
    </row>
    <row r="1250" spans="1:8">
      <c r="A1250">
        <v>586207</v>
      </c>
      <c r="B1250" t="s">
        <v>621</v>
      </c>
      <c r="C1250">
        <v>92</v>
      </c>
      <c r="D1250">
        <v>5.4778739303836401</v>
      </c>
      <c r="E1250">
        <v>503.96440159529402</v>
      </c>
      <c r="F1250">
        <v>0.90429253978405599</v>
      </c>
      <c r="G1250">
        <v>0.95304917046010296</v>
      </c>
      <c r="H1250" t="str">
        <f t="shared" si="19"/>
        <v>Q3</v>
      </c>
    </row>
    <row r="1251" spans="1:8">
      <c r="A1251">
        <v>698283</v>
      </c>
      <c r="B1251" t="s">
        <v>4890</v>
      </c>
      <c r="C1251">
        <v>342</v>
      </c>
      <c r="D1251">
        <v>1.47342644849716</v>
      </c>
      <c r="E1251">
        <v>503.91184538602801</v>
      </c>
      <c r="F1251">
        <v>0.97987284150332898</v>
      </c>
      <c r="G1251">
        <v>0.95301154960309997</v>
      </c>
      <c r="H1251" t="str">
        <f t="shared" si="19"/>
        <v>Q2</v>
      </c>
    </row>
    <row r="1252" spans="1:8">
      <c r="A1252">
        <v>722439</v>
      </c>
      <c r="B1252" t="s">
        <v>433</v>
      </c>
      <c r="C1252">
        <v>158</v>
      </c>
      <c r="D1252">
        <v>3.1888542637889099</v>
      </c>
      <c r="E1252">
        <v>503.83897367864802</v>
      </c>
      <c r="F1252">
        <v>0.94563786163048802</v>
      </c>
      <c r="G1252">
        <v>0.95297392874609699</v>
      </c>
      <c r="H1252" t="str">
        <f t="shared" si="19"/>
        <v>Q4</v>
      </c>
    </row>
    <row r="1253" spans="1:8">
      <c r="A1253">
        <v>618319</v>
      </c>
      <c r="B1253" t="s">
        <v>3274</v>
      </c>
      <c r="C1253">
        <v>136</v>
      </c>
      <c r="D1253">
        <v>3.7031904157415498</v>
      </c>
      <c r="E1253">
        <v>503.63389654085</v>
      </c>
      <c r="F1253">
        <v>0.93630788909371399</v>
      </c>
      <c r="G1253">
        <v>0.952936307889094</v>
      </c>
      <c r="H1253" t="str">
        <f t="shared" si="19"/>
        <v>Q4</v>
      </c>
    </row>
    <row r="1254" spans="1:8">
      <c r="A1254">
        <v>691300</v>
      </c>
      <c r="B1254" t="s">
        <v>2579</v>
      </c>
      <c r="C1254">
        <v>203</v>
      </c>
      <c r="D1254">
        <v>2.4786590564115101</v>
      </c>
      <c r="E1254">
        <v>503.16778845153698</v>
      </c>
      <c r="F1254">
        <v>0.95997140814867798</v>
      </c>
      <c r="G1254">
        <v>0.95289868703209102</v>
      </c>
      <c r="H1254" t="str">
        <f t="shared" si="19"/>
        <v>Q2</v>
      </c>
    </row>
    <row r="1255" spans="1:8">
      <c r="A1255">
        <v>729095</v>
      </c>
      <c r="B1255" t="s">
        <v>4549</v>
      </c>
      <c r="C1255">
        <v>107</v>
      </c>
      <c r="D1255">
        <v>4.6974339409269996</v>
      </c>
      <c r="E1255">
        <v>502.62543167918898</v>
      </c>
      <c r="F1255">
        <v>0.91791129001918703</v>
      </c>
      <c r="G1255">
        <v>0.95286106617508703</v>
      </c>
      <c r="H1255" t="str">
        <f t="shared" si="19"/>
        <v>Q4</v>
      </c>
    </row>
    <row r="1256" spans="1:8">
      <c r="A1256">
        <v>685417</v>
      </c>
      <c r="B1256" t="s">
        <v>3218</v>
      </c>
      <c r="C1256">
        <v>208</v>
      </c>
      <c r="D1256">
        <v>2.41598756793582</v>
      </c>
      <c r="E1256">
        <v>502.52541413065001</v>
      </c>
      <c r="F1256">
        <v>0.96102479214476499</v>
      </c>
      <c r="G1256">
        <v>0.95282344531808405</v>
      </c>
      <c r="H1256" t="str">
        <f t="shared" si="19"/>
        <v>Q2</v>
      </c>
    </row>
    <row r="1257" spans="1:8">
      <c r="A1257">
        <v>794779</v>
      </c>
      <c r="B1257" t="s">
        <v>4405</v>
      </c>
      <c r="C1257">
        <v>63</v>
      </c>
      <c r="D1257">
        <v>7.9739306181196197</v>
      </c>
      <c r="E1257">
        <v>502.35762894153601</v>
      </c>
      <c r="F1257">
        <v>0.86445205221775001</v>
      </c>
      <c r="G1257">
        <v>0.95278582446108095</v>
      </c>
      <c r="H1257" t="str">
        <f t="shared" si="19"/>
        <v>Q3</v>
      </c>
    </row>
    <row r="1258" spans="1:8">
      <c r="A1258">
        <v>736593</v>
      </c>
      <c r="B1258" t="s">
        <v>4631</v>
      </c>
      <c r="C1258">
        <v>407</v>
      </c>
      <c r="D1258">
        <v>1.2339982335714299</v>
      </c>
      <c r="E1258">
        <v>502.23728106357203</v>
      </c>
      <c r="F1258">
        <v>0.98416161920168499</v>
      </c>
      <c r="G1258">
        <v>0.95274820360407797</v>
      </c>
      <c r="H1258" t="str">
        <f t="shared" si="19"/>
        <v>Q2</v>
      </c>
    </row>
    <row r="1259" spans="1:8">
      <c r="A1259">
        <v>761221</v>
      </c>
      <c r="B1259" t="s">
        <v>1837</v>
      </c>
      <c r="C1259">
        <v>127</v>
      </c>
      <c r="D1259">
        <v>3.9488055691944299</v>
      </c>
      <c r="E1259">
        <v>501.49830728769302</v>
      </c>
      <c r="F1259">
        <v>0.93141717768330801</v>
      </c>
      <c r="G1259">
        <v>0.95271058274707499</v>
      </c>
      <c r="H1259" t="str">
        <f t="shared" si="19"/>
        <v>Q4</v>
      </c>
    </row>
    <row r="1260" spans="1:8">
      <c r="A1260">
        <v>834749</v>
      </c>
      <c r="B1260" t="s">
        <v>1563</v>
      </c>
      <c r="C1260">
        <v>94</v>
      </c>
      <c r="D1260">
        <v>5.3332852100596799</v>
      </c>
      <c r="E1260">
        <v>501.32880974560999</v>
      </c>
      <c r="F1260">
        <v>0.906700274632256</v>
      </c>
      <c r="G1260">
        <v>0.952672961890072</v>
      </c>
      <c r="H1260" t="str">
        <f t="shared" si="19"/>
        <v>Q3</v>
      </c>
    </row>
    <row r="1261" spans="1:8">
      <c r="A1261">
        <v>578480</v>
      </c>
      <c r="B1261" t="s">
        <v>3991</v>
      </c>
      <c r="C1261">
        <v>56</v>
      </c>
      <c r="D1261">
        <v>8.9513315819203907</v>
      </c>
      <c r="E1261">
        <v>501.27456858754198</v>
      </c>
      <c r="F1261">
        <v>0.85004326398555397</v>
      </c>
      <c r="G1261">
        <v>0.95263534103306902</v>
      </c>
      <c r="H1261" t="str">
        <f t="shared" si="19"/>
        <v>Q3</v>
      </c>
    </row>
    <row r="1262" spans="1:8">
      <c r="A1262">
        <v>758222</v>
      </c>
      <c r="B1262" t="s">
        <v>1159</v>
      </c>
      <c r="C1262">
        <v>305</v>
      </c>
      <c r="D1262">
        <v>1.63885516740504</v>
      </c>
      <c r="E1262">
        <v>499.850826058537</v>
      </c>
      <c r="F1262">
        <v>0.97656220608705502</v>
      </c>
      <c r="G1262">
        <v>0.95259772017606603</v>
      </c>
      <c r="H1262" t="str">
        <f t="shared" si="19"/>
        <v>Q2</v>
      </c>
    </row>
    <row r="1263" spans="1:8">
      <c r="A1263">
        <v>612800</v>
      </c>
      <c r="B1263" t="s">
        <v>1265</v>
      </c>
      <c r="C1263">
        <v>158</v>
      </c>
      <c r="D1263">
        <v>3.1614567017583499</v>
      </c>
      <c r="E1263">
        <v>499.51015887782</v>
      </c>
      <c r="F1263">
        <v>0.94563786163048802</v>
      </c>
      <c r="G1263">
        <v>0.95256009931906205</v>
      </c>
      <c r="H1263" t="str">
        <f t="shared" si="19"/>
        <v>Q4</v>
      </c>
    </row>
    <row r="1264" spans="1:8">
      <c r="A1264">
        <v>814293</v>
      </c>
      <c r="B1264" t="s">
        <v>4118</v>
      </c>
      <c r="C1264">
        <v>132</v>
      </c>
      <c r="D1264">
        <v>3.7816897923634798</v>
      </c>
      <c r="E1264">
        <v>499.18305259198002</v>
      </c>
      <c r="F1264">
        <v>0.93435160452955102</v>
      </c>
      <c r="G1264">
        <v>0.95252247846205895</v>
      </c>
      <c r="H1264" t="str">
        <f t="shared" si="19"/>
        <v>Q4</v>
      </c>
    </row>
    <row r="1265" spans="1:8">
      <c r="A1265">
        <v>741293</v>
      </c>
      <c r="B1265" t="s">
        <v>4562</v>
      </c>
      <c r="C1265">
        <v>241</v>
      </c>
      <c r="D1265">
        <v>2.0704268929993002</v>
      </c>
      <c r="E1265">
        <v>498.972881212831</v>
      </c>
      <c r="F1265">
        <v>0.96742033783529602</v>
      </c>
      <c r="G1265">
        <v>0.95248485760505597</v>
      </c>
      <c r="H1265" t="str">
        <f t="shared" si="19"/>
        <v>Q2</v>
      </c>
    </row>
    <row r="1266" spans="1:8">
      <c r="A1266">
        <v>661435</v>
      </c>
      <c r="B1266" t="s">
        <v>4357</v>
      </c>
      <c r="C1266">
        <v>61</v>
      </c>
      <c r="D1266">
        <v>8.1747152583032392</v>
      </c>
      <c r="E1266">
        <v>498.65763075649699</v>
      </c>
      <c r="F1266">
        <v>0.86035137880440904</v>
      </c>
      <c r="G1266">
        <v>0.95244723674805298</v>
      </c>
      <c r="H1266" t="str">
        <f t="shared" si="19"/>
        <v>Q3</v>
      </c>
    </row>
    <row r="1267" spans="1:8">
      <c r="A1267">
        <v>784467</v>
      </c>
      <c r="B1267" t="s">
        <v>1561</v>
      </c>
      <c r="C1267">
        <v>210</v>
      </c>
      <c r="D1267">
        <v>2.37437449794795</v>
      </c>
      <c r="E1267">
        <v>498.61864456906898</v>
      </c>
      <c r="F1267">
        <v>0.96151386328580601</v>
      </c>
      <c r="G1267">
        <v>0.95240961589105</v>
      </c>
      <c r="H1267" t="str">
        <f t="shared" si="19"/>
        <v>Q2</v>
      </c>
    </row>
    <row r="1268" spans="1:8">
      <c r="A1268">
        <v>778064</v>
      </c>
      <c r="B1268" t="s">
        <v>1063</v>
      </c>
      <c r="C1268">
        <v>616</v>
      </c>
      <c r="D1268">
        <v>0.80886803640736005</v>
      </c>
      <c r="E1268">
        <v>498.26271042693401</v>
      </c>
      <c r="F1268">
        <v>0.99262631202738805</v>
      </c>
      <c r="G1268">
        <v>0.95237199503404701</v>
      </c>
      <c r="H1268" t="str">
        <f t="shared" si="19"/>
        <v>Q2</v>
      </c>
    </row>
    <row r="1269" spans="1:8">
      <c r="A1269">
        <v>471714</v>
      </c>
      <c r="B1269" t="s">
        <v>4149</v>
      </c>
      <c r="C1269">
        <v>388</v>
      </c>
      <c r="D1269">
        <v>1.28409047731074</v>
      </c>
      <c r="E1269">
        <v>498.22710519656499</v>
      </c>
      <c r="F1269">
        <v>0.98299537263458903</v>
      </c>
      <c r="G1269">
        <v>0.95233437417704403</v>
      </c>
      <c r="H1269" t="str">
        <f t="shared" si="19"/>
        <v>Q2</v>
      </c>
    </row>
    <row r="1270" spans="1:8">
      <c r="A1270">
        <v>682068</v>
      </c>
      <c r="B1270" t="s">
        <v>3313</v>
      </c>
      <c r="C1270">
        <v>126</v>
      </c>
      <c r="D1270">
        <v>3.9525020161702802</v>
      </c>
      <c r="E1270">
        <v>498.01525403745501</v>
      </c>
      <c r="F1270">
        <v>0.93096572739926997</v>
      </c>
      <c r="G1270">
        <v>0.95229675332004105</v>
      </c>
      <c r="H1270" t="str">
        <f t="shared" si="19"/>
        <v>Q4</v>
      </c>
    </row>
    <row r="1271" spans="1:8">
      <c r="A1271">
        <v>742916</v>
      </c>
      <c r="B1271" t="s">
        <v>786</v>
      </c>
      <c r="C1271">
        <v>662</v>
      </c>
      <c r="D1271">
        <v>0.75193302402711704</v>
      </c>
      <c r="E1271">
        <v>497.77966190595203</v>
      </c>
      <c r="F1271">
        <v>0.99364207516647196</v>
      </c>
      <c r="G1271">
        <v>0.95225913246303795</v>
      </c>
      <c r="H1271" t="str">
        <f t="shared" si="19"/>
        <v>Q2</v>
      </c>
    </row>
    <row r="1272" spans="1:8">
      <c r="A1272">
        <v>654046</v>
      </c>
      <c r="B1272" t="s">
        <v>1047</v>
      </c>
      <c r="C1272">
        <v>168</v>
      </c>
      <c r="D1272">
        <v>2.9624798113391502</v>
      </c>
      <c r="E1272">
        <v>497.69660830497702</v>
      </c>
      <c r="F1272">
        <v>0.94936232647379704</v>
      </c>
      <c r="G1272">
        <v>0.95222151160603397</v>
      </c>
      <c r="H1272" t="str">
        <f t="shared" si="19"/>
        <v>Q4</v>
      </c>
    </row>
    <row r="1273" spans="1:8">
      <c r="A1273">
        <v>640021</v>
      </c>
      <c r="B1273" t="s">
        <v>3759</v>
      </c>
      <c r="C1273">
        <v>109</v>
      </c>
      <c r="D1273">
        <v>4.5659773641291599</v>
      </c>
      <c r="E1273">
        <v>497.69153269007802</v>
      </c>
      <c r="F1273">
        <v>0.91922802001429604</v>
      </c>
      <c r="G1273">
        <v>0.95218389074903098</v>
      </c>
      <c r="H1273" t="str">
        <f t="shared" si="19"/>
        <v>Q4</v>
      </c>
    </row>
    <row r="1274" spans="1:8">
      <c r="A1274">
        <v>486639</v>
      </c>
      <c r="B1274" t="s">
        <v>2260</v>
      </c>
      <c r="C1274">
        <v>171</v>
      </c>
      <c r="D1274">
        <v>2.9051640354183998</v>
      </c>
      <c r="E1274">
        <v>496.78305005654698</v>
      </c>
      <c r="F1274">
        <v>0.95041571046988405</v>
      </c>
      <c r="G1274">
        <v>0.952146269892028</v>
      </c>
      <c r="H1274" t="str">
        <f t="shared" si="19"/>
        <v>Q2</v>
      </c>
    </row>
    <row r="1275" spans="1:8">
      <c r="A1275">
        <v>591334</v>
      </c>
      <c r="B1275" t="s">
        <v>1760</v>
      </c>
      <c r="C1275">
        <v>310</v>
      </c>
      <c r="D1275">
        <v>1.6013832024538901</v>
      </c>
      <c r="E1275">
        <v>496.42879276070698</v>
      </c>
      <c r="F1275">
        <v>0.97693841465708597</v>
      </c>
      <c r="G1275">
        <v>0.95210864903502501</v>
      </c>
      <c r="H1275" t="str">
        <f t="shared" si="19"/>
        <v>Q2</v>
      </c>
    </row>
    <row r="1276" spans="1:8">
      <c r="A1276">
        <v>456163</v>
      </c>
      <c r="B1276" t="s">
        <v>5208</v>
      </c>
      <c r="C1276">
        <v>154</v>
      </c>
      <c r="D1276">
        <v>3.2219898251985999</v>
      </c>
      <c r="E1276">
        <v>496.18643308058398</v>
      </c>
      <c r="F1276">
        <v>0.94424588992137204</v>
      </c>
      <c r="G1276">
        <v>0.95207102817802203</v>
      </c>
      <c r="H1276" t="str">
        <f t="shared" si="19"/>
        <v>Q4</v>
      </c>
    </row>
    <row r="1277" spans="1:8">
      <c r="A1277">
        <v>758043</v>
      </c>
      <c r="B1277" t="s">
        <v>2875</v>
      </c>
      <c r="C1277">
        <v>177</v>
      </c>
      <c r="D1277">
        <v>2.8024992589854598</v>
      </c>
      <c r="E1277">
        <v>496.04236884042598</v>
      </c>
      <c r="F1277">
        <v>0.95244723674805298</v>
      </c>
      <c r="G1277">
        <v>0.95203340732101904</v>
      </c>
      <c r="H1277" t="str">
        <f t="shared" si="19"/>
        <v>Q2</v>
      </c>
    </row>
    <row r="1278" spans="1:8">
      <c r="A1278">
        <v>806412</v>
      </c>
      <c r="B1278" t="s">
        <v>3640</v>
      </c>
      <c r="C1278">
        <v>148</v>
      </c>
      <c r="D1278">
        <v>3.3491525767572399</v>
      </c>
      <c r="E1278">
        <v>495.67458136007201</v>
      </c>
      <c r="F1278">
        <v>0.94236484707121604</v>
      </c>
      <c r="G1278">
        <v>0.95199578646401595</v>
      </c>
      <c r="H1278" t="str">
        <f t="shared" si="19"/>
        <v>Q4</v>
      </c>
    </row>
    <row r="1279" spans="1:8">
      <c r="A1279">
        <v>687948</v>
      </c>
      <c r="B1279" t="s">
        <v>313</v>
      </c>
      <c r="C1279">
        <v>128</v>
      </c>
      <c r="D1279">
        <v>3.87024629453663</v>
      </c>
      <c r="E1279">
        <v>495.39152570068802</v>
      </c>
      <c r="F1279">
        <v>0.93201911139535798</v>
      </c>
      <c r="G1279">
        <v>0.95195816560701296</v>
      </c>
      <c r="H1279" t="str">
        <f t="shared" si="19"/>
        <v>Q4</v>
      </c>
    </row>
    <row r="1280" spans="1:8">
      <c r="A1280">
        <v>577513</v>
      </c>
      <c r="B1280" t="s">
        <v>5167</v>
      </c>
      <c r="C1280">
        <v>119</v>
      </c>
      <c r="D1280">
        <v>4.1618715721268602</v>
      </c>
      <c r="E1280">
        <v>495.26271708309702</v>
      </c>
      <c r="F1280">
        <v>0.92667694970091397</v>
      </c>
      <c r="G1280">
        <v>0.95192054475000898</v>
      </c>
      <c r="H1280" t="str">
        <f t="shared" si="19"/>
        <v>Q4</v>
      </c>
    </row>
    <row r="1281" spans="1:8">
      <c r="A1281">
        <v>567532</v>
      </c>
      <c r="B1281" t="s">
        <v>3000</v>
      </c>
      <c r="C1281">
        <v>122</v>
      </c>
      <c r="D1281">
        <v>4.05244513979701</v>
      </c>
      <c r="E1281">
        <v>494.39830705523502</v>
      </c>
      <c r="F1281">
        <v>0.92855799255106997</v>
      </c>
      <c r="G1281">
        <v>0.95188292389300599</v>
      </c>
      <c r="H1281" t="str">
        <f t="shared" si="19"/>
        <v>Q4</v>
      </c>
    </row>
    <row r="1282" spans="1:8">
      <c r="A1282">
        <v>594834</v>
      </c>
      <c r="B1282" t="s">
        <v>1366</v>
      </c>
      <c r="C1282">
        <v>188</v>
      </c>
      <c r="D1282">
        <v>2.6261449375368202</v>
      </c>
      <c r="E1282">
        <v>493.715248256922</v>
      </c>
      <c r="F1282">
        <v>0.95583311387833403</v>
      </c>
      <c r="G1282">
        <v>0.95184530303600301</v>
      </c>
      <c r="H1282" t="str">
        <f t="shared" si="19"/>
        <v>Q2</v>
      </c>
    </row>
    <row r="1283" spans="1:8">
      <c r="A1283">
        <v>689562</v>
      </c>
      <c r="B1283" t="s">
        <v>4580</v>
      </c>
      <c r="C1283">
        <v>94</v>
      </c>
      <c r="D1283">
        <v>5.2514606422962702</v>
      </c>
      <c r="E1283">
        <v>493.63730037584901</v>
      </c>
      <c r="F1283">
        <v>0.906700274632256</v>
      </c>
      <c r="G1283">
        <v>0.95180768217900003</v>
      </c>
      <c r="H1283" t="str">
        <f t="shared" ref="H1283:H1346" si="20">IF(C1283&gt;$J$2,
   IF(D1283&gt;$J$3,"Q1","Q2"),
   IF(D1283&gt;$J$3,"Q3","Q4"))</f>
        <v>Q3</v>
      </c>
    </row>
    <row r="1284" spans="1:8">
      <c r="A1284">
        <v>449897</v>
      </c>
      <c r="B1284" t="s">
        <v>4511</v>
      </c>
      <c r="C1284">
        <v>89</v>
      </c>
      <c r="D1284">
        <v>5.5402589668886</v>
      </c>
      <c r="E1284">
        <v>493.08304805308597</v>
      </c>
      <c r="F1284">
        <v>0.90135811293781298</v>
      </c>
      <c r="G1284">
        <v>0.95177006132199704</v>
      </c>
      <c r="H1284" t="str">
        <f t="shared" si="20"/>
        <v>Q3</v>
      </c>
    </row>
    <row r="1285" spans="1:8">
      <c r="A1285">
        <v>606711</v>
      </c>
      <c r="B1285" t="s">
        <v>4175</v>
      </c>
      <c r="C1285">
        <v>208</v>
      </c>
      <c r="D1285">
        <v>2.3696544481656301</v>
      </c>
      <c r="E1285">
        <v>492.88812521845102</v>
      </c>
      <c r="F1285">
        <v>0.96102479214476499</v>
      </c>
      <c r="G1285">
        <v>0.95173244046499395</v>
      </c>
      <c r="H1285" t="str">
        <f t="shared" si="20"/>
        <v>Q2</v>
      </c>
    </row>
    <row r="1286" spans="1:8">
      <c r="A1286">
        <v>703000</v>
      </c>
      <c r="B1286" t="s">
        <v>3889</v>
      </c>
      <c r="C1286">
        <v>134</v>
      </c>
      <c r="D1286">
        <v>3.6772198196667301</v>
      </c>
      <c r="E1286">
        <v>492.74745583534201</v>
      </c>
      <c r="F1286">
        <v>0.93551785109664798</v>
      </c>
      <c r="G1286">
        <v>0.95169481960799096</v>
      </c>
      <c r="H1286" t="str">
        <f t="shared" si="20"/>
        <v>Q4</v>
      </c>
    </row>
    <row r="1287" spans="1:8">
      <c r="A1287">
        <v>837325</v>
      </c>
      <c r="B1287" t="s">
        <v>3140</v>
      </c>
      <c r="C1287">
        <v>37</v>
      </c>
      <c r="D1287">
        <v>13.309253369634201</v>
      </c>
      <c r="E1287">
        <v>492.44237467646599</v>
      </c>
      <c r="F1287">
        <v>0.79304766562582296</v>
      </c>
      <c r="G1287">
        <v>0.95165719875098798</v>
      </c>
      <c r="H1287" t="str">
        <f t="shared" si="20"/>
        <v>Q3</v>
      </c>
    </row>
    <row r="1288" spans="1:8">
      <c r="A1288">
        <v>801301</v>
      </c>
      <c r="B1288" t="s">
        <v>1034</v>
      </c>
      <c r="C1288">
        <v>111</v>
      </c>
      <c r="D1288">
        <v>4.42974505492964</v>
      </c>
      <c r="E1288">
        <v>491.70170109718998</v>
      </c>
      <c r="F1288">
        <v>0.92084571686543004</v>
      </c>
      <c r="G1288">
        <v>0.95161957789398399</v>
      </c>
      <c r="H1288" t="str">
        <f t="shared" si="20"/>
        <v>Q4</v>
      </c>
    </row>
    <row r="1289" spans="1:8">
      <c r="A1289">
        <v>687036</v>
      </c>
      <c r="B1289" t="s">
        <v>192</v>
      </c>
      <c r="C1289">
        <v>314</v>
      </c>
      <c r="D1289">
        <v>1.5657129882876399</v>
      </c>
      <c r="E1289">
        <v>491.63387832231803</v>
      </c>
      <c r="F1289">
        <v>0.97738986494112301</v>
      </c>
      <c r="G1289">
        <v>0.95158195703698101</v>
      </c>
      <c r="H1289" t="str">
        <f t="shared" si="20"/>
        <v>Q2</v>
      </c>
    </row>
    <row r="1290" spans="1:8">
      <c r="A1290">
        <v>578374</v>
      </c>
      <c r="B1290" t="s">
        <v>2776</v>
      </c>
      <c r="C1290">
        <v>121</v>
      </c>
      <c r="D1290">
        <v>4.0624177191129398</v>
      </c>
      <c r="E1290">
        <v>491.55254401266598</v>
      </c>
      <c r="F1290">
        <v>0.92788081712501402</v>
      </c>
      <c r="G1290">
        <v>0.95154433617997802</v>
      </c>
      <c r="H1290" t="str">
        <f t="shared" si="20"/>
        <v>Q4</v>
      </c>
    </row>
    <row r="1291" spans="1:8">
      <c r="A1291">
        <v>436570</v>
      </c>
      <c r="B1291" t="s">
        <v>3331</v>
      </c>
      <c r="C1291">
        <v>228</v>
      </c>
      <c r="D1291">
        <v>2.1555456458468401</v>
      </c>
      <c r="E1291">
        <v>491.464407253079</v>
      </c>
      <c r="F1291">
        <v>0.96501260298709601</v>
      </c>
      <c r="G1291">
        <v>0.95150671532297504</v>
      </c>
      <c r="H1291" t="str">
        <f t="shared" si="20"/>
        <v>Q2</v>
      </c>
    </row>
    <row r="1292" spans="1:8">
      <c r="A1292">
        <v>834031</v>
      </c>
      <c r="B1292" t="s">
        <v>1166</v>
      </c>
      <c r="C1292">
        <v>77</v>
      </c>
      <c r="D1292">
        <v>6.3817300724905799</v>
      </c>
      <c r="E1292">
        <v>491.393215581775</v>
      </c>
      <c r="F1292">
        <v>0.88740077498965397</v>
      </c>
      <c r="G1292">
        <v>0.95146909446597205</v>
      </c>
      <c r="H1292" t="str">
        <f t="shared" si="20"/>
        <v>Q3</v>
      </c>
    </row>
    <row r="1293" spans="1:8">
      <c r="A1293">
        <v>736870</v>
      </c>
      <c r="B1293" t="s">
        <v>4694</v>
      </c>
      <c r="C1293">
        <v>312</v>
      </c>
      <c r="D1293">
        <v>1.5748369716442201</v>
      </c>
      <c r="E1293">
        <v>491.34913515299598</v>
      </c>
      <c r="F1293">
        <v>0.97716413979910499</v>
      </c>
      <c r="G1293">
        <v>0.95143147360896896</v>
      </c>
      <c r="H1293" t="str">
        <f t="shared" si="20"/>
        <v>Q2</v>
      </c>
    </row>
    <row r="1294" spans="1:8">
      <c r="A1294">
        <v>262277</v>
      </c>
      <c r="B1294" t="s">
        <v>2565</v>
      </c>
      <c r="C1294">
        <v>100</v>
      </c>
      <c r="D1294">
        <v>4.9083390850573796</v>
      </c>
      <c r="E1294">
        <v>490.83390850573801</v>
      </c>
      <c r="F1294">
        <v>0.91155336518565899</v>
      </c>
      <c r="G1294">
        <v>0.95139385275196597</v>
      </c>
      <c r="H1294" t="str">
        <f t="shared" si="20"/>
        <v>Q3</v>
      </c>
    </row>
    <row r="1295" spans="1:8">
      <c r="A1295">
        <v>805947</v>
      </c>
      <c r="B1295" t="s">
        <v>2996</v>
      </c>
      <c r="C1295">
        <v>125</v>
      </c>
      <c r="D1295">
        <v>3.9256677895784402</v>
      </c>
      <c r="E1295">
        <v>490.70847369730501</v>
      </c>
      <c r="F1295">
        <v>0.93028855197321403</v>
      </c>
      <c r="G1295">
        <v>0.95135623189496299</v>
      </c>
      <c r="H1295" t="str">
        <f t="shared" si="20"/>
        <v>Q4</v>
      </c>
    </row>
    <row r="1296" spans="1:8">
      <c r="A1296">
        <v>772794</v>
      </c>
      <c r="B1296" t="s">
        <v>4572</v>
      </c>
      <c r="C1296">
        <v>115</v>
      </c>
      <c r="D1296">
        <v>4.2635372540225198</v>
      </c>
      <c r="E1296">
        <v>490.30678421258898</v>
      </c>
      <c r="F1296">
        <v>0.92370490199766797</v>
      </c>
      <c r="G1296">
        <v>0.95131861103795901</v>
      </c>
      <c r="H1296" t="str">
        <f t="shared" si="20"/>
        <v>Q4</v>
      </c>
    </row>
    <row r="1297" spans="1:8">
      <c r="A1297">
        <v>695457</v>
      </c>
      <c r="B1297" t="s">
        <v>2720</v>
      </c>
      <c r="C1297">
        <v>239</v>
      </c>
      <c r="D1297">
        <v>2.0487553177004001</v>
      </c>
      <c r="E1297">
        <v>489.65252093039499</v>
      </c>
      <c r="F1297">
        <v>0.96700650840826197</v>
      </c>
      <c r="G1297">
        <v>0.95128099018095602</v>
      </c>
      <c r="H1297" t="str">
        <f t="shared" si="20"/>
        <v>Q2</v>
      </c>
    </row>
    <row r="1298" spans="1:8">
      <c r="A1298">
        <v>735600</v>
      </c>
      <c r="B1298" t="s">
        <v>2251</v>
      </c>
      <c r="C1298">
        <v>75</v>
      </c>
      <c r="D1298">
        <v>6.5254236658414202</v>
      </c>
      <c r="E1298">
        <v>489.40677493810699</v>
      </c>
      <c r="F1298">
        <v>0.88420300214438896</v>
      </c>
      <c r="G1298">
        <v>0.95124336932395304</v>
      </c>
      <c r="H1298" t="str">
        <f t="shared" si="20"/>
        <v>Q3</v>
      </c>
    </row>
    <row r="1299" spans="1:8">
      <c r="A1299">
        <v>779862</v>
      </c>
      <c r="B1299" t="s">
        <v>1716</v>
      </c>
      <c r="C1299">
        <v>78</v>
      </c>
      <c r="D1299">
        <v>6.2526726820625598</v>
      </c>
      <c r="E1299">
        <v>487.70846920087899</v>
      </c>
      <c r="F1299">
        <v>0.88867988412776</v>
      </c>
      <c r="G1299">
        <v>0.95120574846695005</v>
      </c>
      <c r="H1299" t="str">
        <f t="shared" si="20"/>
        <v>Q3</v>
      </c>
    </row>
    <row r="1300" spans="1:8">
      <c r="A1300">
        <v>781078</v>
      </c>
      <c r="B1300" t="s">
        <v>2567</v>
      </c>
      <c r="C1300">
        <v>76</v>
      </c>
      <c r="D1300">
        <v>6.4066011997822097</v>
      </c>
      <c r="E1300">
        <v>486.90169118344801</v>
      </c>
      <c r="F1300">
        <v>0.88612166585154795</v>
      </c>
      <c r="G1300">
        <v>0.95116812760994696</v>
      </c>
      <c r="H1300" t="str">
        <f t="shared" si="20"/>
        <v>Q3</v>
      </c>
    </row>
    <row r="1301" spans="1:8">
      <c r="A1301">
        <v>762856</v>
      </c>
      <c r="B1301" t="s">
        <v>3009</v>
      </c>
      <c r="C1301">
        <v>202</v>
      </c>
      <c r="D1301">
        <v>2.4082228578258298</v>
      </c>
      <c r="E1301">
        <v>486.46101728081698</v>
      </c>
      <c r="F1301">
        <v>0.95951995786463995</v>
      </c>
      <c r="G1301">
        <v>0.95113050675294397</v>
      </c>
      <c r="H1301" t="str">
        <f t="shared" si="20"/>
        <v>Q2</v>
      </c>
    </row>
    <row r="1302" spans="1:8">
      <c r="A1302">
        <v>626263</v>
      </c>
      <c r="B1302" t="s">
        <v>1899</v>
      </c>
      <c r="C1302">
        <v>207</v>
      </c>
      <c r="D1302">
        <v>2.3491443566762</v>
      </c>
      <c r="E1302">
        <v>486.27288183197402</v>
      </c>
      <c r="F1302">
        <v>0.96083668785974896</v>
      </c>
      <c r="G1302">
        <v>0.95109288589594099</v>
      </c>
      <c r="H1302" t="str">
        <f t="shared" si="20"/>
        <v>Q2</v>
      </c>
    </row>
    <row r="1303" spans="1:8">
      <c r="A1303">
        <v>790216</v>
      </c>
      <c r="B1303" t="s">
        <v>2123</v>
      </c>
      <c r="C1303">
        <v>103</v>
      </c>
      <c r="D1303">
        <v>4.7198947591399696</v>
      </c>
      <c r="E1303">
        <v>486.14916019141702</v>
      </c>
      <c r="F1303">
        <v>0.91433730860388995</v>
      </c>
      <c r="G1303">
        <v>0.951055265038938</v>
      </c>
      <c r="H1303" t="str">
        <f t="shared" si="20"/>
        <v>Q4</v>
      </c>
    </row>
    <row r="1304" spans="1:8">
      <c r="A1304">
        <v>716868</v>
      </c>
      <c r="B1304" t="s">
        <v>4007</v>
      </c>
      <c r="C1304">
        <v>100</v>
      </c>
      <c r="D1304">
        <v>4.8585424609482297</v>
      </c>
      <c r="E1304">
        <v>485.854246094823</v>
      </c>
      <c r="F1304">
        <v>0.91155336518565899</v>
      </c>
      <c r="G1304">
        <v>0.95101764418193402</v>
      </c>
      <c r="H1304" t="str">
        <f t="shared" si="20"/>
        <v>Q4</v>
      </c>
    </row>
    <row r="1305" spans="1:8">
      <c r="A1305">
        <v>723872</v>
      </c>
      <c r="B1305" t="s">
        <v>4997</v>
      </c>
      <c r="C1305">
        <v>124</v>
      </c>
      <c r="D1305">
        <v>3.9136413458524499</v>
      </c>
      <c r="E1305">
        <v>485.29152688570298</v>
      </c>
      <c r="F1305">
        <v>0.92957375569015499</v>
      </c>
      <c r="G1305">
        <v>0.95098002332493103</v>
      </c>
      <c r="H1305" t="str">
        <f t="shared" si="20"/>
        <v>Q4</v>
      </c>
    </row>
    <row r="1306" spans="1:8">
      <c r="A1306">
        <v>640542</v>
      </c>
      <c r="B1306" t="e" cm="1">
        <f t="array" ref="B1306">+ Coco Highwaist</f>
        <v>#NAME?</v>
      </c>
      <c r="C1306">
        <v>146</v>
      </c>
      <c r="D1306">
        <v>3.32075684420662</v>
      </c>
      <c r="E1306">
        <v>484.83049925416702</v>
      </c>
      <c r="F1306">
        <v>0.94127384221812604</v>
      </c>
      <c r="G1306">
        <v>0.95094240246792805</v>
      </c>
      <c r="H1306" t="str">
        <f t="shared" si="20"/>
        <v>Q4</v>
      </c>
    </row>
    <row r="1307" spans="1:8">
      <c r="A1307">
        <v>670043</v>
      </c>
      <c r="B1307" t="s">
        <v>3702</v>
      </c>
      <c r="C1307">
        <v>23</v>
      </c>
      <c r="D1307">
        <v>21.0687550513641</v>
      </c>
      <c r="E1307">
        <v>484.58136618137399</v>
      </c>
      <c r="F1307">
        <v>0.71547345848538402</v>
      </c>
      <c r="G1307">
        <v>0.95090478161092495</v>
      </c>
      <c r="H1307" t="str">
        <f t="shared" si="20"/>
        <v>Q3</v>
      </c>
    </row>
    <row r="1308" spans="1:8">
      <c r="A1308">
        <v>564787</v>
      </c>
      <c r="B1308" t="s">
        <v>1092</v>
      </c>
      <c r="C1308">
        <v>179</v>
      </c>
      <c r="D1308">
        <v>2.7057001918720802</v>
      </c>
      <c r="E1308">
        <v>484.32033434510203</v>
      </c>
      <c r="F1308">
        <v>0.95308679131710605</v>
      </c>
      <c r="G1308">
        <v>0.95086716075392197</v>
      </c>
      <c r="H1308" t="str">
        <f t="shared" si="20"/>
        <v>Q2</v>
      </c>
    </row>
    <row r="1309" spans="1:8">
      <c r="A1309">
        <v>417088</v>
      </c>
      <c r="B1309" t="s">
        <v>2257</v>
      </c>
      <c r="C1309">
        <v>71</v>
      </c>
      <c r="D1309">
        <v>6.8192408931717097</v>
      </c>
      <c r="E1309">
        <v>484.166103415191</v>
      </c>
      <c r="F1309">
        <v>0.87799556073887397</v>
      </c>
      <c r="G1309">
        <v>0.95082953989691898</v>
      </c>
      <c r="H1309" t="str">
        <f t="shared" si="20"/>
        <v>Q3</v>
      </c>
    </row>
    <row r="1310" spans="1:8">
      <c r="A1310">
        <v>689412</v>
      </c>
      <c r="B1310" t="s">
        <v>2134</v>
      </c>
      <c r="C1310">
        <v>219</v>
      </c>
      <c r="D1310">
        <v>2.2094187803022098</v>
      </c>
      <c r="E1310">
        <v>483.862712886184</v>
      </c>
      <c r="F1310">
        <v>0.96350776870697097</v>
      </c>
      <c r="G1310">
        <v>0.950791919039916</v>
      </c>
      <c r="H1310" t="str">
        <f t="shared" si="20"/>
        <v>Q2</v>
      </c>
    </row>
    <row r="1311" spans="1:8">
      <c r="A1311">
        <v>585130</v>
      </c>
      <c r="B1311" t="s">
        <v>2153</v>
      </c>
      <c r="C1311">
        <v>281</v>
      </c>
      <c r="D1311">
        <v>1.7188793041634001</v>
      </c>
      <c r="E1311">
        <v>483.00508446991398</v>
      </c>
      <c r="F1311">
        <v>0.97340205409879199</v>
      </c>
      <c r="G1311">
        <v>0.95075429818291302</v>
      </c>
      <c r="H1311" t="str">
        <f t="shared" si="20"/>
        <v>Q2</v>
      </c>
    </row>
    <row r="1312" spans="1:8">
      <c r="A1312">
        <v>729275</v>
      </c>
      <c r="B1312" t="s">
        <v>1570</v>
      </c>
      <c r="C1312">
        <v>106</v>
      </c>
      <c r="D1312">
        <v>4.5473937366930901</v>
      </c>
      <c r="E1312">
        <v>482.023736089468</v>
      </c>
      <c r="F1312">
        <v>0.91730935630713695</v>
      </c>
      <c r="G1312">
        <v>0.95071667732590903</v>
      </c>
      <c r="H1312" t="str">
        <f t="shared" si="20"/>
        <v>Q4</v>
      </c>
    </row>
    <row r="1313" spans="1:8">
      <c r="A1313">
        <v>179123</v>
      </c>
      <c r="B1313" t="s">
        <v>2819</v>
      </c>
      <c r="C1313">
        <v>310</v>
      </c>
      <c r="D1313">
        <v>1.5541442833660599</v>
      </c>
      <c r="E1313">
        <v>481.78472784347798</v>
      </c>
      <c r="F1313">
        <v>0.97693841465708597</v>
      </c>
      <c r="G1313">
        <v>0.95067905646890605</v>
      </c>
      <c r="H1313" t="str">
        <f t="shared" si="20"/>
        <v>Q2</v>
      </c>
    </row>
    <row r="1314" spans="1:8">
      <c r="A1314">
        <v>739953</v>
      </c>
      <c r="B1314" t="s">
        <v>2763</v>
      </c>
      <c r="C1314">
        <v>200</v>
      </c>
      <c r="D1314">
        <v>2.40789826819673</v>
      </c>
      <c r="E1314">
        <v>481.57965363934602</v>
      </c>
      <c r="F1314">
        <v>0.95903088672360004</v>
      </c>
      <c r="G1314">
        <v>0.95064143561190295</v>
      </c>
      <c r="H1314" t="str">
        <f t="shared" si="20"/>
        <v>Q2</v>
      </c>
    </row>
    <row r="1315" spans="1:8">
      <c r="A1315">
        <v>781833</v>
      </c>
      <c r="B1315" t="s">
        <v>997</v>
      </c>
      <c r="C1315">
        <v>223</v>
      </c>
      <c r="D1315">
        <v>2.15936764226934</v>
      </c>
      <c r="E1315">
        <v>481.53898422606301</v>
      </c>
      <c r="F1315">
        <v>0.96410970241902105</v>
      </c>
      <c r="G1315">
        <v>0.95060381475489997</v>
      </c>
      <c r="H1315" t="str">
        <f t="shared" si="20"/>
        <v>Q2</v>
      </c>
    </row>
    <row r="1316" spans="1:8">
      <c r="A1316">
        <v>685811</v>
      </c>
      <c r="B1316" t="s">
        <v>543</v>
      </c>
      <c r="C1316">
        <v>299</v>
      </c>
      <c r="D1316">
        <v>1.60985198572751</v>
      </c>
      <c r="E1316">
        <v>481.34574373252701</v>
      </c>
      <c r="F1316">
        <v>0.97599789323200803</v>
      </c>
      <c r="G1316">
        <v>0.95056619389789698</v>
      </c>
      <c r="H1316" t="str">
        <f t="shared" si="20"/>
        <v>Q2</v>
      </c>
    </row>
    <row r="1317" spans="1:8">
      <c r="A1317">
        <v>455832</v>
      </c>
      <c r="B1317" t="s">
        <v>964</v>
      </c>
      <c r="C1317">
        <v>120</v>
      </c>
      <c r="D1317">
        <v>4.0071469095225103</v>
      </c>
      <c r="E1317">
        <v>480.85762914270202</v>
      </c>
      <c r="F1317">
        <v>0.92731650426996703</v>
      </c>
      <c r="G1317">
        <v>0.950528573040894</v>
      </c>
      <c r="H1317" t="str">
        <f t="shared" si="20"/>
        <v>Q4</v>
      </c>
    </row>
    <row r="1318" spans="1:8">
      <c r="A1318">
        <v>751557</v>
      </c>
      <c r="B1318" t="s">
        <v>3335</v>
      </c>
      <c r="C1318">
        <v>82</v>
      </c>
      <c r="D1318">
        <v>5.8640347112242797</v>
      </c>
      <c r="E1318">
        <v>480.85084632039099</v>
      </c>
      <c r="F1318">
        <v>0.894323012678229</v>
      </c>
      <c r="G1318">
        <v>0.95049095218389101</v>
      </c>
      <c r="H1318" t="str">
        <f t="shared" si="20"/>
        <v>Q3</v>
      </c>
    </row>
    <row r="1319" spans="1:8">
      <c r="A1319">
        <v>762011</v>
      </c>
      <c r="B1319" t="s">
        <v>4420</v>
      </c>
      <c r="C1319">
        <v>77</v>
      </c>
      <c r="D1319">
        <v>6.2433633614670097</v>
      </c>
      <c r="E1319">
        <v>480.73897883296002</v>
      </c>
      <c r="F1319">
        <v>0.88740077498965397</v>
      </c>
      <c r="G1319">
        <v>0.95045333132688803</v>
      </c>
      <c r="H1319" t="str">
        <f t="shared" si="20"/>
        <v>Q3</v>
      </c>
    </row>
    <row r="1320" spans="1:8">
      <c r="A1320">
        <v>758581</v>
      </c>
      <c r="B1320" t="s">
        <v>4594</v>
      </c>
      <c r="C1320">
        <v>109</v>
      </c>
      <c r="D1320">
        <v>4.4103405908297004</v>
      </c>
      <c r="E1320">
        <v>480.72712440043699</v>
      </c>
      <c r="F1320">
        <v>0.91922802001429604</v>
      </c>
      <c r="G1320">
        <v>0.95041571046988405</v>
      </c>
      <c r="H1320" t="str">
        <f t="shared" si="20"/>
        <v>Q4</v>
      </c>
    </row>
    <row r="1321" spans="1:8">
      <c r="A1321">
        <v>747764</v>
      </c>
      <c r="B1321" t="s">
        <v>5145</v>
      </c>
      <c r="C1321">
        <v>78</v>
      </c>
      <c r="D1321">
        <v>6.1631681707998096</v>
      </c>
      <c r="E1321">
        <v>480.72711732238503</v>
      </c>
      <c r="F1321">
        <v>0.88867988412776</v>
      </c>
      <c r="G1321">
        <v>0.95037808961288095</v>
      </c>
      <c r="H1321" t="str">
        <f t="shared" si="20"/>
        <v>Q3</v>
      </c>
    </row>
    <row r="1322" spans="1:8">
      <c r="A1322">
        <v>707738</v>
      </c>
      <c r="B1322" t="s">
        <v>3599</v>
      </c>
      <c r="C1322">
        <v>238</v>
      </c>
      <c r="D1322">
        <v>2.0192280022364799</v>
      </c>
      <c r="E1322">
        <v>480.57626453228301</v>
      </c>
      <c r="F1322">
        <v>0.966931266694255</v>
      </c>
      <c r="G1322">
        <v>0.95034046875587797</v>
      </c>
      <c r="H1322" t="str">
        <f t="shared" si="20"/>
        <v>Q2</v>
      </c>
    </row>
    <row r="1323" spans="1:8">
      <c r="A1323">
        <v>738882</v>
      </c>
      <c r="B1323" t="s">
        <v>207</v>
      </c>
      <c r="C1323">
        <v>119</v>
      </c>
      <c r="D1323">
        <v>4.0376869523349903</v>
      </c>
      <c r="E1323">
        <v>480.484747327864</v>
      </c>
      <c r="F1323">
        <v>0.92667694970091397</v>
      </c>
      <c r="G1323">
        <v>0.95030284789887498</v>
      </c>
      <c r="H1323" t="str">
        <f t="shared" si="20"/>
        <v>Q4</v>
      </c>
    </row>
    <row r="1324" spans="1:8">
      <c r="A1324">
        <v>758110</v>
      </c>
      <c r="B1324" t="s">
        <v>2886</v>
      </c>
      <c r="C1324">
        <v>75</v>
      </c>
      <c r="D1324">
        <v>6.4034349893530198</v>
      </c>
      <c r="E1324">
        <v>480.25762420147697</v>
      </c>
      <c r="F1324">
        <v>0.88420300214438896</v>
      </c>
      <c r="G1324">
        <v>0.950265227041872</v>
      </c>
      <c r="H1324" t="str">
        <f t="shared" si="20"/>
        <v>Q3</v>
      </c>
    </row>
    <row r="1325" spans="1:8">
      <c r="A1325">
        <v>696943</v>
      </c>
      <c r="B1325" t="s">
        <v>3983</v>
      </c>
      <c r="C1325">
        <v>73</v>
      </c>
      <c r="D1325">
        <v>6.5788483272676599</v>
      </c>
      <c r="E1325">
        <v>480.255927890539</v>
      </c>
      <c r="F1325">
        <v>0.88111809187013301</v>
      </c>
      <c r="G1325">
        <v>0.95022760618486901</v>
      </c>
      <c r="H1325" t="str">
        <f t="shared" si="20"/>
        <v>Q3</v>
      </c>
    </row>
    <row r="1326" spans="1:8">
      <c r="A1326">
        <v>806335</v>
      </c>
      <c r="B1326" t="s">
        <v>2690</v>
      </c>
      <c r="C1326">
        <v>105</v>
      </c>
      <c r="D1326">
        <v>4.5678450947716103</v>
      </c>
      <c r="E1326">
        <v>479.623734951019</v>
      </c>
      <c r="F1326">
        <v>0.91618073059704297</v>
      </c>
      <c r="G1326">
        <v>0.95018998532786603</v>
      </c>
      <c r="H1326" t="str">
        <f t="shared" si="20"/>
        <v>Q4</v>
      </c>
    </row>
    <row r="1327" spans="1:8">
      <c r="A1327">
        <v>468480</v>
      </c>
      <c r="B1327" t="s">
        <v>3307</v>
      </c>
      <c r="C1327">
        <v>206</v>
      </c>
      <c r="D1327">
        <v>2.3275464110853998</v>
      </c>
      <c r="E1327">
        <v>479.47456068359298</v>
      </c>
      <c r="F1327">
        <v>0.96064858357473404</v>
      </c>
      <c r="G1327">
        <v>0.95015236447086304</v>
      </c>
      <c r="H1327" t="str">
        <f t="shared" si="20"/>
        <v>Q2</v>
      </c>
    </row>
    <row r="1328" spans="1:8">
      <c r="A1328">
        <v>757748</v>
      </c>
      <c r="B1328" t="s">
        <v>4375</v>
      </c>
      <c r="C1328">
        <v>87</v>
      </c>
      <c r="D1328">
        <v>5.5074808979942196</v>
      </c>
      <c r="E1328">
        <v>479.15083812549699</v>
      </c>
      <c r="F1328">
        <v>0.89955231180166295</v>
      </c>
      <c r="G1328">
        <v>0.95011474361385995</v>
      </c>
      <c r="H1328" t="str">
        <f t="shared" si="20"/>
        <v>Q3</v>
      </c>
    </row>
    <row r="1329" spans="1:8">
      <c r="A1329">
        <v>781608</v>
      </c>
      <c r="B1329" t="s">
        <v>2612</v>
      </c>
      <c r="C1329">
        <v>57</v>
      </c>
      <c r="D1329">
        <v>8.3880166996989303</v>
      </c>
      <c r="E1329">
        <v>478.11695188283898</v>
      </c>
      <c r="F1329">
        <v>0.851849065121703</v>
      </c>
      <c r="G1329">
        <v>0.95007712275685596</v>
      </c>
      <c r="H1329" t="str">
        <f t="shared" si="20"/>
        <v>Q3</v>
      </c>
    </row>
    <row r="1330" spans="1:8">
      <c r="A1330">
        <v>703559</v>
      </c>
      <c r="B1330" t="s">
        <v>2011</v>
      </c>
      <c r="C1330">
        <v>163</v>
      </c>
      <c r="D1330">
        <v>2.92982217838611</v>
      </c>
      <c r="E1330">
        <v>477.56101507693501</v>
      </c>
      <c r="F1330">
        <v>0.94751890448064402</v>
      </c>
      <c r="G1330">
        <v>0.95003950189985298</v>
      </c>
      <c r="H1330" t="str">
        <f t="shared" si="20"/>
        <v>Q4</v>
      </c>
    </row>
    <row r="1331" spans="1:8">
      <c r="A1331">
        <v>788178</v>
      </c>
      <c r="B1331" t="s">
        <v>1167</v>
      </c>
      <c r="C1331">
        <v>98</v>
      </c>
      <c r="D1331">
        <v>4.8709962555036297</v>
      </c>
      <c r="E1331">
        <v>477.35763303935499</v>
      </c>
      <c r="F1331">
        <v>0.90997328919152798</v>
      </c>
      <c r="G1331">
        <v>0.95000188104284999</v>
      </c>
      <c r="H1331" t="str">
        <f t="shared" si="20"/>
        <v>Q4</v>
      </c>
    </row>
    <row r="1332" spans="1:8">
      <c r="A1332">
        <v>796046</v>
      </c>
      <c r="B1332" t="s">
        <v>1954</v>
      </c>
      <c r="C1332">
        <v>74</v>
      </c>
      <c r="D1332">
        <v>6.4411359864312203</v>
      </c>
      <c r="E1332">
        <v>476.64406299591099</v>
      </c>
      <c r="F1332">
        <v>0.88307437643429498</v>
      </c>
      <c r="G1332">
        <v>0.94996426018584701</v>
      </c>
      <c r="H1332" t="str">
        <f t="shared" si="20"/>
        <v>Q3</v>
      </c>
    </row>
    <row r="1333" spans="1:8">
      <c r="A1333">
        <v>393447</v>
      </c>
      <c r="B1333" t="s">
        <v>2688</v>
      </c>
      <c r="C1333">
        <v>139</v>
      </c>
      <c r="D1333">
        <v>3.4287769843241298</v>
      </c>
      <c r="E1333">
        <v>476.60000082105398</v>
      </c>
      <c r="F1333">
        <v>0.93796320680185097</v>
      </c>
      <c r="G1333">
        <v>0.94992663932884402</v>
      </c>
      <c r="H1333" t="str">
        <f t="shared" si="20"/>
        <v>Q4</v>
      </c>
    </row>
    <row r="1334" spans="1:8">
      <c r="A1334">
        <v>803772</v>
      </c>
      <c r="B1334" t="s">
        <v>262</v>
      </c>
      <c r="C1334">
        <v>420</v>
      </c>
      <c r="D1334">
        <v>1.1340476341900401</v>
      </c>
      <c r="E1334">
        <v>476.300006359816</v>
      </c>
      <c r="F1334">
        <v>0.984951657198751</v>
      </c>
      <c r="G1334">
        <v>0.94988901847184104</v>
      </c>
      <c r="H1334" t="str">
        <f t="shared" si="20"/>
        <v>Q2</v>
      </c>
    </row>
    <row r="1335" spans="1:8">
      <c r="A1335">
        <v>300024</v>
      </c>
      <c r="B1335" t="s">
        <v>4731</v>
      </c>
      <c r="C1335">
        <v>99</v>
      </c>
      <c r="D1335">
        <v>4.8109913658764603</v>
      </c>
      <c r="E1335">
        <v>476.28814522176998</v>
      </c>
      <c r="F1335">
        <v>0.91076332718859299</v>
      </c>
      <c r="G1335">
        <v>0.94985139761483794</v>
      </c>
      <c r="H1335" t="str">
        <f t="shared" si="20"/>
        <v>Q4</v>
      </c>
    </row>
    <row r="1336" spans="1:8">
      <c r="A1336">
        <v>787853</v>
      </c>
      <c r="B1336" t="s">
        <v>1858</v>
      </c>
      <c r="C1336">
        <v>96</v>
      </c>
      <c r="D1336">
        <v>4.95935741734381</v>
      </c>
      <c r="E1336">
        <v>476.09831206500502</v>
      </c>
      <c r="F1336">
        <v>0.90812986719837496</v>
      </c>
      <c r="G1336">
        <v>0.94981377675783496</v>
      </c>
      <c r="H1336" t="str">
        <f t="shared" si="20"/>
        <v>Q3</v>
      </c>
    </row>
    <row r="1337" spans="1:8">
      <c r="A1337">
        <v>708366</v>
      </c>
      <c r="B1337" t="s">
        <v>3295</v>
      </c>
      <c r="C1337">
        <v>336</v>
      </c>
      <c r="D1337">
        <v>1.4167876767238501</v>
      </c>
      <c r="E1337">
        <v>476.04065937921399</v>
      </c>
      <c r="F1337">
        <v>0.97927090779127901</v>
      </c>
      <c r="G1337">
        <v>0.94977615590083098</v>
      </c>
      <c r="H1337" t="str">
        <f t="shared" si="20"/>
        <v>Q2</v>
      </c>
    </row>
    <row r="1338" spans="1:8">
      <c r="A1338">
        <v>734943</v>
      </c>
      <c r="B1338" t="s">
        <v>892</v>
      </c>
      <c r="C1338">
        <v>66</v>
      </c>
      <c r="D1338">
        <v>7.2110423818230602</v>
      </c>
      <c r="E1338">
        <v>475.92879720032198</v>
      </c>
      <c r="F1338">
        <v>0.86968135134118396</v>
      </c>
      <c r="G1338">
        <v>0.94973853504382799</v>
      </c>
      <c r="H1338" t="str">
        <f t="shared" si="20"/>
        <v>Q3</v>
      </c>
    </row>
    <row r="1339" spans="1:8">
      <c r="A1339">
        <v>349301</v>
      </c>
      <c r="B1339" t="s">
        <v>1935</v>
      </c>
      <c r="C1339">
        <v>402</v>
      </c>
      <c r="D1339">
        <v>1.1838308095338901</v>
      </c>
      <c r="E1339">
        <v>475.89998543262499</v>
      </c>
      <c r="F1339">
        <v>0.98378541063165403</v>
      </c>
      <c r="G1339">
        <v>0.94970091418682501</v>
      </c>
      <c r="H1339" t="str">
        <f t="shared" si="20"/>
        <v>Q2</v>
      </c>
    </row>
    <row r="1340" spans="1:8">
      <c r="A1340">
        <v>823553</v>
      </c>
      <c r="B1340" t="s">
        <v>2014</v>
      </c>
      <c r="C1340">
        <v>62</v>
      </c>
      <c r="D1340">
        <v>7.6713231722674102</v>
      </c>
      <c r="E1340">
        <v>475.62203668057901</v>
      </c>
      <c r="F1340">
        <v>0.86238290508257798</v>
      </c>
      <c r="G1340">
        <v>0.94966329332982202</v>
      </c>
      <c r="H1340" t="str">
        <f t="shared" si="20"/>
        <v>Q3</v>
      </c>
    </row>
    <row r="1341" spans="1:8">
      <c r="A1341">
        <v>779890</v>
      </c>
      <c r="B1341" t="s">
        <v>1710</v>
      </c>
      <c r="C1341">
        <v>96</v>
      </c>
      <c r="D1341">
        <v>4.95044147052492</v>
      </c>
      <c r="E1341">
        <v>475.24238117039198</v>
      </c>
      <c r="F1341">
        <v>0.90812986719837496</v>
      </c>
      <c r="G1341">
        <v>0.94962567247281904</v>
      </c>
      <c r="H1341" t="str">
        <f t="shared" si="20"/>
        <v>Q3</v>
      </c>
    </row>
    <row r="1342" spans="1:8">
      <c r="A1342">
        <v>763037</v>
      </c>
      <c r="B1342" t="s">
        <v>4081</v>
      </c>
      <c r="C1342">
        <v>130</v>
      </c>
      <c r="D1342">
        <v>3.6531160299021499</v>
      </c>
      <c r="E1342">
        <v>474.90508388727898</v>
      </c>
      <c r="F1342">
        <v>0.93307249539144499</v>
      </c>
      <c r="G1342">
        <v>0.94958805161581605</v>
      </c>
      <c r="H1342" t="str">
        <f t="shared" si="20"/>
        <v>Q4</v>
      </c>
    </row>
    <row r="1343" spans="1:8">
      <c r="A1343">
        <v>793856</v>
      </c>
      <c r="B1343" t="s">
        <v>1968</v>
      </c>
      <c r="C1343">
        <v>104</v>
      </c>
      <c r="D1343">
        <v>4.5643905428453104</v>
      </c>
      <c r="E1343">
        <v>474.69661645591299</v>
      </c>
      <c r="F1343">
        <v>0.91524020917196502</v>
      </c>
      <c r="G1343">
        <v>0.94955043075881296</v>
      </c>
      <c r="H1343" t="str">
        <f t="shared" si="20"/>
        <v>Q4</v>
      </c>
    </row>
    <row r="1344" spans="1:8">
      <c r="A1344">
        <v>747807</v>
      </c>
      <c r="B1344" t="s">
        <v>256</v>
      </c>
      <c r="C1344">
        <v>194</v>
      </c>
      <c r="D1344">
        <v>2.4465839676174901</v>
      </c>
      <c r="E1344">
        <v>474.63728971779301</v>
      </c>
      <c r="F1344">
        <v>0.95741318987246504</v>
      </c>
      <c r="G1344">
        <v>0.94951280990180997</v>
      </c>
      <c r="H1344" t="str">
        <f t="shared" si="20"/>
        <v>Q2</v>
      </c>
    </row>
    <row r="1345" spans="1:8">
      <c r="A1345">
        <v>581153</v>
      </c>
      <c r="B1345" t="s">
        <v>2957</v>
      </c>
      <c r="C1345">
        <v>204</v>
      </c>
      <c r="D1345">
        <v>2.3244516490319498</v>
      </c>
      <c r="E1345">
        <v>474.18813640251801</v>
      </c>
      <c r="F1345">
        <v>0.96015951243369302</v>
      </c>
      <c r="G1345">
        <v>0.94947518904480599</v>
      </c>
      <c r="H1345" t="str">
        <f t="shared" si="20"/>
        <v>Q2</v>
      </c>
    </row>
    <row r="1346" spans="1:8">
      <c r="A1346">
        <v>803656</v>
      </c>
      <c r="B1346" t="s">
        <v>1444</v>
      </c>
      <c r="C1346">
        <v>99</v>
      </c>
      <c r="D1346">
        <v>4.7890259197564999</v>
      </c>
      <c r="E1346">
        <v>474.11356605589401</v>
      </c>
      <c r="F1346">
        <v>0.91076332718859299</v>
      </c>
      <c r="G1346">
        <v>0.949437568187803</v>
      </c>
      <c r="H1346" t="str">
        <f t="shared" si="20"/>
        <v>Q4</v>
      </c>
    </row>
    <row r="1347" spans="1:8">
      <c r="A1347">
        <v>738567</v>
      </c>
      <c r="B1347" t="s">
        <v>3745</v>
      </c>
      <c r="C1347">
        <v>119</v>
      </c>
      <c r="D1347">
        <v>3.9802307513456401</v>
      </c>
      <c r="E1347">
        <v>473.64745941013098</v>
      </c>
      <c r="F1347">
        <v>0.92667694970091397</v>
      </c>
      <c r="G1347">
        <v>0.94939994733080002</v>
      </c>
      <c r="H1347" t="str">
        <f t="shared" ref="H1347:H1410" si="21">IF(C1347&gt;$J$2,
   IF(D1347&gt;$J$3,"Q1","Q2"),
   IF(D1347&gt;$J$3,"Q3","Q4"))</f>
        <v>Q4</v>
      </c>
    </row>
    <row r="1348" spans="1:8">
      <c r="A1348">
        <v>546406</v>
      </c>
      <c r="B1348" t="s">
        <v>4036</v>
      </c>
      <c r="C1348">
        <v>147</v>
      </c>
      <c r="D1348">
        <v>3.2211690938391699</v>
      </c>
      <c r="E1348">
        <v>473.51185679435702</v>
      </c>
      <c r="F1348">
        <v>0.94195101764418199</v>
      </c>
      <c r="G1348">
        <v>0.94936232647379704</v>
      </c>
      <c r="H1348" t="str">
        <f t="shared" si="21"/>
        <v>Q4</v>
      </c>
    </row>
    <row r="1349" spans="1:8">
      <c r="A1349">
        <v>758126</v>
      </c>
      <c r="B1349" t="s">
        <v>2885</v>
      </c>
      <c r="C1349">
        <v>147</v>
      </c>
      <c r="D1349">
        <v>3.2211690887707398</v>
      </c>
      <c r="E1349">
        <v>473.51185604929901</v>
      </c>
      <c r="F1349">
        <v>0.94195101764418199</v>
      </c>
      <c r="G1349">
        <v>0.94932470561679405</v>
      </c>
      <c r="H1349" t="str">
        <f t="shared" si="21"/>
        <v>Q4</v>
      </c>
    </row>
    <row r="1350" spans="1:8">
      <c r="A1350">
        <v>687270</v>
      </c>
      <c r="B1350" t="s">
        <v>5024</v>
      </c>
      <c r="C1350">
        <v>155</v>
      </c>
      <c r="D1350">
        <v>3.0536795515687198</v>
      </c>
      <c r="E1350">
        <v>473.32033049315203</v>
      </c>
      <c r="F1350">
        <v>0.94454685677739703</v>
      </c>
      <c r="G1350">
        <v>0.94928708475979096</v>
      </c>
      <c r="H1350" t="str">
        <f t="shared" si="21"/>
        <v>Q4</v>
      </c>
    </row>
    <row r="1351" spans="1:8">
      <c r="A1351">
        <v>426013</v>
      </c>
      <c r="B1351" t="s">
        <v>5090</v>
      </c>
      <c r="C1351">
        <v>112</v>
      </c>
      <c r="D1351">
        <v>4.2256204976833303</v>
      </c>
      <c r="E1351">
        <v>473.26949574053299</v>
      </c>
      <c r="F1351">
        <v>0.92156051314848997</v>
      </c>
      <c r="G1351">
        <v>0.94924946390278797</v>
      </c>
      <c r="H1351" t="str">
        <f t="shared" si="21"/>
        <v>Q4</v>
      </c>
    </row>
    <row r="1352" spans="1:8">
      <c r="A1352">
        <v>815264</v>
      </c>
      <c r="B1352" t="s">
        <v>2077</v>
      </c>
      <c r="C1352">
        <v>197</v>
      </c>
      <c r="D1352">
        <v>2.40224555304964</v>
      </c>
      <c r="E1352">
        <v>473.24237395077898</v>
      </c>
      <c r="F1352">
        <v>0.95824084872653403</v>
      </c>
      <c r="G1352">
        <v>0.94921184304578499</v>
      </c>
      <c r="H1352" t="str">
        <f t="shared" si="21"/>
        <v>Q2</v>
      </c>
    </row>
    <row r="1353" spans="1:8">
      <c r="A1353">
        <v>771981</v>
      </c>
      <c r="B1353" t="s">
        <v>3459</v>
      </c>
      <c r="C1353">
        <v>291</v>
      </c>
      <c r="D1353">
        <v>1.6259653359344299</v>
      </c>
      <c r="E1353">
        <v>473.15591275691997</v>
      </c>
      <c r="F1353">
        <v>0.97475640495090499</v>
      </c>
      <c r="G1353">
        <v>0.949174222188781</v>
      </c>
      <c r="H1353" t="str">
        <f t="shared" si="21"/>
        <v>Q2</v>
      </c>
    </row>
    <row r="1354" spans="1:8">
      <c r="A1354">
        <v>723380</v>
      </c>
      <c r="B1354" t="s">
        <v>951</v>
      </c>
      <c r="C1354">
        <v>200</v>
      </c>
      <c r="D1354">
        <v>2.3654067805036898</v>
      </c>
      <c r="E1354">
        <v>473.08135610073799</v>
      </c>
      <c r="F1354">
        <v>0.95903088672360004</v>
      </c>
      <c r="G1354">
        <v>0.94913660133177802</v>
      </c>
      <c r="H1354" t="str">
        <f t="shared" si="21"/>
        <v>Q2</v>
      </c>
    </row>
    <row r="1355" spans="1:8">
      <c r="A1355">
        <v>749509</v>
      </c>
      <c r="B1355" t="s">
        <v>3069</v>
      </c>
      <c r="C1355">
        <v>205</v>
      </c>
      <c r="D1355">
        <v>2.3070607750063301</v>
      </c>
      <c r="E1355">
        <v>472.94745887629699</v>
      </c>
      <c r="F1355">
        <v>0.96038523757571204</v>
      </c>
      <c r="G1355">
        <v>0.94909898047477503</v>
      </c>
      <c r="H1355" t="str">
        <f t="shared" si="21"/>
        <v>Q2</v>
      </c>
    </row>
    <row r="1356" spans="1:8">
      <c r="A1356">
        <v>791795</v>
      </c>
      <c r="B1356" t="s">
        <v>5163</v>
      </c>
      <c r="C1356">
        <v>160</v>
      </c>
      <c r="D1356">
        <v>2.9558050344348898</v>
      </c>
      <c r="E1356">
        <v>472.92880550958199</v>
      </c>
      <c r="F1356">
        <v>0.94646552048455701</v>
      </c>
      <c r="G1356">
        <v>0.94906135961777205</v>
      </c>
      <c r="H1356" t="str">
        <f t="shared" si="21"/>
        <v>Q4</v>
      </c>
    </row>
    <row r="1357" spans="1:8">
      <c r="A1357">
        <v>699240</v>
      </c>
      <c r="B1357" t="s">
        <v>4844</v>
      </c>
      <c r="C1357">
        <v>127</v>
      </c>
      <c r="D1357">
        <v>3.7230214800715</v>
      </c>
      <c r="E1357">
        <v>472.82372796907998</v>
      </c>
      <c r="F1357">
        <v>0.93141717768330801</v>
      </c>
      <c r="G1357">
        <v>0.94902373876076895</v>
      </c>
      <c r="H1357" t="str">
        <f t="shared" si="21"/>
        <v>Q4</v>
      </c>
    </row>
    <row r="1358" spans="1:8">
      <c r="A1358">
        <v>695323</v>
      </c>
      <c r="B1358" t="s">
        <v>4525</v>
      </c>
      <c r="C1358">
        <v>60</v>
      </c>
      <c r="D1358">
        <v>7.87903955827157</v>
      </c>
      <c r="E1358">
        <v>472.74237349629402</v>
      </c>
      <c r="F1358">
        <v>0.85805650652721899</v>
      </c>
      <c r="G1358">
        <v>0.94898611790376597</v>
      </c>
      <c r="H1358" t="str">
        <f t="shared" si="21"/>
        <v>Q3</v>
      </c>
    </row>
    <row r="1359" spans="1:8">
      <c r="A1359">
        <v>539291</v>
      </c>
      <c r="B1359" t="s">
        <v>3401</v>
      </c>
      <c r="C1359">
        <v>222</v>
      </c>
      <c r="D1359">
        <v>2.12825619099611</v>
      </c>
      <c r="E1359">
        <v>472.47287440113701</v>
      </c>
      <c r="F1359">
        <v>0.963959218991009</v>
      </c>
      <c r="G1359">
        <v>0.94894849704676298</v>
      </c>
      <c r="H1359" t="str">
        <f t="shared" si="21"/>
        <v>Q2</v>
      </c>
    </row>
    <row r="1360" spans="1:8">
      <c r="A1360">
        <v>747099</v>
      </c>
      <c r="B1360" t="s">
        <v>506</v>
      </c>
      <c r="C1360">
        <v>65</v>
      </c>
      <c r="D1360">
        <v>7.2617468467125503</v>
      </c>
      <c r="E1360">
        <v>472.01354503631597</v>
      </c>
      <c r="F1360">
        <v>0.86802603363304598</v>
      </c>
      <c r="G1360">
        <v>0.94891087618976</v>
      </c>
      <c r="H1360" t="str">
        <f t="shared" si="21"/>
        <v>Q3</v>
      </c>
    </row>
    <row r="1361" spans="1:8">
      <c r="A1361">
        <v>770352</v>
      </c>
      <c r="B1361" t="s">
        <v>3443</v>
      </c>
      <c r="C1361">
        <v>157</v>
      </c>
      <c r="D1361">
        <v>3.0048795768124998</v>
      </c>
      <c r="E1361">
        <v>471.76609355956299</v>
      </c>
      <c r="F1361">
        <v>0.94518641134644998</v>
      </c>
      <c r="G1361">
        <v>0.94887325533275602</v>
      </c>
      <c r="H1361" t="str">
        <f t="shared" si="21"/>
        <v>Q4</v>
      </c>
    </row>
    <row r="1362" spans="1:8">
      <c r="A1362">
        <v>792438</v>
      </c>
      <c r="B1362" t="s">
        <v>2779</v>
      </c>
      <c r="C1362">
        <v>151</v>
      </c>
      <c r="D1362">
        <v>3.1181164764311902</v>
      </c>
      <c r="E1362">
        <v>470.83558794111002</v>
      </c>
      <c r="F1362">
        <v>0.94323012678228801</v>
      </c>
      <c r="G1362">
        <v>0.94883563447575303</v>
      </c>
      <c r="H1362" t="str">
        <f t="shared" si="21"/>
        <v>Q4</v>
      </c>
    </row>
    <row r="1363" spans="1:8">
      <c r="A1363">
        <v>556539</v>
      </c>
      <c r="B1363" t="s">
        <v>5048</v>
      </c>
      <c r="C1363">
        <v>943</v>
      </c>
      <c r="D1363">
        <v>0.499252312864085</v>
      </c>
      <c r="E1363">
        <v>470.794931030832</v>
      </c>
      <c r="F1363">
        <v>0.99691508972574405</v>
      </c>
      <c r="G1363">
        <v>0.94879801361875005</v>
      </c>
      <c r="H1363" t="str">
        <f t="shared" si="21"/>
        <v>Q2</v>
      </c>
    </row>
    <row r="1364" spans="1:8">
      <c r="A1364">
        <v>613459</v>
      </c>
      <c r="B1364" t="s">
        <v>1878</v>
      </c>
      <c r="C1364">
        <v>434</v>
      </c>
      <c r="D1364">
        <v>1.0845895210701599</v>
      </c>
      <c r="E1364">
        <v>470.71185214445001</v>
      </c>
      <c r="F1364">
        <v>0.98585455776682596</v>
      </c>
      <c r="G1364">
        <v>0.94876039276174695</v>
      </c>
      <c r="H1364" t="str">
        <f t="shared" si="21"/>
        <v>Q2</v>
      </c>
    </row>
    <row r="1365" spans="1:8">
      <c r="A1365">
        <v>722151</v>
      </c>
      <c r="B1365" t="s">
        <v>4317</v>
      </c>
      <c r="C1365">
        <v>103</v>
      </c>
      <c r="D1365">
        <v>4.5699194616195102</v>
      </c>
      <c r="E1365">
        <v>470.70170454680903</v>
      </c>
      <c r="F1365">
        <v>0.91433730860388995</v>
      </c>
      <c r="G1365">
        <v>0.94872277190474397</v>
      </c>
      <c r="H1365" t="str">
        <f t="shared" si="21"/>
        <v>Q4</v>
      </c>
    </row>
    <row r="1366" spans="1:8">
      <c r="A1366">
        <v>802273</v>
      </c>
      <c r="B1366" t="s">
        <v>881</v>
      </c>
      <c r="C1366">
        <v>199</v>
      </c>
      <c r="D1366">
        <v>2.3649859113440899</v>
      </c>
      <c r="E1366">
        <v>470.63219635747402</v>
      </c>
      <c r="F1366">
        <v>0.95872991986757505</v>
      </c>
      <c r="G1366">
        <v>0.94868515104774098</v>
      </c>
      <c r="H1366" t="str">
        <f t="shared" si="21"/>
        <v>Q2</v>
      </c>
    </row>
    <row r="1367" spans="1:8">
      <c r="A1367">
        <v>541519</v>
      </c>
      <c r="B1367" t="s">
        <v>3985</v>
      </c>
      <c r="C1367">
        <v>313</v>
      </c>
      <c r="D1367">
        <v>1.5024529729103899</v>
      </c>
      <c r="E1367">
        <v>470.26778052095301</v>
      </c>
      <c r="F1367">
        <v>0.97727700237011395</v>
      </c>
      <c r="G1367">
        <v>0.948647530190738</v>
      </c>
      <c r="H1367" t="str">
        <f t="shared" si="21"/>
        <v>Q2</v>
      </c>
    </row>
    <row r="1368" spans="1:8">
      <c r="A1368">
        <v>702800</v>
      </c>
      <c r="B1368" t="s">
        <v>4062</v>
      </c>
      <c r="C1368">
        <v>101</v>
      </c>
      <c r="D1368">
        <v>4.65537848707178</v>
      </c>
      <c r="E1368">
        <v>470.19322719425003</v>
      </c>
      <c r="F1368">
        <v>0.91245626575373395</v>
      </c>
      <c r="G1368">
        <v>0.94860990933373501</v>
      </c>
      <c r="H1368" t="str">
        <f t="shared" si="21"/>
        <v>Q4</v>
      </c>
    </row>
    <row r="1369" spans="1:8">
      <c r="A1369">
        <v>659132</v>
      </c>
      <c r="B1369" t="s">
        <v>1499</v>
      </c>
      <c r="C1369">
        <v>295</v>
      </c>
      <c r="D1369">
        <v>1.5936454424981801</v>
      </c>
      <c r="E1369">
        <v>470.12540553696499</v>
      </c>
      <c r="F1369">
        <v>0.97550882209096701</v>
      </c>
      <c r="G1369">
        <v>0.94857228847673103</v>
      </c>
      <c r="H1369" t="str">
        <f t="shared" si="21"/>
        <v>Q2</v>
      </c>
    </row>
    <row r="1370" spans="1:8">
      <c r="A1370">
        <v>816597</v>
      </c>
      <c r="B1370" t="s">
        <v>3410</v>
      </c>
      <c r="C1370">
        <v>146</v>
      </c>
      <c r="D1370">
        <v>3.2156140620067499</v>
      </c>
      <c r="E1370">
        <v>469.47965305298601</v>
      </c>
      <c r="F1370">
        <v>0.94127384221812604</v>
      </c>
      <c r="G1370">
        <v>0.94853466761972804</v>
      </c>
      <c r="H1370" t="str">
        <f t="shared" si="21"/>
        <v>Q4</v>
      </c>
    </row>
    <row r="1371" spans="1:8">
      <c r="A1371">
        <v>715927</v>
      </c>
      <c r="B1371" t="s">
        <v>4882</v>
      </c>
      <c r="C1371">
        <v>88</v>
      </c>
      <c r="D1371">
        <v>5.3329354173249799</v>
      </c>
      <c r="E1371">
        <v>469.29831672459801</v>
      </c>
      <c r="F1371">
        <v>0.90045521236973802</v>
      </c>
      <c r="G1371">
        <v>0.94849704676272495</v>
      </c>
      <c r="H1371" t="str">
        <f t="shared" si="21"/>
        <v>Q3</v>
      </c>
    </row>
    <row r="1372" spans="1:8">
      <c r="A1372">
        <v>697027</v>
      </c>
      <c r="B1372" t="s">
        <v>3025</v>
      </c>
      <c r="C1372">
        <v>114</v>
      </c>
      <c r="D1372">
        <v>4.1154772966381197</v>
      </c>
      <c r="E1372">
        <v>469.164411816746</v>
      </c>
      <c r="F1372">
        <v>0.92306534742861401</v>
      </c>
      <c r="G1372">
        <v>0.94845942590572196</v>
      </c>
      <c r="H1372" t="str">
        <f t="shared" si="21"/>
        <v>Q4</v>
      </c>
    </row>
    <row r="1373" spans="1:8">
      <c r="A1373">
        <v>763943</v>
      </c>
      <c r="B1373" t="s">
        <v>2755</v>
      </c>
      <c r="C1373">
        <v>329</v>
      </c>
      <c r="D1373">
        <v>1.42584096733764</v>
      </c>
      <c r="E1373">
        <v>469.10167825408303</v>
      </c>
      <c r="F1373">
        <v>0.97863135322222605</v>
      </c>
      <c r="G1373">
        <v>0.94842180504871898</v>
      </c>
      <c r="H1373" t="str">
        <f t="shared" si="21"/>
        <v>Q2</v>
      </c>
    </row>
    <row r="1374" spans="1:8">
      <c r="A1374">
        <v>690193</v>
      </c>
      <c r="B1374" t="s">
        <v>1385</v>
      </c>
      <c r="C1374">
        <v>154</v>
      </c>
      <c r="D1374">
        <v>3.0445520106896602</v>
      </c>
      <c r="E1374">
        <v>468.86100964620698</v>
      </c>
      <c r="F1374">
        <v>0.94424588992137204</v>
      </c>
      <c r="G1374">
        <v>0.948384184191716</v>
      </c>
      <c r="H1374" t="str">
        <f t="shared" si="21"/>
        <v>Q4</v>
      </c>
    </row>
    <row r="1375" spans="1:8">
      <c r="A1375">
        <v>795975</v>
      </c>
      <c r="B1375" t="s">
        <v>1925</v>
      </c>
      <c r="C1375">
        <v>145</v>
      </c>
      <c r="D1375">
        <v>3.2326241531248701</v>
      </c>
      <c r="E1375">
        <v>468.73050220310699</v>
      </c>
      <c r="F1375">
        <v>0.94082239193408801</v>
      </c>
      <c r="G1375">
        <v>0.94834656333471301</v>
      </c>
      <c r="H1375" t="str">
        <f t="shared" si="21"/>
        <v>Q4</v>
      </c>
    </row>
    <row r="1376" spans="1:8">
      <c r="A1376">
        <v>658495</v>
      </c>
      <c r="B1376" t="s">
        <v>879</v>
      </c>
      <c r="C1376">
        <v>100</v>
      </c>
      <c r="D1376">
        <v>4.6823899149894697</v>
      </c>
      <c r="E1376">
        <v>468.23899149894697</v>
      </c>
      <c r="F1376">
        <v>0.91155336518565899</v>
      </c>
      <c r="G1376">
        <v>0.94830894247771003</v>
      </c>
      <c r="H1376" t="str">
        <f t="shared" si="21"/>
        <v>Q4</v>
      </c>
    </row>
    <row r="1377" spans="1:8">
      <c r="A1377">
        <v>785060</v>
      </c>
      <c r="B1377" t="s">
        <v>4259</v>
      </c>
      <c r="C1377">
        <v>147</v>
      </c>
      <c r="D1377">
        <v>3.1848610169729401</v>
      </c>
      <c r="E1377">
        <v>468.17456949502201</v>
      </c>
      <c r="F1377">
        <v>0.94195101764418199</v>
      </c>
      <c r="G1377">
        <v>0.94827132162070604</v>
      </c>
      <c r="H1377" t="str">
        <f t="shared" si="21"/>
        <v>Q4</v>
      </c>
    </row>
    <row r="1378" spans="1:8">
      <c r="A1378">
        <v>826776</v>
      </c>
      <c r="B1378" t="s">
        <v>1678</v>
      </c>
      <c r="C1378">
        <v>101</v>
      </c>
      <c r="D1378">
        <v>4.6319517574392899</v>
      </c>
      <c r="E1378">
        <v>467.82712750136898</v>
      </c>
      <c r="F1378">
        <v>0.91245626575373395</v>
      </c>
      <c r="G1378">
        <v>0.94823370076370295</v>
      </c>
      <c r="H1378" t="str">
        <f t="shared" si="21"/>
        <v>Q4</v>
      </c>
    </row>
    <row r="1379" spans="1:8">
      <c r="A1379">
        <v>605106</v>
      </c>
      <c r="B1379" t="s">
        <v>4135</v>
      </c>
      <c r="C1379">
        <v>360</v>
      </c>
      <c r="D1379">
        <v>1.2990442437067999</v>
      </c>
      <c r="E1379">
        <v>467.65592773445002</v>
      </c>
      <c r="F1379">
        <v>0.98118957149843899</v>
      </c>
      <c r="G1379">
        <v>0.94819607990669996</v>
      </c>
      <c r="H1379" t="str">
        <f t="shared" si="21"/>
        <v>Q2</v>
      </c>
    </row>
    <row r="1380" spans="1:8">
      <c r="A1380">
        <v>496111</v>
      </c>
      <c r="B1380" t="s">
        <v>1308</v>
      </c>
      <c r="C1380">
        <v>298</v>
      </c>
      <c r="D1380">
        <v>1.5692810435004301</v>
      </c>
      <c r="E1380">
        <v>467.64575096312899</v>
      </c>
      <c r="F1380">
        <v>0.975809788946992</v>
      </c>
      <c r="G1380">
        <v>0.94815845904969698</v>
      </c>
      <c r="H1380" t="str">
        <f t="shared" si="21"/>
        <v>Q2</v>
      </c>
    </row>
    <row r="1381" spans="1:8">
      <c r="A1381">
        <v>708229</v>
      </c>
      <c r="B1381" t="s">
        <v>4367</v>
      </c>
      <c r="C1381">
        <v>98</v>
      </c>
      <c r="D1381">
        <v>4.7687998155550098</v>
      </c>
      <c r="E1381">
        <v>467.34238192439102</v>
      </c>
      <c r="F1381">
        <v>0.90997328919152798</v>
      </c>
      <c r="G1381">
        <v>0.94812083819269399</v>
      </c>
      <c r="H1381" t="str">
        <f t="shared" si="21"/>
        <v>Q4</v>
      </c>
    </row>
    <row r="1382" spans="1:8">
      <c r="A1382">
        <v>796238</v>
      </c>
      <c r="B1382" t="s">
        <v>1704</v>
      </c>
      <c r="C1382">
        <v>97</v>
      </c>
      <c r="D1382">
        <v>4.8149572838981101</v>
      </c>
      <c r="E1382">
        <v>467.05085653811699</v>
      </c>
      <c r="F1382">
        <v>0.909108009480456</v>
      </c>
      <c r="G1382">
        <v>0.94808321733569101</v>
      </c>
      <c r="H1382" t="str">
        <f t="shared" si="21"/>
        <v>Q4</v>
      </c>
    </row>
    <row r="1383" spans="1:8">
      <c r="A1383">
        <v>685942</v>
      </c>
      <c r="B1383" t="s">
        <v>839</v>
      </c>
      <c r="C1383">
        <v>114</v>
      </c>
      <c r="D1383">
        <v>4.0961195551381797</v>
      </c>
      <c r="E1383">
        <v>466.957629285753</v>
      </c>
      <c r="F1383">
        <v>0.92306534742861401</v>
      </c>
      <c r="G1383">
        <v>0.94804559647868802</v>
      </c>
      <c r="H1383" t="str">
        <f t="shared" si="21"/>
        <v>Q4</v>
      </c>
    </row>
    <row r="1384" spans="1:8">
      <c r="A1384">
        <v>743803</v>
      </c>
      <c r="B1384" t="s">
        <v>3561</v>
      </c>
      <c r="C1384">
        <v>60</v>
      </c>
      <c r="D1384">
        <v>7.77519785488645</v>
      </c>
      <c r="E1384">
        <v>466.51187129318703</v>
      </c>
      <c r="F1384">
        <v>0.85805650652721899</v>
      </c>
      <c r="G1384">
        <v>0.94800797562168504</v>
      </c>
      <c r="H1384" t="str">
        <f t="shared" si="21"/>
        <v>Q3</v>
      </c>
    </row>
    <row r="1385" spans="1:8">
      <c r="A1385">
        <v>788754</v>
      </c>
      <c r="B1385" t="s">
        <v>2452</v>
      </c>
      <c r="C1385">
        <v>143</v>
      </c>
      <c r="D1385">
        <v>3.2583500668927501</v>
      </c>
      <c r="E1385">
        <v>465.944059565663</v>
      </c>
      <c r="F1385">
        <v>0.940032353937023</v>
      </c>
      <c r="G1385">
        <v>0.94797035476468094</v>
      </c>
      <c r="H1385" t="str">
        <f t="shared" si="21"/>
        <v>Q4</v>
      </c>
    </row>
    <row r="1386" spans="1:8">
      <c r="A1386">
        <v>761406</v>
      </c>
      <c r="B1386" t="s">
        <v>1609</v>
      </c>
      <c r="C1386">
        <v>192</v>
      </c>
      <c r="D1386">
        <v>2.42212217999622</v>
      </c>
      <c r="E1386">
        <v>465.04745855927501</v>
      </c>
      <c r="F1386">
        <v>0.95688649787442204</v>
      </c>
      <c r="G1386">
        <v>0.94793273390767796</v>
      </c>
      <c r="H1386" t="str">
        <f t="shared" si="21"/>
        <v>Q2</v>
      </c>
    </row>
    <row r="1387" spans="1:8">
      <c r="A1387">
        <v>753802</v>
      </c>
      <c r="B1387" t="s">
        <v>4197</v>
      </c>
      <c r="C1387">
        <v>117</v>
      </c>
      <c r="D1387">
        <v>3.9735912011028902</v>
      </c>
      <c r="E1387">
        <v>464.910170529038</v>
      </c>
      <c r="F1387">
        <v>0.925247357134796</v>
      </c>
      <c r="G1387">
        <v>0.94789511305067498</v>
      </c>
      <c r="H1387" t="str">
        <f t="shared" si="21"/>
        <v>Q4</v>
      </c>
    </row>
    <row r="1388" spans="1:8">
      <c r="A1388">
        <v>767799</v>
      </c>
      <c r="B1388" t="s">
        <v>2439</v>
      </c>
      <c r="C1388">
        <v>217</v>
      </c>
      <c r="D1388">
        <v>2.1421697093731802</v>
      </c>
      <c r="E1388">
        <v>464.85082693397999</v>
      </c>
      <c r="F1388">
        <v>0.96320680185094598</v>
      </c>
      <c r="G1388">
        <v>0.94785749219367199</v>
      </c>
      <c r="H1388" t="str">
        <f t="shared" si="21"/>
        <v>Q2</v>
      </c>
    </row>
    <row r="1389" spans="1:8">
      <c r="A1389">
        <v>768759</v>
      </c>
      <c r="B1389" t="s">
        <v>2283</v>
      </c>
      <c r="C1389">
        <v>224</v>
      </c>
      <c r="D1389">
        <v>2.0731233968815199</v>
      </c>
      <c r="E1389">
        <v>464.37964090146102</v>
      </c>
      <c r="F1389">
        <v>0.96437304841804306</v>
      </c>
      <c r="G1389">
        <v>0.94781987133666901</v>
      </c>
      <c r="H1389" t="str">
        <f t="shared" si="21"/>
        <v>Q2</v>
      </c>
    </row>
    <row r="1390" spans="1:8">
      <c r="A1390">
        <v>724172</v>
      </c>
      <c r="B1390" t="s">
        <v>3243</v>
      </c>
      <c r="C1390">
        <v>140</v>
      </c>
      <c r="D1390">
        <v>3.3121185683246201</v>
      </c>
      <c r="E1390">
        <v>463.69659956544598</v>
      </c>
      <c r="F1390">
        <v>0.93852751965689796</v>
      </c>
      <c r="G1390">
        <v>0.94778225047966602</v>
      </c>
      <c r="H1390" t="str">
        <f t="shared" si="21"/>
        <v>Q4</v>
      </c>
    </row>
    <row r="1391" spans="1:8">
      <c r="A1391">
        <v>568931</v>
      </c>
      <c r="B1391" t="s">
        <v>2359</v>
      </c>
      <c r="C1391">
        <v>101</v>
      </c>
      <c r="D1391">
        <v>4.5909717162646899</v>
      </c>
      <c r="E1391">
        <v>463.68814334273299</v>
      </c>
      <c r="F1391">
        <v>0.91245626575373395</v>
      </c>
      <c r="G1391">
        <v>0.94774462962266304</v>
      </c>
      <c r="H1391" t="str">
        <f t="shared" si="21"/>
        <v>Q4</v>
      </c>
    </row>
    <row r="1392" spans="1:8">
      <c r="A1392">
        <v>791787</v>
      </c>
      <c r="B1392" t="s">
        <v>3332</v>
      </c>
      <c r="C1392">
        <v>119</v>
      </c>
      <c r="D1392">
        <v>3.89474433291109</v>
      </c>
      <c r="E1392">
        <v>463.47457561641897</v>
      </c>
      <c r="F1392">
        <v>0.92667694970091397</v>
      </c>
      <c r="G1392">
        <v>0.94770700876566005</v>
      </c>
      <c r="H1392" t="str">
        <f t="shared" si="21"/>
        <v>Q4</v>
      </c>
    </row>
    <row r="1393" spans="1:8">
      <c r="A1393">
        <v>762248</v>
      </c>
      <c r="B1393" t="s">
        <v>4724</v>
      </c>
      <c r="C1393">
        <v>75</v>
      </c>
      <c r="D1393">
        <v>6.1780338337023997</v>
      </c>
      <c r="E1393">
        <v>463.35253752768</v>
      </c>
      <c r="F1393">
        <v>0.88420300214438896</v>
      </c>
      <c r="G1393">
        <v>0.94766938790865696</v>
      </c>
      <c r="H1393" t="str">
        <f t="shared" si="21"/>
        <v>Q3</v>
      </c>
    </row>
    <row r="1394" spans="1:8">
      <c r="A1394">
        <v>617245</v>
      </c>
      <c r="B1394" t="s">
        <v>1263</v>
      </c>
      <c r="C1394">
        <v>106</v>
      </c>
      <c r="D1394">
        <v>4.3707067744349501</v>
      </c>
      <c r="E1394">
        <v>463.294918090105</v>
      </c>
      <c r="F1394">
        <v>0.91730935630713695</v>
      </c>
      <c r="G1394">
        <v>0.94763176705165297</v>
      </c>
      <c r="H1394" t="str">
        <f t="shared" si="21"/>
        <v>Q4</v>
      </c>
    </row>
    <row r="1395" spans="1:8">
      <c r="A1395">
        <v>749656</v>
      </c>
      <c r="B1395" t="s">
        <v>126</v>
      </c>
      <c r="C1395">
        <v>120</v>
      </c>
      <c r="D1395">
        <v>3.8593220516728901</v>
      </c>
      <c r="E1395">
        <v>463.11864620074601</v>
      </c>
      <c r="F1395">
        <v>0.92731650426996703</v>
      </c>
      <c r="G1395">
        <v>0.94759414619464999</v>
      </c>
      <c r="H1395" t="str">
        <f t="shared" si="21"/>
        <v>Q4</v>
      </c>
    </row>
    <row r="1396" spans="1:8">
      <c r="A1396">
        <v>801477</v>
      </c>
      <c r="B1396" t="s">
        <v>2737</v>
      </c>
      <c r="C1396">
        <v>71</v>
      </c>
      <c r="D1396">
        <v>6.5217951338895599</v>
      </c>
      <c r="E1396">
        <v>463.047454506159</v>
      </c>
      <c r="F1396">
        <v>0.87799556073887397</v>
      </c>
      <c r="G1396">
        <v>0.947556525337647</v>
      </c>
      <c r="H1396" t="str">
        <f t="shared" si="21"/>
        <v>Q3</v>
      </c>
    </row>
    <row r="1397" spans="1:8">
      <c r="A1397">
        <v>429322</v>
      </c>
      <c r="B1397" t="s">
        <v>967</v>
      </c>
      <c r="C1397">
        <v>120</v>
      </c>
      <c r="D1397">
        <v>3.8548870031566702</v>
      </c>
      <c r="E1397">
        <v>462.58644037879998</v>
      </c>
      <c r="F1397">
        <v>0.92731650426996703</v>
      </c>
      <c r="G1397">
        <v>0.94751890448064402</v>
      </c>
      <c r="H1397" t="str">
        <f t="shared" si="21"/>
        <v>Q4</v>
      </c>
    </row>
    <row r="1398" spans="1:8">
      <c r="A1398">
        <v>752948</v>
      </c>
      <c r="B1398" t="s">
        <v>1789</v>
      </c>
      <c r="C1398">
        <v>141</v>
      </c>
      <c r="D1398">
        <v>3.2803341085817799</v>
      </c>
      <c r="E1398">
        <v>462.52710931003099</v>
      </c>
      <c r="F1398">
        <v>0.939242315939957</v>
      </c>
      <c r="G1398">
        <v>0.94748128362364104</v>
      </c>
      <c r="H1398" t="str">
        <f t="shared" si="21"/>
        <v>Q4</v>
      </c>
    </row>
    <row r="1399" spans="1:8">
      <c r="A1399">
        <v>743995</v>
      </c>
      <c r="B1399" t="s">
        <v>2242</v>
      </c>
      <c r="C1399">
        <v>145</v>
      </c>
      <c r="D1399">
        <v>3.1888485751275399</v>
      </c>
      <c r="E1399">
        <v>462.38304339349298</v>
      </c>
      <c r="F1399">
        <v>0.94082239193408801</v>
      </c>
      <c r="G1399">
        <v>0.94744366276663805</v>
      </c>
      <c r="H1399" t="str">
        <f t="shared" si="21"/>
        <v>Q4</v>
      </c>
    </row>
    <row r="1400" spans="1:8">
      <c r="A1400">
        <v>819147</v>
      </c>
      <c r="B1400" t="s">
        <v>2003</v>
      </c>
      <c r="C1400">
        <v>142</v>
      </c>
      <c r="D1400">
        <v>3.2559321445583498</v>
      </c>
      <c r="E1400">
        <v>462.34236452728499</v>
      </c>
      <c r="F1400">
        <v>0.93954328279598198</v>
      </c>
      <c r="G1400">
        <v>0.94740604190963496</v>
      </c>
      <c r="H1400" t="str">
        <f t="shared" si="21"/>
        <v>Q4</v>
      </c>
    </row>
    <row r="1401" spans="1:8">
      <c r="A1401">
        <v>807500</v>
      </c>
      <c r="B1401" t="s">
        <v>2355</v>
      </c>
      <c r="C1401">
        <v>199</v>
      </c>
      <c r="D1401">
        <v>2.32090963560844</v>
      </c>
      <c r="E1401">
        <v>461.86101748608098</v>
      </c>
      <c r="F1401">
        <v>0.95872991986757505</v>
      </c>
      <c r="G1401">
        <v>0.94736842105263197</v>
      </c>
      <c r="H1401" t="str">
        <f t="shared" si="21"/>
        <v>Q2</v>
      </c>
    </row>
    <row r="1402" spans="1:8">
      <c r="A1402">
        <v>663498</v>
      </c>
      <c r="B1402" t="s">
        <v>519</v>
      </c>
      <c r="C1402">
        <v>141</v>
      </c>
      <c r="D1402">
        <v>3.2743237727711398</v>
      </c>
      <c r="E1402">
        <v>461.67965196073101</v>
      </c>
      <c r="F1402">
        <v>0.939242315939957</v>
      </c>
      <c r="G1402">
        <v>0.94733080019562799</v>
      </c>
      <c r="H1402" t="str">
        <f t="shared" si="21"/>
        <v>Q4</v>
      </c>
    </row>
    <row r="1403" spans="1:8">
      <c r="A1403">
        <v>748355</v>
      </c>
      <c r="B1403" t="s">
        <v>4136</v>
      </c>
      <c r="C1403">
        <v>231</v>
      </c>
      <c r="D1403">
        <v>1.99725576495002</v>
      </c>
      <c r="E1403">
        <v>461.36608170345397</v>
      </c>
      <c r="F1403">
        <v>0.96576502012715804</v>
      </c>
      <c r="G1403">
        <v>0.947293179338625</v>
      </c>
      <c r="H1403" t="str">
        <f t="shared" si="21"/>
        <v>Q2</v>
      </c>
    </row>
    <row r="1404" spans="1:8">
      <c r="A1404">
        <v>682260</v>
      </c>
      <c r="B1404" t="s">
        <v>1038</v>
      </c>
      <c r="C1404">
        <v>190</v>
      </c>
      <c r="D1404">
        <v>2.4277341726089001</v>
      </c>
      <c r="E1404">
        <v>461.26949279569101</v>
      </c>
      <c r="F1404">
        <v>0.95635980587637803</v>
      </c>
      <c r="G1404">
        <v>0.94725555848162202</v>
      </c>
      <c r="H1404" t="str">
        <f t="shared" si="21"/>
        <v>Q2</v>
      </c>
    </row>
    <row r="1405" spans="1:8">
      <c r="A1405">
        <v>474471</v>
      </c>
      <c r="B1405" t="s">
        <v>2391</v>
      </c>
      <c r="C1405">
        <v>159</v>
      </c>
      <c r="D1405">
        <v>2.8968872768956699</v>
      </c>
      <c r="E1405">
        <v>460.605077026412</v>
      </c>
      <c r="F1405">
        <v>0.94597644934351599</v>
      </c>
      <c r="G1405">
        <v>0.94721793762461903</v>
      </c>
      <c r="H1405" t="str">
        <f t="shared" si="21"/>
        <v>Q4</v>
      </c>
    </row>
    <row r="1406" spans="1:8">
      <c r="A1406">
        <v>738881</v>
      </c>
      <c r="B1406" t="s">
        <v>224</v>
      </c>
      <c r="C1406">
        <v>284</v>
      </c>
      <c r="D1406">
        <v>1.62141315924319</v>
      </c>
      <c r="E1406">
        <v>460.48133722506498</v>
      </c>
      <c r="F1406">
        <v>0.97389112523983301</v>
      </c>
      <c r="G1406">
        <v>0.94718031676761605</v>
      </c>
      <c r="H1406" t="str">
        <f t="shared" si="21"/>
        <v>Q2</v>
      </c>
    </row>
    <row r="1407" spans="1:8">
      <c r="A1407">
        <v>699924</v>
      </c>
      <c r="B1407" t="s">
        <v>1693</v>
      </c>
      <c r="C1407">
        <v>332</v>
      </c>
      <c r="D1407">
        <v>1.3847252982388101</v>
      </c>
      <c r="E1407">
        <v>459.72879901528398</v>
      </c>
      <c r="F1407">
        <v>0.97881945750724197</v>
      </c>
      <c r="G1407">
        <v>0.94714269591061295</v>
      </c>
      <c r="H1407" t="str">
        <f t="shared" si="21"/>
        <v>Q2</v>
      </c>
    </row>
    <row r="1408" spans="1:8">
      <c r="A1408">
        <v>698317</v>
      </c>
      <c r="B1408" t="s">
        <v>2459</v>
      </c>
      <c r="C1408">
        <v>269</v>
      </c>
      <c r="D1408">
        <v>1.70831071138451</v>
      </c>
      <c r="E1408">
        <v>459.53558136243402</v>
      </c>
      <c r="F1408">
        <v>0.97152101124863599</v>
      </c>
      <c r="G1408">
        <v>0.94710507505360997</v>
      </c>
      <c r="H1408" t="str">
        <f t="shared" si="21"/>
        <v>Q2</v>
      </c>
    </row>
    <row r="1409" spans="1:8">
      <c r="A1409">
        <v>616708</v>
      </c>
      <c r="B1409" t="s">
        <v>1583</v>
      </c>
      <c r="C1409">
        <v>161</v>
      </c>
      <c r="D1409">
        <v>2.8531213771112198</v>
      </c>
      <c r="E1409">
        <v>459.35254171490698</v>
      </c>
      <c r="F1409">
        <v>0.94680410819758498</v>
      </c>
      <c r="G1409">
        <v>0.94706745419660698</v>
      </c>
      <c r="H1409" t="str">
        <f t="shared" si="21"/>
        <v>Q4</v>
      </c>
    </row>
    <row r="1410" spans="1:8">
      <c r="A1410">
        <v>728445</v>
      </c>
      <c r="B1410" t="s">
        <v>1406</v>
      </c>
      <c r="C1410">
        <v>95</v>
      </c>
      <c r="D1410">
        <v>4.8316147237231899</v>
      </c>
      <c r="E1410">
        <v>459.00339875370298</v>
      </c>
      <c r="F1410">
        <v>0.90760317520033096</v>
      </c>
      <c r="G1410">
        <v>0.947029833339603</v>
      </c>
      <c r="H1410" t="str">
        <f t="shared" si="21"/>
        <v>Q4</v>
      </c>
    </row>
    <row r="1411" spans="1:8">
      <c r="A1411">
        <v>732188</v>
      </c>
      <c r="B1411" t="s">
        <v>742</v>
      </c>
      <c r="C1411">
        <v>140</v>
      </c>
      <c r="D1411">
        <v>3.2782202772796198</v>
      </c>
      <c r="E1411">
        <v>458.95083881914599</v>
      </c>
      <c r="F1411">
        <v>0.93852751965689796</v>
      </c>
      <c r="G1411">
        <v>0.94699221248260002</v>
      </c>
      <c r="H1411" t="str">
        <f t="shared" ref="H1411:H1474" si="22">IF(C1411&gt;$J$2,
   IF(D1411&gt;$J$3,"Q1","Q2"),
   IF(D1411&gt;$J$3,"Q3","Q4"))</f>
        <v>Q4</v>
      </c>
    </row>
    <row r="1412" spans="1:8">
      <c r="A1412">
        <v>800573</v>
      </c>
      <c r="B1412" t="s">
        <v>1911</v>
      </c>
      <c r="C1412">
        <v>93</v>
      </c>
      <c r="D1412">
        <v>4.9320029915981403</v>
      </c>
      <c r="E1412">
        <v>458.67627821862698</v>
      </c>
      <c r="F1412">
        <v>0.90587261577818701</v>
      </c>
      <c r="G1412">
        <v>0.94695459162559703</v>
      </c>
      <c r="H1412" t="str">
        <f t="shared" si="22"/>
        <v>Q3</v>
      </c>
    </row>
    <row r="1413" spans="1:8">
      <c r="A1413">
        <v>599719</v>
      </c>
      <c r="B1413" t="s">
        <v>2156</v>
      </c>
      <c r="C1413">
        <v>174</v>
      </c>
      <c r="D1413">
        <v>2.6357977204131799</v>
      </c>
      <c r="E1413">
        <v>458.62880335189402</v>
      </c>
      <c r="F1413">
        <v>0.95150671532297504</v>
      </c>
      <c r="G1413">
        <v>0.94691697076859405</v>
      </c>
      <c r="H1413" t="str">
        <f t="shared" si="22"/>
        <v>Q2</v>
      </c>
    </row>
    <row r="1414" spans="1:8">
      <c r="A1414">
        <v>745184</v>
      </c>
      <c r="B1414" t="s">
        <v>3145</v>
      </c>
      <c r="C1414">
        <v>197</v>
      </c>
      <c r="D1414">
        <v>2.3256474271473402</v>
      </c>
      <c r="E1414">
        <v>458.15254314802598</v>
      </c>
      <c r="F1414">
        <v>0.95824084872653403</v>
      </c>
      <c r="G1414">
        <v>0.94687934991159095</v>
      </c>
      <c r="H1414" t="str">
        <f t="shared" si="22"/>
        <v>Q2</v>
      </c>
    </row>
    <row r="1415" spans="1:8">
      <c r="A1415">
        <v>796210</v>
      </c>
      <c r="B1415" t="s">
        <v>1619</v>
      </c>
      <c r="C1415">
        <v>188</v>
      </c>
      <c r="D1415">
        <v>2.4348088782875101</v>
      </c>
      <c r="E1415">
        <v>457.74406911805301</v>
      </c>
      <c r="F1415">
        <v>0.95583311387833403</v>
      </c>
      <c r="G1415">
        <v>0.94684172905458797</v>
      </c>
      <c r="H1415" t="str">
        <f t="shared" si="22"/>
        <v>Q2</v>
      </c>
    </row>
    <row r="1416" spans="1:8">
      <c r="A1416">
        <v>733099</v>
      </c>
      <c r="B1416" t="s">
        <v>4850</v>
      </c>
      <c r="C1416">
        <v>288</v>
      </c>
      <c r="D1416">
        <v>1.5873822399751401</v>
      </c>
      <c r="E1416">
        <v>457.16608511283999</v>
      </c>
      <c r="F1416">
        <v>0.97426733380986397</v>
      </c>
      <c r="G1416">
        <v>0.94680410819758498</v>
      </c>
      <c r="H1416" t="str">
        <f t="shared" si="22"/>
        <v>Q2</v>
      </c>
    </row>
    <row r="1417" spans="1:8">
      <c r="A1417">
        <v>780297</v>
      </c>
      <c r="B1417" t="s">
        <v>949</v>
      </c>
      <c r="C1417">
        <v>190</v>
      </c>
      <c r="D1417">
        <v>2.4037823414332</v>
      </c>
      <c r="E1417">
        <v>456.718644872308</v>
      </c>
      <c r="F1417">
        <v>0.95635980587637803</v>
      </c>
      <c r="G1417">
        <v>0.946766487340582</v>
      </c>
      <c r="H1417" t="str">
        <f t="shared" si="22"/>
        <v>Q2</v>
      </c>
    </row>
    <row r="1418" spans="1:8">
      <c r="A1418">
        <v>728197</v>
      </c>
      <c r="B1418" t="s">
        <v>4777</v>
      </c>
      <c r="C1418">
        <v>119</v>
      </c>
      <c r="D1418">
        <v>3.8376299742640598</v>
      </c>
      <c r="E1418">
        <v>456.67796693742298</v>
      </c>
      <c r="F1418">
        <v>0.92667694970091397</v>
      </c>
      <c r="G1418">
        <v>0.94672886648357801</v>
      </c>
      <c r="H1418" t="str">
        <f t="shared" si="22"/>
        <v>Q4</v>
      </c>
    </row>
    <row r="1419" spans="1:8">
      <c r="A1419">
        <v>742912</v>
      </c>
      <c r="B1419" t="s">
        <v>787</v>
      </c>
      <c r="C1419">
        <v>593</v>
      </c>
      <c r="D1419">
        <v>0.76973447242428195</v>
      </c>
      <c r="E1419">
        <v>456.45254214759899</v>
      </c>
      <c r="F1419">
        <v>0.99194913660133199</v>
      </c>
      <c r="G1419">
        <v>0.94669124562657503</v>
      </c>
      <c r="H1419" t="str">
        <f t="shared" si="22"/>
        <v>Q2</v>
      </c>
    </row>
    <row r="1420" spans="1:8">
      <c r="A1420">
        <v>509091</v>
      </c>
      <c r="B1420" t="s">
        <v>2801</v>
      </c>
      <c r="C1420">
        <v>298</v>
      </c>
      <c r="D1420">
        <v>1.5314127490449501</v>
      </c>
      <c r="E1420">
        <v>456.36099921539397</v>
      </c>
      <c r="F1420">
        <v>0.975809788946992</v>
      </c>
      <c r="G1420">
        <v>0.94665362476957204</v>
      </c>
      <c r="H1420" t="str">
        <f t="shared" si="22"/>
        <v>Q2</v>
      </c>
    </row>
    <row r="1421" spans="1:8">
      <c r="A1421">
        <v>801273</v>
      </c>
      <c r="B1421" t="s">
        <v>3127</v>
      </c>
      <c r="C1421">
        <v>112</v>
      </c>
      <c r="D1421">
        <v>4.07197338229577</v>
      </c>
      <c r="E1421">
        <v>456.06101881712698</v>
      </c>
      <c r="F1421">
        <v>0.92156051314848997</v>
      </c>
      <c r="G1421">
        <v>0.94661600391256895</v>
      </c>
      <c r="H1421" t="str">
        <f t="shared" si="22"/>
        <v>Q4</v>
      </c>
    </row>
    <row r="1422" spans="1:8">
      <c r="A1422">
        <v>726759</v>
      </c>
      <c r="B1422" t="s">
        <v>1393</v>
      </c>
      <c r="C1422">
        <v>101</v>
      </c>
      <c r="D1422">
        <v>4.5150025867589596</v>
      </c>
      <c r="E1422">
        <v>456.01526126265497</v>
      </c>
      <c r="F1422">
        <v>0.91245626575373395</v>
      </c>
      <c r="G1422">
        <v>0.94657838305556596</v>
      </c>
      <c r="H1422" t="str">
        <f t="shared" si="22"/>
        <v>Q4</v>
      </c>
    </row>
    <row r="1423" spans="1:8">
      <c r="A1423">
        <v>706004</v>
      </c>
      <c r="B1423" t="s">
        <v>4380</v>
      </c>
      <c r="C1423">
        <v>116</v>
      </c>
      <c r="D1423">
        <v>3.9309614924071701</v>
      </c>
      <c r="E1423">
        <v>455.99153311923101</v>
      </c>
      <c r="F1423">
        <v>0.924720665136752</v>
      </c>
      <c r="G1423">
        <v>0.94654076219856298</v>
      </c>
      <c r="H1423" t="str">
        <f t="shared" si="22"/>
        <v>Q4</v>
      </c>
    </row>
    <row r="1424" spans="1:8">
      <c r="A1424">
        <v>710554</v>
      </c>
      <c r="B1424" t="s">
        <v>1952</v>
      </c>
      <c r="C1424">
        <v>317</v>
      </c>
      <c r="D1424">
        <v>1.4383895114087699</v>
      </c>
      <c r="E1424">
        <v>455.96947511658101</v>
      </c>
      <c r="F1424">
        <v>0.97776607351115497</v>
      </c>
      <c r="G1424">
        <v>0.94650314134155999</v>
      </c>
      <c r="H1424" t="str">
        <f t="shared" si="22"/>
        <v>Q2</v>
      </c>
    </row>
    <row r="1425" spans="1:8">
      <c r="A1425">
        <v>457722</v>
      </c>
      <c r="B1425" t="s">
        <v>392</v>
      </c>
      <c r="C1425">
        <v>167</v>
      </c>
      <c r="D1425">
        <v>2.7273317358406399</v>
      </c>
      <c r="E1425">
        <v>455.464399885386</v>
      </c>
      <c r="F1425">
        <v>0.94898611790376597</v>
      </c>
      <c r="G1425">
        <v>0.94646552048455701</v>
      </c>
      <c r="H1425" t="str">
        <f t="shared" si="22"/>
        <v>Q4</v>
      </c>
    </row>
    <row r="1426" spans="1:8">
      <c r="A1426">
        <v>771673</v>
      </c>
      <c r="B1426" t="s">
        <v>3832</v>
      </c>
      <c r="C1426">
        <v>94</v>
      </c>
      <c r="D1426">
        <v>4.8422106680400798</v>
      </c>
      <c r="E1426">
        <v>455.16780279576801</v>
      </c>
      <c r="F1426">
        <v>0.906700274632256</v>
      </c>
      <c r="G1426">
        <v>0.94642789962755303</v>
      </c>
      <c r="H1426" t="str">
        <f t="shared" si="22"/>
        <v>Q4</v>
      </c>
    </row>
    <row r="1427" spans="1:8">
      <c r="A1427">
        <v>634591</v>
      </c>
      <c r="B1427" t="s">
        <v>503</v>
      </c>
      <c r="C1427">
        <v>202</v>
      </c>
      <c r="D1427">
        <v>2.25313810843716</v>
      </c>
      <c r="E1427">
        <v>455.13389790430699</v>
      </c>
      <c r="F1427">
        <v>0.95951995786463995</v>
      </c>
      <c r="G1427">
        <v>0.94639027877055004</v>
      </c>
      <c r="H1427" t="str">
        <f t="shared" si="22"/>
        <v>Q2</v>
      </c>
    </row>
    <row r="1428" spans="1:8">
      <c r="A1428">
        <v>687539</v>
      </c>
      <c r="B1428" t="s">
        <v>3883</v>
      </c>
      <c r="C1428">
        <v>72</v>
      </c>
      <c r="D1428">
        <v>6.3201035424652998</v>
      </c>
      <c r="E1428">
        <v>455.04745505750202</v>
      </c>
      <c r="F1428">
        <v>0.87957563673300498</v>
      </c>
      <c r="G1428">
        <v>0.94635265791354695</v>
      </c>
      <c r="H1428" t="str">
        <f t="shared" si="22"/>
        <v>Q3</v>
      </c>
    </row>
    <row r="1429" spans="1:8">
      <c r="A1429">
        <v>538699</v>
      </c>
      <c r="B1429" t="s">
        <v>5119</v>
      </c>
      <c r="C1429">
        <v>558</v>
      </c>
      <c r="D1429">
        <v>0.81380232204733205</v>
      </c>
      <c r="E1429">
        <v>454.10169570241101</v>
      </c>
      <c r="F1429">
        <v>0.99108385689026002</v>
      </c>
      <c r="G1429">
        <v>0.94631503705654396</v>
      </c>
      <c r="H1429" t="str">
        <f t="shared" si="22"/>
        <v>Q2</v>
      </c>
    </row>
    <row r="1430" spans="1:8">
      <c r="A1430">
        <v>754877</v>
      </c>
      <c r="B1430" t="s">
        <v>422</v>
      </c>
      <c r="C1430">
        <v>288</v>
      </c>
      <c r="D1430">
        <v>1.5761004553092399</v>
      </c>
      <c r="E1430">
        <v>453.91693112906103</v>
      </c>
      <c r="F1430">
        <v>0.97426733380986397</v>
      </c>
      <c r="G1430">
        <v>0.94627741619954098</v>
      </c>
      <c r="H1430" t="str">
        <f t="shared" si="22"/>
        <v>Q2</v>
      </c>
    </row>
    <row r="1431" spans="1:8">
      <c r="A1431">
        <v>372860</v>
      </c>
      <c r="B1431" t="s">
        <v>478</v>
      </c>
      <c r="C1431">
        <v>411</v>
      </c>
      <c r="D1431">
        <v>1.10432594168224</v>
      </c>
      <c r="E1431">
        <v>453.87796203140198</v>
      </c>
      <c r="F1431">
        <v>0.98446258605770998</v>
      </c>
      <c r="G1431">
        <v>0.94623979534253799</v>
      </c>
      <c r="H1431" t="str">
        <f t="shared" si="22"/>
        <v>Q2</v>
      </c>
    </row>
    <row r="1432" spans="1:8">
      <c r="A1432">
        <v>637549</v>
      </c>
      <c r="B1432" t="s">
        <v>438</v>
      </c>
      <c r="C1432">
        <v>209</v>
      </c>
      <c r="D1432">
        <v>2.1707727941439301</v>
      </c>
      <c r="E1432">
        <v>453.69151397608198</v>
      </c>
      <c r="F1432">
        <v>0.96132575900078998</v>
      </c>
      <c r="G1432">
        <v>0.94620217448553501</v>
      </c>
      <c r="H1432" t="str">
        <f t="shared" si="22"/>
        <v>Q2</v>
      </c>
    </row>
    <row r="1433" spans="1:8">
      <c r="A1433">
        <v>751295</v>
      </c>
      <c r="B1433" t="s">
        <v>5128</v>
      </c>
      <c r="C1433">
        <v>133</v>
      </c>
      <c r="D1433">
        <v>3.41015674656999</v>
      </c>
      <c r="E1433">
        <v>453.550847293809</v>
      </c>
      <c r="F1433">
        <v>0.93476543395658596</v>
      </c>
      <c r="G1433">
        <v>0.94616455362853202</v>
      </c>
      <c r="H1433" t="str">
        <f t="shared" si="22"/>
        <v>Q4</v>
      </c>
    </row>
    <row r="1434" spans="1:8">
      <c r="A1434">
        <v>650682</v>
      </c>
      <c r="B1434" t="s">
        <v>1132</v>
      </c>
      <c r="C1434">
        <v>92</v>
      </c>
      <c r="D1434">
        <v>4.9297900627488698</v>
      </c>
      <c r="E1434">
        <v>453.54068577289598</v>
      </c>
      <c r="F1434">
        <v>0.90429253978405599</v>
      </c>
      <c r="G1434">
        <v>0.94612693277152804</v>
      </c>
      <c r="H1434" t="str">
        <f t="shared" si="22"/>
        <v>Q3</v>
      </c>
    </row>
    <row r="1435" spans="1:8">
      <c r="A1435">
        <v>266875</v>
      </c>
      <c r="B1435" t="s">
        <v>4638</v>
      </c>
      <c r="C1435">
        <v>297</v>
      </c>
      <c r="D1435">
        <v>1.5253266584604801</v>
      </c>
      <c r="E1435">
        <v>453.02201756276202</v>
      </c>
      <c r="F1435">
        <v>0.97562168466197696</v>
      </c>
      <c r="G1435">
        <v>0.94608931191452506</v>
      </c>
      <c r="H1435" t="str">
        <f t="shared" si="22"/>
        <v>Q2</v>
      </c>
    </row>
    <row r="1436" spans="1:8">
      <c r="A1436">
        <v>695892</v>
      </c>
      <c r="B1436" t="s">
        <v>663</v>
      </c>
      <c r="C1436">
        <v>102</v>
      </c>
      <c r="D1436">
        <v>4.4387837287549896</v>
      </c>
      <c r="E1436">
        <v>452.75594033300899</v>
      </c>
      <c r="F1436">
        <v>0.91332154546480604</v>
      </c>
      <c r="G1436">
        <v>0.94605169105752196</v>
      </c>
      <c r="H1436" t="str">
        <f t="shared" si="22"/>
        <v>Q4</v>
      </c>
    </row>
    <row r="1437" spans="1:8">
      <c r="A1437">
        <v>776237</v>
      </c>
      <c r="B1437" t="s">
        <v>4350</v>
      </c>
      <c r="C1437">
        <v>221</v>
      </c>
      <c r="D1437">
        <v>2.0484699777061999</v>
      </c>
      <c r="E1437">
        <v>452.71186507306999</v>
      </c>
      <c r="F1437">
        <v>0.96380873556299596</v>
      </c>
      <c r="G1437">
        <v>0.94601407020051898</v>
      </c>
      <c r="H1437" t="str">
        <f t="shared" si="22"/>
        <v>Q2</v>
      </c>
    </row>
    <row r="1438" spans="1:8">
      <c r="A1438">
        <v>469658</v>
      </c>
      <c r="B1438" t="s">
        <v>4630</v>
      </c>
      <c r="C1438">
        <v>215</v>
      </c>
      <c r="D1438">
        <v>2.1027590763256998</v>
      </c>
      <c r="E1438">
        <v>452.09320141002502</v>
      </c>
      <c r="F1438">
        <v>0.96275535156690895</v>
      </c>
      <c r="G1438">
        <v>0.94597644934351599</v>
      </c>
      <c r="H1438" t="str">
        <f t="shared" si="22"/>
        <v>Q2</v>
      </c>
    </row>
    <row r="1439" spans="1:8">
      <c r="A1439">
        <v>784265</v>
      </c>
      <c r="B1439" t="s">
        <v>4922</v>
      </c>
      <c r="C1439">
        <v>34</v>
      </c>
      <c r="D1439">
        <v>13.294865519684899</v>
      </c>
      <c r="E1439">
        <v>452.02542766928701</v>
      </c>
      <c r="F1439">
        <v>0.77969226138971404</v>
      </c>
      <c r="G1439">
        <v>0.94593882848651301</v>
      </c>
      <c r="H1439" t="str">
        <f t="shared" si="22"/>
        <v>Q3</v>
      </c>
    </row>
    <row r="1440" spans="1:8">
      <c r="A1440">
        <v>741040</v>
      </c>
      <c r="B1440" t="s">
        <v>2959</v>
      </c>
      <c r="C1440">
        <v>96</v>
      </c>
      <c r="D1440">
        <v>4.7072564416642599</v>
      </c>
      <c r="E1440">
        <v>451.89661839976901</v>
      </c>
      <c r="F1440">
        <v>0.90812986719837496</v>
      </c>
      <c r="G1440">
        <v>0.94590120762951002</v>
      </c>
      <c r="H1440" t="str">
        <f t="shared" si="22"/>
        <v>Q4</v>
      </c>
    </row>
    <row r="1441" spans="1:8">
      <c r="A1441">
        <v>788688</v>
      </c>
      <c r="B1441" t="s">
        <v>5219</v>
      </c>
      <c r="C1441">
        <v>55</v>
      </c>
      <c r="D1441">
        <v>8.2134361090985202</v>
      </c>
      <c r="E1441">
        <v>451.738986000419</v>
      </c>
      <c r="F1441">
        <v>0.84763552913735396</v>
      </c>
      <c r="G1441">
        <v>0.94586358677250704</v>
      </c>
      <c r="H1441" t="str">
        <f t="shared" si="22"/>
        <v>Q3</v>
      </c>
    </row>
    <row r="1442" spans="1:8">
      <c r="A1442">
        <v>782456</v>
      </c>
      <c r="B1442" t="s">
        <v>1178</v>
      </c>
      <c r="C1442">
        <v>78</v>
      </c>
      <c r="D1442">
        <v>5.7914603835879204</v>
      </c>
      <c r="E1442">
        <v>451.73390991985798</v>
      </c>
      <c r="F1442">
        <v>0.88867988412776</v>
      </c>
      <c r="G1442">
        <v>0.94582596591550405</v>
      </c>
      <c r="H1442" t="str">
        <f t="shared" si="22"/>
        <v>Q3</v>
      </c>
    </row>
    <row r="1443" spans="1:8">
      <c r="A1443">
        <v>757915</v>
      </c>
      <c r="B1443" t="s">
        <v>4771</v>
      </c>
      <c r="C1443">
        <v>230</v>
      </c>
      <c r="D1443">
        <v>1.9637067129572301</v>
      </c>
      <c r="E1443">
        <v>451.65254398016299</v>
      </c>
      <c r="F1443">
        <v>0.96538881155712697</v>
      </c>
      <c r="G1443">
        <v>0.94578834505849996</v>
      </c>
      <c r="H1443" t="str">
        <f t="shared" si="22"/>
        <v>Q2</v>
      </c>
    </row>
    <row r="1444" spans="1:8">
      <c r="A1444">
        <v>511105</v>
      </c>
      <c r="B1444" t="s">
        <v>1020</v>
      </c>
      <c r="C1444">
        <v>230</v>
      </c>
      <c r="D1444">
        <v>1.9635518745559699</v>
      </c>
      <c r="E1444">
        <v>451.616931147873</v>
      </c>
      <c r="F1444">
        <v>0.96538881155712697</v>
      </c>
      <c r="G1444">
        <v>0.94575072420149697</v>
      </c>
      <c r="H1444" t="str">
        <f t="shared" si="22"/>
        <v>Q2</v>
      </c>
    </row>
    <row r="1445" spans="1:8">
      <c r="A1445">
        <v>767065</v>
      </c>
      <c r="B1445" t="s">
        <v>2596</v>
      </c>
      <c r="C1445">
        <v>148</v>
      </c>
      <c r="D1445">
        <v>3.0469651283646</v>
      </c>
      <c r="E1445">
        <v>450.95083899795998</v>
      </c>
      <c r="F1445">
        <v>0.94236484707121604</v>
      </c>
      <c r="G1445">
        <v>0.94571310334449399</v>
      </c>
      <c r="H1445" t="str">
        <f t="shared" si="22"/>
        <v>Q4</v>
      </c>
    </row>
    <row r="1446" spans="1:8">
      <c r="A1446">
        <v>649671</v>
      </c>
      <c r="B1446" t="s">
        <v>1292</v>
      </c>
      <c r="C1446">
        <v>115</v>
      </c>
      <c r="D1446">
        <v>3.9205158291303599</v>
      </c>
      <c r="E1446">
        <v>450.85932034999098</v>
      </c>
      <c r="F1446">
        <v>0.92370490199766797</v>
      </c>
      <c r="G1446">
        <v>0.945675482487491</v>
      </c>
      <c r="H1446" t="str">
        <f t="shared" si="22"/>
        <v>Q4</v>
      </c>
    </row>
    <row r="1447" spans="1:8">
      <c r="A1447">
        <v>742079</v>
      </c>
      <c r="B1447" t="s">
        <v>3632</v>
      </c>
      <c r="C1447">
        <v>177</v>
      </c>
      <c r="D1447">
        <v>2.54553287989844</v>
      </c>
      <c r="E1447">
        <v>450.559319742024</v>
      </c>
      <c r="F1447">
        <v>0.95244723674805298</v>
      </c>
      <c r="G1447">
        <v>0.94563786163048802</v>
      </c>
      <c r="H1447" t="str">
        <f t="shared" si="22"/>
        <v>Q2</v>
      </c>
    </row>
    <row r="1448" spans="1:8">
      <c r="A1448">
        <v>783440</v>
      </c>
      <c r="B1448" t="s">
        <v>2910</v>
      </c>
      <c r="C1448">
        <v>362</v>
      </c>
      <c r="D1448">
        <v>1.24454066949737</v>
      </c>
      <c r="E1448">
        <v>450.52372235804802</v>
      </c>
      <c r="F1448">
        <v>0.98134005492645104</v>
      </c>
      <c r="G1448">
        <v>0.94560024077348503</v>
      </c>
      <c r="H1448" t="str">
        <f t="shared" si="22"/>
        <v>Q2</v>
      </c>
    </row>
    <row r="1449" spans="1:8">
      <c r="A1449">
        <v>760729</v>
      </c>
      <c r="B1449" t="s">
        <v>2970</v>
      </c>
      <c r="C1449">
        <v>71</v>
      </c>
      <c r="D1449">
        <v>6.3433277066534703</v>
      </c>
      <c r="E1449">
        <v>450.37626717239601</v>
      </c>
      <c r="F1449">
        <v>0.87799556073887397</v>
      </c>
      <c r="G1449">
        <v>0.94556261991648205</v>
      </c>
      <c r="H1449" t="str">
        <f t="shared" si="22"/>
        <v>Q3</v>
      </c>
    </row>
    <row r="1450" spans="1:8">
      <c r="A1450">
        <v>789235</v>
      </c>
      <c r="B1450" t="s">
        <v>643</v>
      </c>
      <c r="C1450">
        <v>41</v>
      </c>
      <c r="D1450">
        <v>10.9826373799545</v>
      </c>
      <c r="E1450">
        <v>450.28813257813499</v>
      </c>
      <c r="F1450">
        <v>0.80787028328505295</v>
      </c>
      <c r="G1450">
        <v>0.94552499905947895</v>
      </c>
      <c r="H1450" t="str">
        <f t="shared" si="22"/>
        <v>Q3</v>
      </c>
    </row>
    <row r="1451" spans="1:8">
      <c r="A1451">
        <v>812807</v>
      </c>
      <c r="B1451" t="s">
        <v>3623</v>
      </c>
      <c r="C1451">
        <v>140</v>
      </c>
      <c r="D1451">
        <v>3.21615014191983</v>
      </c>
      <c r="E1451">
        <v>450.26101986877597</v>
      </c>
      <c r="F1451">
        <v>0.93852751965689796</v>
      </c>
      <c r="G1451">
        <v>0.94548737820247497</v>
      </c>
      <c r="H1451" t="str">
        <f t="shared" si="22"/>
        <v>Q4</v>
      </c>
    </row>
    <row r="1452" spans="1:8">
      <c r="A1452">
        <v>629420</v>
      </c>
      <c r="B1452" t="s">
        <v>1061</v>
      </c>
      <c r="C1452">
        <v>556</v>
      </c>
      <c r="D1452">
        <v>0.80952627593550897</v>
      </c>
      <c r="E1452">
        <v>450.09660942014301</v>
      </c>
      <c r="F1452">
        <v>0.99100861517625405</v>
      </c>
      <c r="G1452">
        <v>0.94544975734547199</v>
      </c>
      <c r="H1452" t="str">
        <f t="shared" si="22"/>
        <v>Q2</v>
      </c>
    </row>
    <row r="1453" spans="1:8">
      <c r="A1453">
        <v>708755</v>
      </c>
      <c r="B1453" t="s">
        <v>165</v>
      </c>
      <c r="C1453">
        <v>142</v>
      </c>
      <c r="D1453">
        <v>3.1695272635773502</v>
      </c>
      <c r="E1453">
        <v>450.07287142798299</v>
      </c>
      <c r="F1453">
        <v>0.93954328279598198</v>
      </c>
      <c r="G1453">
        <v>0.945412136488469</v>
      </c>
      <c r="H1453" t="str">
        <f t="shared" si="22"/>
        <v>Q4</v>
      </c>
    </row>
    <row r="1454" spans="1:8">
      <c r="A1454">
        <v>588245</v>
      </c>
      <c r="B1454" t="s">
        <v>3154</v>
      </c>
      <c r="C1454">
        <v>79</v>
      </c>
      <c r="D1454">
        <v>5.6957948504935301</v>
      </c>
      <c r="E1454">
        <v>449.96779318898899</v>
      </c>
      <c r="F1454">
        <v>0.89022233926488803</v>
      </c>
      <c r="G1454">
        <v>0.94537451563146602</v>
      </c>
      <c r="H1454" t="str">
        <f t="shared" si="22"/>
        <v>Q3</v>
      </c>
    </row>
    <row r="1455" spans="1:8">
      <c r="A1455">
        <v>483064</v>
      </c>
      <c r="B1455" t="s">
        <v>4029</v>
      </c>
      <c r="C1455">
        <v>140</v>
      </c>
      <c r="D1455">
        <v>3.2137772424279598</v>
      </c>
      <c r="E1455">
        <v>449.92881393991399</v>
      </c>
      <c r="F1455">
        <v>0.93852751965689796</v>
      </c>
      <c r="G1455">
        <v>0.94533689477446303</v>
      </c>
      <c r="H1455" t="str">
        <f t="shared" si="22"/>
        <v>Q4</v>
      </c>
    </row>
    <row r="1456" spans="1:8">
      <c r="A1456">
        <v>638039</v>
      </c>
      <c r="B1456" t="s">
        <v>5019</v>
      </c>
      <c r="C1456">
        <v>142</v>
      </c>
      <c r="D1456">
        <v>3.1673549251420998</v>
      </c>
      <c r="E1456">
        <v>449.76439937017898</v>
      </c>
      <c r="F1456">
        <v>0.93954328279598198</v>
      </c>
      <c r="G1456">
        <v>0.94529927391746005</v>
      </c>
      <c r="H1456" t="str">
        <f t="shared" si="22"/>
        <v>Q4</v>
      </c>
    </row>
    <row r="1457" spans="1:8">
      <c r="A1457">
        <v>615161</v>
      </c>
      <c r="B1457" t="s">
        <v>3461</v>
      </c>
      <c r="C1457">
        <v>24</v>
      </c>
      <c r="D1457">
        <v>18.738347695519501</v>
      </c>
      <c r="E1457">
        <v>449.72034469246898</v>
      </c>
      <c r="F1457">
        <v>0.72284714645799597</v>
      </c>
      <c r="G1457">
        <v>0.94526165306045695</v>
      </c>
      <c r="H1457" t="str">
        <f t="shared" si="22"/>
        <v>Q3</v>
      </c>
    </row>
    <row r="1458" spans="1:8">
      <c r="A1458">
        <v>550309</v>
      </c>
      <c r="B1458" t="s">
        <v>4920</v>
      </c>
      <c r="C1458">
        <v>145</v>
      </c>
      <c r="D1458">
        <v>3.1009584928637901</v>
      </c>
      <c r="E1458">
        <v>449.63898146525003</v>
      </c>
      <c r="F1458">
        <v>0.94082239193408801</v>
      </c>
      <c r="G1458">
        <v>0.94522403220345397</v>
      </c>
      <c r="H1458" t="str">
        <f t="shared" si="22"/>
        <v>Q4</v>
      </c>
    </row>
    <row r="1459" spans="1:8">
      <c r="A1459">
        <v>608013</v>
      </c>
      <c r="B1459" t="s">
        <v>3340</v>
      </c>
      <c r="C1459">
        <v>58</v>
      </c>
      <c r="D1459">
        <v>7.7522503284352098</v>
      </c>
      <c r="E1459">
        <v>449.63051904924203</v>
      </c>
      <c r="F1459">
        <v>0.853993453970881</v>
      </c>
      <c r="G1459">
        <v>0.94518641134644998</v>
      </c>
      <c r="H1459" t="str">
        <f t="shared" si="22"/>
        <v>Q3</v>
      </c>
    </row>
    <row r="1460" spans="1:8">
      <c r="A1460">
        <v>796245</v>
      </c>
      <c r="B1460" t="s">
        <v>1702</v>
      </c>
      <c r="C1460">
        <v>94</v>
      </c>
      <c r="D1460">
        <v>4.7829968389123696</v>
      </c>
      <c r="E1460">
        <v>449.60170285776297</v>
      </c>
      <c r="F1460">
        <v>0.906700274632256</v>
      </c>
      <c r="G1460">
        <v>0.945148790489447</v>
      </c>
      <c r="H1460" t="str">
        <f t="shared" si="22"/>
        <v>Q4</v>
      </c>
    </row>
    <row r="1461" spans="1:8">
      <c r="A1461">
        <v>782129</v>
      </c>
      <c r="B1461" t="s">
        <v>314</v>
      </c>
      <c r="C1461">
        <v>16</v>
      </c>
      <c r="D1461">
        <v>28.095655934885102</v>
      </c>
      <c r="E1461">
        <v>449.53049495816202</v>
      </c>
      <c r="F1461">
        <v>0.64756781159474797</v>
      </c>
      <c r="G1461">
        <v>0.94511116963244401</v>
      </c>
      <c r="H1461" t="str">
        <f t="shared" si="22"/>
        <v>Q3</v>
      </c>
    </row>
    <row r="1462" spans="1:8">
      <c r="A1462">
        <v>711982</v>
      </c>
      <c r="B1462" t="s">
        <v>550</v>
      </c>
      <c r="C1462">
        <v>78</v>
      </c>
      <c r="D1462">
        <v>5.7600827266772603</v>
      </c>
      <c r="E1462">
        <v>449.28645268082602</v>
      </c>
      <c r="F1462">
        <v>0.88867988412776</v>
      </c>
      <c r="G1462">
        <v>0.94507354877544103</v>
      </c>
      <c r="H1462" t="str">
        <f t="shared" si="22"/>
        <v>Q3</v>
      </c>
    </row>
    <row r="1463" spans="1:8">
      <c r="A1463">
        <v>741313</v>
      </c>
      <c r="B1463" t="s">
        <v>810</v>
      </c>
      <c r="C1463">
        <v>184</v>
      </c>
      <c r="D1463">
        <v>2.44117539133067</v>
      </c>
      <c r="E1463">
        <v>449.17627200484299</v>
      </c>
      <c r="F1463">
        <v>0.95477972988224702</v>
      </c>
      <c r="G1463">
        <v>0.94503592791843805</v>
      </c>
      <c r="H1463" t="str">
        <f t="shared" si="22"/>
        <v>Q2</v>
      </c>
    </row>
    <row r="1464" spans="1:8">
      <c r="A1464">
        <v>700104</v>
      </c>
      <c r="B1464" t="s">
        <v>1987</v>
      </c>
      <c r="C1464">
        <v>100</v>
      </c>
      <c r="D1464">
        <v>4.4914407487958696</v>
      </c>
      <c r="E1464">
        <v>449.14407487958698</v>
      </c>
      <c r="F1464">
        <v>0.91155336518565899</v>
      </c>
      <c r="G1464">
        <v>0.94499830706143495</v>
      </c>
      <c r="H1464" t="str">
        <f t="shared" si="22"/>
        <v>Q4</v>
      </c>
    </row>
    <row r="1465" spans="1:8">
      <c r="A1465">
        <v>766495</v>
      </c>
      <c r="B1465" t="s">
        <v>2534</v>
      </c>
      <c r="C1465">
        <v>93</v>
      </c>
      <c r="D1465">
        <v>4.82777482279206</v>
      </c>
      <c r="E1465">
        <v>448.98305851966097</v>
      </c>
      <c r="F1465">
        <v>0.90587261577818701</v>
      </c>
      <c r="G1465">
        <v>0.94496068620443197</v>
      </c>
      <c r="H1465" t="str">
        <f t="shared" si="22"/>
        <v>Q4</v>
      </c>
    </row>
    <row r="1466" spans="1:8">
      <c r="A1466">
        <v>741816</v>
      </c>
      <c r="B1466" t="s">
        <v>1186</v>
      </c>
      <c r="C1466">
        <v>140</v>
      </c>
      <c r="D1466">
        <v>3.2020943851343202</v>
      </c>
      <c r="E1466">
        <v>448.29321391880501</v>
      </c>
      <c r="F1466">
        <v>0.93852751965689796</v>
      </c>
      <c r="G1466">
        <v>0.94492306534742898</v>
      </c>
      <c r="H1466" t="str">
        <f t="shared" si="22"/>
        <v>Q4</v>
      </c>
    </row>
    <row r="1467" spans="1:8">
      <c r="A1467">
        <v>796179</v>
      </c>
      <c r="B1467" t="s">
        <v>1590</v>
      </c>
      <c r="C1467">
        <v>228</v>
      </c>
      <c r="D1467">
        <v>1.96585638567054</v>
      </c>
      <c r="E1467">
        <v>448.21525593288197</v>
      </c>
      <c r="F1467">
        <v>0.96501260298709601</v>
      </c>
      <c r="G1467">
        <v>0.944885444490425</v>
      </c>
      <c r="H1467" t="str">
        <f t="shared" si="22"/>
        <v>Q2</v>
      </c>
    </row>
    <row r="1468" spans="1:8">
      <c r="A1468">
        <v>796210</v>
      </c>
      <c r="B1468" t="s">
        <v>1617</v>
      </c>
      <c r="C1468">
        <v>186</v>
      </c>
      <c r="D1468">
        <v>2.40957718893325</v>
      </c>
      <c r="E1468">
        <v>448.18135714158399</v>
      </c>
      <c r="F1468">
        <v>0.95541928445129998</v>
      </c>
      <c r="G1468">
        <v>0.94484782363342201</v>
      </c>
      <c r="H1468" t="str">
        <f t="shared" si="22"/>
        <v>Q2</v>
      </c>
    </row>
    <row r="1469" spans="1:8">
      <c r="A1469">
        <v>703474</v>
      </c>
      <c r="B1469" t="s">
        <v>3057</v>
      </c>
      <c r="C1469">
        <v>179</v>
      </c>
      <c r="D1469">
        <v>2.502149388756</v>
      </c>
      <c r="E1469">
        <v>447.88474058732402</v>
      </c>
      <c r="F1469">
        <v>0.95308679131710605</v>
      </c>
      <c r="G1469">
        <v>0.94481020277641903</v>
      </c>
      <c r="H1469" t="str">
        <f t="shared" si="22"/>
        <v>Q2</v>
      </c>
    </row>
    <row r="1470" spans="1:8">
      <c r="A1470">
        <v>278811</v>
      </c>
      <c r="B1470" t="s">
        <v>2098</v>
      </c>
      <c r="C1470">
        <v>139</v>
      </c>
      <c r="D1470">
        <v>3.2218997172421702</v>
      </c>
      <c r="E1470">
        <v>447.84406069666102</v>
      </c>
      <c r="F1470">
        <v>0.93796320680185097</v>
      </c>
      <c r="G1470">
        <v>0.94477258191941604</v>
      </c>
      <c r="H1470" t="str">
        <f t="shared" si="22"/>
        <v>Q4</v>
      </c>
    </row>
    <row r="1471" spans="1:8">
      <c r="A1471">
        <v>543310</v>
      </c>
      <c r="B1471" t="s">
        <v>1331</v>
      </c>
      <c r="C1471">
        <v>94</v>
      </c>
      <c r="D1471">
        <v>4.7637036585427301</v>
      </c>
      <c r="E1471">
        <v>447.78814390301699</v>
      </c>
      <c r="F1471">
        <v>0.906700274632256</v>
      </c>
      <c r="G1471">
        <v>0.94473496106241295</v>
      </c>
      <c r="H1471" t="str">
        <f t="shared" si="22"/>
        <v>Q4</v>
      </c>
    </row>
    <row r="1472" spans="1:8">
      <c r="A1472">
        <v>675203</v>
      </c>
      <c r="B1472" t="s">
        <v>3265</v>
      </c>
      <c r="C1472">
        <v>200</v>
      </c>
      <c r="D1472">
        <v>2.2376101193949598</v>
      </c>
      <c r="E1472">
        <v>447.522023878992</v>
      </c>
      <c r="F1472">
        <v>0.95903088672360004</v>
      </c>
      <c r="G1472">
        <v>0.94469734020540996</v>
      </c>
      <c r="H1472" t="str">
        <f t="shared" si="22"/>
        <v>Q2</v>
      </c>
    </row>
    <row r="1473" spans="1:8">
      <c r="A1473">
        <v>570002</v>
      </c>
      <c r="B1473" t="s">
        <v>4096</v>
      </c>
      <c r="C1473">
        <v>378</v>
      </c>
      <c r="D1473">
        <v>1.18348578042868</v>
      </c>
      <c r="E1473">
        <v>447.357625002041</v>
      </c>
      <c r="F1473">
        <v>0.98239343892253905</v>
      </c>
      <c r="G1473">
        <v>0.94465971934840698</v>
      </c>
      <c r="H1473" t="str">
        <f t="shared" si="22"/>
        <v>Q2</v>
      </c>
    </row>
    <row r="1474" spans="1:8">
      <c r="A1474">
        <v>737710</v>
      </c>
      <c r="B1474" t="s">
        <v>2621</v>
      </c>
      <c r="C1474">
        <v>188</v>
      </c>
      <c r="D1474">
        <v>2.3793274459944298</v>
      </c>
      <c r="E1474">
        <v>447.31355984695301</v>
      </c>
      <c r="F1474">
        <v>0.95583311387833403</v>
      </c>
      <c r="G1474">
        <v>0.94462209849140399</v>
      </c>
      <c r="H1474" t="str">
        <f t="shared" si="22"/>
        <v>Q2</v>
      </c>
    </row>
    <row r="1475" spans="1:8">
      <c r="A1475">
        <v>788323</v>
      </c>
      <c r="B1475" t="s">
        <v>1868</v>
      </c>
      <c r="C1475">
        <v>92</v>
      </c>
      <c r="D1475">
        <v>4.8617355100324602</v>
      </c>
      <c r="E1475">
        <v>447.27966692298702</v>
      </c>
      <c r="F1475">
        <v>0.90429253978405599</v>
      </c>
      <c r="G1475">
        <v>0.94458447763440101</v>
      </c>
      <c r="H1475" t="str">
        <f t="shared" ref="H1475:H1538" si="23">IF(C1475&gt;$J$2,
   IF(D1475&gt;$J$3,"Q1","Q2"),
   IF(D1475&gt;$J$3,"Q3","Q4"))</f>
        <v>Q4</v>
      </c>
    </row>
    <row r="1476" spans="1:8">
      <c r="A1476">
        <v>802974</v>
      </c>
      <c r="B1476" t="s">
        <v>377</v>
      </c>
      <c r="C1476">
        <v>97</v>
      </c>
      <c r="D1476">
        <v>4.6060283850763302</v>
      </c>
      <c r="E1476">
        <v>446.78475335240398</v>
      </c>
      <c r="F1476">
        <v>0.909108009480456</v>
      </c>
      <c r="G1476">
        <v>0.94454685677739703</v>
      </c>
      <c r="H1476" t="str">
        <f t="shared" si="23"/>
        <v>Q4</v>
      </c>
    </row>
    <row r="1477" spans="1:8">
      <c r="A1477">
        <v>769400</v>
      </c>
      <c r="B1477" t="s">
        <v>4157</v>
      </c>
      <c r="C1477">
        <v>112</v>
      </c>
      <c r="D1477">
        <v>3.9871821982420199</v>
      </c>
      <c r="E1477">
        <v>446.56440620310599</v>
      </c>
      <c r="F1477">
        <v>0.92156051314848997</v>
      </c>
      <c r="G1477">
        <v>0.94450923592039404</v>
      </c>
      <c r="H1477" t="str">
        <f t="shared" si="23"/>
        <v>Q4</v>
      </c>
    </row>
    <row r="1478" spans="1:8">
      <c r="A1478">
        <v>681156</v>
      </c>
      <c r="B1478" t="s">
        <v>2673</v>
      </c>
      <c r="C1478">
        <v>89</v>
      </c>
      <c r="D1478">
        <v>5.01746343595258</v>
      </c>
      <c r="E1478">
        <v>446.55424579978001</v>
      </c>
      <c r="F1478">
        <v>0.90135811293781298</v>
      </c>
      <c r="G1478">
        <v>0.94447161506339095</v>
      </c>
      <c r="H1478" t="str">
        <f t="shared" si="23"/>
        <v>Q3</v>
      </c>
    </row>
    <row r="1479" spans="1:8">
      <c r="A1479">
        <v>796314</v>
      </c>
      <c r="B1479" t="s">
        <v>2119</v>
      </c>
      <c r="C1479">
        <v>95</v>
      </c>
      <c r="D1479">
        <v>4.6994648579704101</v>
      </c>
      <c r="E1479">
        <v>446.44916150718899</v>
      </c>
      <c r="F1479">
        <v>0.90760317520033096</v>
      </c>
      <c r="G1479">
        <v>0.94443399420638796</v>
      </c>
      <c r="H1479" t="str">
        <f t="shared" si="23"/>
        <v>Q4</v>
      </c>
    </row>
    <row r="1480" spans="1:8">
      <c r="A1480">
        <v>723158</v>
      </c>
      <c r="B1480" t="s">
        <v>523</v>
      </c>
      <c r="C1480">
        <v>190</v>
      </c>
      <c r="D1480">
        <v>2.34924175237354</v>
      </c>
      <c r="E1480">
        <v>446.35593295097402</v>
      </c>
      <c r="F1480">
        <v>0.95635980587637803</v>
      </c>
      <c r="G1480">
        <v>0.94439637334938498</v>
      </c>
      <c r="H1480" t="str">
        <f t="shared" si="23"/>
        <v>Q2</v>
      </c>
    </row>
    <row r="1481" spans="1:8">
      <c r="A1481">
        <v>707704</v>
      </c>
      <c r="B1481" t="s">
        <v>4352</v>
      </c>
      <c r="C1481">
        <v>298</v>
      </c>
      <c r="D1481">
        <v>1.4973779447648601</v>
      </c>
      <c r="E1481">
        <v>446.218627539929</v>
      </c>
      <c r="F1481">
        <v>0.975809788946992</v>
      </c>
      <c r="G1481">
        <v>0.94435875249238199</v>
      </c>
      <c r="H1481" t="str">
        <f t="shared" si="23"/>
        <v>Q2</v>
      </c>
    </row>
    <row r="1482" spans="1:8">
      <c r="A1482">
        <v>715524</v>
      </c>
      <c r="B1482" t="s">
        <v>848</v>
      </c>
      <c r="C1482">
        <v>187</v>
      </c>
      <c r="D1482">
        <v>2.3849360430663</v>
      </c>
      <c r="E1482">
        <v>445.98304005339702</v>
      </c>
      <c r="F1482">
        <v>0.95553214702230904</v>
      </c>
      <c r="G1482">
        <v>0.94432113163537901</v>
      </c>
      <c r="H1482" t="str">
        <f t="shared" si="23"/>
        <v>Q2</v>
      </c>
    </row>
    <row r="1483" spans="1:8">
      <c r="A1483">
        <v>634013</v>
      </c>
      <c r="B1483" t="s">
        <v>3665</v>
      </c>
      <c r="C1483">
        <v>143</v>
      </c>
      <c r="D1483">
        <v>3.1182173196669201</v>
      </c>
      <c r="E1483">
        <v>445.90507671236998</v>
      </c>
      <c r="F1483">
        <v>0.940032353937023</v>
      </c>
      <c r="G1483">
        <v>0.94428351077837602</v>
      </c>
      <c r="H1483" t="str">
        <f t="shared" si="23"/>
        <v>Q4</v>
      </c>
    </row>
    <row r="1484" spans="1:8">
      <c r="A1484">
        <v>758650</v>
      </c>
      <c r="B1484" t="s">
        <v>4046</v>
      </c>
      <c r="C1484">
        <v>137</v>
      </c>
      <c r="D1484">
        <v>3.2542990901283102</v>
      </c>
      <c r="E1484">
        <v>445.83897534757898</v>
      </c>
      <c r="F1484">
        <v>0.93687220194875998</v>
      </c>
      <c r="G1484">
        <v>0.94424588992137204</v>
      </c>
      <c r="H1484" t="str">
        <f t="shared" si="23"/>
        <v>Q4</v>
      </c>
    </row>
    <row r="1485" spans="1:8">
      <c r="A1485">
        <v>722520</v>
      </c>
      <c r="B1485" t="s">
        <v>4725</v>
      </c>
      <c r="C1485">
        <v>104</v>
      </c>
      <c r="D1485">
        <v>4.2862614598841597</v>
      </c>
      <c r="E1485">
        <v>445.77119182795298</v>
      </c>
      <c r="F1485">
        <v>0.91524020917196502</v>
      </c>
      <c r="G1485">
        <v>0.94420826906436905</v>
      </c>
      <c r="H1485" t="str">
        <f t="shared" si="23"/>
        <v>Q4</v>
      </c>
    </row>
    <row r="1486" spans="1:8">
      <c r="A1486">
        <v>756771</v>
      </c>
      <c r="B1486" t="s">
        <v>2343</v>
      </c>
      <c r="C1486">
        <v>182</v>
      </c>
      <c r="D1486">
        <v>2.4492736102419599</v>
      </c>
      <c r="E1486">
        <v>445.76779706403602</v>
      </c>
      <c r="F1486">
        <v>0.95425303788420301</v>
      </c>
      <c r="G1486">
        <v>0.94417064820736596</v>
      </c>
      <c r="H1486" t="str">
        <f t="shared" si="23"/>
        <v>Q2</v>
      </c>
    </row>
    <row r="1487" spans="1:8">
      <c r="A1487">
        <v>846354</v>
      </c>
      <c r="B1487" t="s">
        <v>979</v>
      </c>
      <c r="C1487">
        <v>69</v>
      </c>
      <c r="D1487">
        <v>6.4601080222190301</v>
      </c>
      <c r="E1487">
        <v>445.747453533113</v>
      </c>
      <c r="F1487">
        <v>0.87393250818253598</v>
      </c>
      <c r="G1487">
        <v>0.94413302735036297</v>
      </c>
      <c r="H1487" t="str">
        <f t="shared" si="23"/>
        <v>Q3</v>
      </c>
    </row>
    <row r="1488" spans="1:8">
      <c r="A1488">
        <v>574109</v>
      </c>
      <c r="B1488" t="s">
        <v>3977</v>
      </c>
      <c r="C1488">
        <v>188</v>
      </c>
      <c r="D1488">
        <v>2.37042012901858</v>
      </c>
      <c r="E1488">
        <v>445.63898425549303</v>
      </c>
      <c r="F1488">
        <v>0.95583311387833403</v>
      </c>
      <c r="G1488">
        <v>0.94409540649335999</v>
      </c>
      <c r="H1488" t="str">
        <f t="shared" si="23"/>
        <v>Q2</v>
      </c>
    </row>
    <row r="1489" spans="1:8">
      <c r="A1489">
        <v>243937</v>
      </c>
      <c r="B1489" t="s">
        <v>4688</v>
      </c>
      <c r="C1489">
        <v>302</v>
      </c>
      <c r="D1489">
        <v>1.4754966281844799</v>
      </c>
      <c r="E1489">
        <v>445.59998171171202</v>
      </c>
      <c r="F1489">
        <v>0.97618599751702295</v>
      </c>
      <c r="G1489">
        <v>0.94405778563635701</v>
      </c>
      <c r="H1489" t="str">
        <f t="shared" si="23"/>
        <v>Q2</v>
      </c>
    </row>
    <row r="1490" spans="1:8">
      <c r="A1490">
        <v>736090</v>
      </c>
      <c r="B1490" t="s">
        <v>3675</v>
      </c>
      <c r="C1490">
        <v>139</v>
      </c>
      <c r="D1490">
        <v>3.20551152803379</v>
      </c>
      <c r="E1490">
        <v>445.56610239669698</v>
      </c>
      <c r="F1490">
        <v>0.93796320680185097</v>
      </c>
      <c r="G1490">
        <v>0.94402016477935402</v>
      </c>
      <c r="H1490" t="str">
        <f t="shared" si="23"/>
        <v>Q4</v>
      </c>
    </row>
    <row r="1491" spans="1:8">
      <c r="A1491">
        <v>789301</v>
      </c>
      <c r="B1491" t="s">
        <v>2312</v>
      </c>
      <c r="C1491">
        <v>142</v>
      </c>
      <c r="D1491">
        <v>3.1352231725000999</v>
      </c>
      <c r="E1491">
        <v>445.20169049501402</v>
      </c>
      <c r="F1491">
        <v>0.93954328279598198</v>
      </c>
      <c r="G1491">
        <v>0.94398254392235104</v>
      </c>
      <c r="H1491" t="str">
        <f t="shared" si="23"/>
        <v>Q4</v>
      </c>
    </row>
    <row r="1492" spans="1:8">
      <c r="A1492">
        <v>741220</v>
      </c>
      <c r="B1492" t="s">
        <v>3067</v>
      </c>
      <c r="C1492">
        <v>495</v>
      </c>
      <c r="D1492">
        <v>0.89873650402884298</v>
      </c>
      <c r="E1492">
        <v>444.87456949427701</v>
      </c>
      <c r="F1492">
        <v>0.98848801775704498</v>
      </c>
      <c r="G1492">
        <v>0.94394492306534705</v>
      </c>
      <c r="H1492" t="str">
        <f t="shared" si="23"/>
        <v>Q2</v>
      </c>
    </row>
    <row r="1493" spans="1:8">
      <c r="A1493">
        <v>732409</v>
      </c>
      <c r="B1493" t="s">
        <v>510</v>
      </c>
      <c r="C1493">
        <v>360</v>
      </c>
      <c r="D1493">
        <v>1.2357485717641099</v>
      </c>
      <c r="E1493">
        <v>444.86948583507899</v>
      </c>
      <c r="F1493">
        <v>0.98118957149843899</v>
      </c>
      <c r="G1493">
        <v>0.94390730220834396</v>
      </c>
      <c r="H1493" t="str">
        <f t="shared" si="23"/>
        <v>Q2</v>
      </c>
    </row>
    <row r="1494" spans="1:8">
      <c r="A1494">
        <v>798516</v>
      </c>
      <c r="B1494" t="s">
        <v>1162</v>
      </c>
      <c r="C1494">
        <v>31</v>
      </c>
      <c r="D1494">
        <v>14.345708152940199</v>
      </c>
      <c r="E1494">
        <v>444.71695274114597</v>
      </c>
      <c r="F1494">
        <v>0.766073511154584</v>
      </c>
      <c r="G1494">
        <v>0.94386968135134097</v>
      </c>
      <c r="H1494" t="str">
        <f t="shared" si="23"/>
        <v>Q3</v>
      </c>
    </row>
    <row r="1495" spans="1:8">
      <c r="A1495">
        <v>685902</v>
      </c>
      <c r="B1495" t="s">
        <v>4370</v>
      </c>
      <c r="C1495">
        <v>139</v>
      </c>
      <c r="D1495">
        <v>3.19659791404395</v>
      </c>
      <c r="E1495">
        <v>444.32711005210899</v>
      </c>
      <c r="F1495">
        <v>0.93796320680185097</v>
      </c>
      <c r="G1495">
        <v>0.94383206049433799</v>
      </c>
      <c r="H1495" t="str">
        <f t="shared" si="23"/>
        <v>Q4</v>
      </c>
    </row>
    <row r="1496" spans="1:8">
      <c r="A1496">
        <v>778270</v>
      </c>
      <c r="B1496" t="s">
        <v>1421</v>
      </c>
      <c r="C1496">
        <v>75</v>
      </c>
      <c r="D1496">
        <v>5.9185310403506</v>
      </c>
      <c r="E1496">
        <v>443.88982802629499</v>
      </c>
      <c r="F1496">
        <v>0.88420300214438896</v>
      </c>
      <c r="G1496">
        <v>0.943794439637335</v>
      </c>
      <c r="H1496" t="str">
        <f t="shared" si="23"/>
        <v>Q3</v>
      </c>
    </row>
    <row r="1497" spans="1:8">
      <c r="A1497">
        <v>842245</v>
      </c>
      <c r="B1497" t="s">
        <v>4621</v>
      </c>
      <c r="C1497">
        <v>110</v>
      </c>
      <c r="D1497">
        <v>4.0286594934084201</v>
      </c>
      <c r="E1497">
        <v>443.15254427492602</v>
      </c>
      <c r="F1497">
        <v>0.92001805801136105</v>
      </c>
      <c r="G1497">
        <v>0.94375681878033202</v>
      </c>
      <c r="H1497" t="str">
        <f t="shared" si="23"/>
        <v>Q4</v>
      </c>
    </row>
    <row r="1498" spans="1:8">
      <c r="A1498">
        <v>688933</v>
      </c>
      <c r="B1498" t="s">
        <v>278</v>
      </c>
      <c r="C1498">
        <v>93</v>
      </c>
      <c r="D1498">
        <v>4.7634773877679697</v>
      </c>
      <c r="E1498">
        <v>443.00339706242102</v>
      </c>
      <c r="F1498">
        <v>0.90587261577818701</v>
      </c>
      <c r="G1498">
        <v>0.94371919792332903</v>
      </c>
      <c r="H1498" t="str">
        <f t="shared" si="23"/>
        <v>Q4</v>
      </c>
    </row>
    <row r="1499" spans="1:8">
      <c r="A1499">
        <v>721136</v>
      </c>
      <c r="B1499" t="s">
        <v>1562</v>
      </c>
      <c r="C1499">
        <v>191</v>
      </c>
      <c r="D1499">
        <v>2.3190788922255998</v>
      </c>
      <c r="E1499">
        <v>442.94406841508999</v>
      </c>
      <c r="F1499">
        <v>0.95666077273240302</v>
      </c>
      <c r="G1499">
        <v>0.94368157706632605</v>
      </c>
      <c r="H1499" t="str">
        <f t="shared" si="23"/>
        <v>Q2</v>
      </c>
    </row>
    <row r="1500" spans="1:8">
      <c r="A1500">
        <v>640174</v>
      </c>
      <c r="B1500" t="s">
        <v>2804</v>
      </c>
      <c r="C1500">
        <v>163</v>
      </c>
      <c r="D1500">
        <v>2.71740666379227</v>
      </c>
      <c r="E1500">
        <v>442.93728619813902</v>
      </c>
      <c r="F1500">
        <v>0.94751890448064402</v>
      </c>
      <c r="G1500">
        <v>0.94364395620932195</v>
      </c>
      <c r="H1500" t="str">
        <f t="shared" si="23"/>
        <v>Q4</v>
      </c>
    </row>
    <row r="1501" spans="1:8">
      <c r="A1501">
        <v>783444</v>
      </c>
      <c r="B1501" t="s">
        <v>2864</v>
      </c>
      <c r="C1501">
        <v>61</v>
      </c>
      <c r="D1501">
        <v>7.25684914066166</v>
      </c>
      <c r="E1501">
        <v>442.66779758036103</v>
      </c>
      <c r="F1501">
        <v>0.86035137880440904</v>
      </c>
      <c r="G1501">
        <v>0.94360633535231897</v>
      </c>
      <c r="H1501" t="str">
        <f t="shared" si="23"/>
        <v>Q3</v>
      </c>
    </row>
    <row r="1502" spans="1:8">
      <c r="A1502">
        <v>639450</v>
      </c>
      <c r="B1502" t="s">
        <v>2815</v>
      </c>
      <c r="C1502">
        <v>152</v>
      </c>
      <c r="D1502">
        <v>2.91218773376099</v>
      </c>
      <c r="E1502">
        <v>442.65253553167003</v>
      </c>
      <c r="F1502">
        <v>0.94371919792332903</v>
      </c>
      <c r="G1502">
        <v>0.94356871449531599</v>
      </c>
      <c r="H1502" t="str">
        <f t="shared" si="23"/>
        <v>Q4</v>
      </c>
    </row>
    <row r="1503" spans="1:8">
      <c r="A1503">
        <v>831211</v>
      </c>
      <c r="B1503" t="s">
        <v>4119</v>
      </c>
      <c r="C1503">
        <v>113</v>
      </c>
      <c r="D1503">
        <v>3.9168291815877998</v>
      </c>
      <c r="E1503">
        <v>442.60169751942198</v>
      </c>
      <c r="F1503">
        <v>0.92257627628757399</v>
      </c>
      <c r="G1503">
        <v>0.943531093638313</v>
      </c>
      <c r="H1503" t="str">
        <f t="shared" si="23"/>
        <v>Q4</v>
      </c>
    </row>
    <row r="1504" spans="1:8">
      <c r="A1504">
        <v>708067</v>
      </c>
      <c r="B1504" t="s">
        <v>1093</v>
      </c>
      <c r="C1504">
        <v>70</v>
      </c>
      <c r="D1504">
        <v>6.3210653300796196</v>
      </c>
      <c r="E1504">
        <v>442.474573105574</v>
      </c>
      <c r="F1504">
        <v>0.87555020503367098</v>
      </c>
      <c r="G1504">
        <v>0.94349347278131002</v>
      </c>
      <c r="H1504" t="str">
        <f t="shared" si="23"/>
        <v>Q3</v>
      </c>
    </row>
    <row r="1505" spans="1:8">
      <c r="A1505">
        <v>692226</v>
      </c>
      <c r="B1505" t="s">
        <v>301</v>
      </c>
      <c r="C1505">
        <v>546</v>
      </c>
      <c r="D1505">
        <v>0.81010740497678302</v>
      </c>
      <c r="E1505">
        <v>442.31864311732397</v>
      </c>
      <c r="F1505">
        <v>0.990594785749219</v>
      </c>
      <c r="G1505">
        <v>0.94345585192430703</v>
      </c>
      <c r="H1505" t="str">
        <f t="shared" si="23"/>
        <v>Q2</v>
      </c>
    </row>
    <row r="1506" spans="1:8">
      <c r="A1506">
        <v>537895</v>
      </c>
      <c r="B1506" t="s">
        <v>3615</v>
      </c>
      <c r="C1506">
        <v>184</v>
      </c>
      <c r="D1506">
        <v>2.4038227388898501</v>
      </c>
      <c r="E1506">
        <v>442.30338395573199</v>
      </c>
      <c r="F1506">
        <v>0.95477972988224702</v>
      </c>
      <c r="G1506">
        <v>0.94341823106730405</v>
      </c>
      <c r="H1506" t="str">
        <f t="shared" si="23"/>
        <v>Q2</v>
      </c>
    </row>
    <row r="1507" spans="1:8">
      <c r="A1507">
        <v>678697</v>
      </c>
      <c r="B1507" t="s">
        <v>5064</v>
      </c>
      <c r="C1507">
        <v>192</v>
      </c>
      <c r="D1507">
        <v>2.3027012717648199</v>
      </c>
      <c r="E1507">
        <v>442.11864417884499</v>
      </c>
      <c r="F1507">
        <v>0.95688649787442204</v>
      </c>
      <c r="G1507">
        <v>0.94338061021030095</v>
      </c>
      <c r="H1507" t="str">
        <f t="shared" si="23"/>
        <v>Q2</v>
      </c>
    </row>
    <row r="1508" spans="1:8">
      <c r="A1508">
        <v>782451</v>
      </c>
      <c r="B1508" t="s">
        <v>3793</v>
      </c>
      <c r="C1508">
        <v>108</v>
      </c>
      <c r="D1508">
        <v>4.0919334610441203</v>
      </c>
      <c r="E1508">
        <v>441.92881379276503</v>
      </c>
      <c r="F1508">
        <v>0.91866370715924905</v>
      </c>
      <c r="G1508">
        <v>0.94334298935329797</v>
      </c>
      <c r="H1508" t="str">
        <f t="shared" si="23"/>
        <v>Q4</v>
      </c>
    </row>
    <row r="1509" spans="1:8">
      <c r="A1509">
        <v>436261</v>
      </c>
      <c r="B1509" t="s">
        <v>1114</v>
      </c>
      <c r="C1509">
        <v>340</v>
      </c>
      <c r="D1509">
        <v>1.2994616117109301</v>
      </c>
      <c r="E1509">
        <v>441.81694798171497</v>
      </c>
      <c r="F1509">
        <v>0.97975997893232003</v>
      </c>
      <c r="G1509">
        <v>0.94330536849629398</v>
      </c>
      <c r="H1509" t="str">
        <f t="shared" si="23"/>
        <v>Q2</v>
      </c>
    </row>
    <row r="1510" spans="1:8">
      <c r="A1510">
        <v>669895</v>
      </c>
      <c r="B1510" t="s">
        <v>3947</v>
      </c>
      <c r="C1510">
        <v>91</v>
      </c>
      <c r="D1510">
        <v>4.85278459286297</v>
      </c>
      <c r="E1510">
        <v>441.60339795053</v>
      </c>
      <c r="F1510">
        <v>0.90350250178699099</v>
      </c>
      <c r="G1510">
        <v>0.943267747639291</v>
      </c>
      <c r="H1510" t="str">
        <f t="shared" si="23"/>
        <v>Q4</v>
      </c>
    </row>
    <row r="1511" spans="1:8">
      <c r="A1511">
        <v>807064</v>
      </c>
      <c r="B1511" t="s">
        <v>1850</v>
      </c>
      <c r="C1511">
        <v>157</v>
      </c>
      <c r="D1511">
        <v>2.8113785514216501</v>
      </c>
      <c r="E1511">
        <v>441.38643257319899</v>
      </c>
      <c r="F1511">
        <v>0.94518641134644998</v>
      </c>
      <c r="G1511">
        <v>0.94323012678228801</v>
      </c>
      <c r="H1511" t="str">
        <f t="shared" si="23"/>
        <v>Q4</v>
      </c>
    </row>
    <row r="1512" spans="1:8">
      <c r="A1512">
        <v>744705</v>
      </c>
      <c r="B1512" t="s">
        <v>3802</v>
      </c>
      <c r="C1512">
        <v>140</v>
      </c>
      <c r="D1512">
        <v>3.1507626561714099</v>
      </c>
      <c r="E1512">
        <v>441.10677186399698</v>
      </c>
      <c r="F1512">
        <v>0.93852751965689796</v>
      </c>
      <c r="G1512">
        <v>0.94319250592528503</v>
      </c>
      <c r="H1512" t="str">
        <f t="shared" si="23"/>
        <v>Q4</v>
      </c>
    </row>
    <row r="1513" spans="1:8">
      <c r="A1513">
        <v>698258</v>
      </c>
      <c r="B1513" t="s">
        <v>651</v>
      </c>
      <c r="C1513">
        <v>339</v>
      </c>
      <c r="D1513">
        <v>1.2998549644024899</v>
      </c>
      <c r="E1513">
        <v>440.65083293244197</v>
      </c>
      <c r="F1513">
        <v>0.97942139121929195</v>
      </c>
      <c r="G1513">
        <v>0.94315488506828205</v>
      </c>
      <c r="H1513" t="str">
        <f t="shared" si="23"/>
        <v>Q2</v>
      </c>
    </row>
    <row r="1514" spans="1:8">
      <c r="A1514">
        <v>743606</v>
      </c>
      <c r="B1514" t="s">
        <v>2326</v>
      </c>
      <c r="C1514">
        <v>181</v>
      </c>
      <c r="D1514">
        <v>2.4343758870369001</v>
      </c>
      <c r="E1514">
        <v>440.62203555367898</v>
      </c>
      <c r="F1514">
        <v>0.95387682931417195</v>
      </c>
      <c r="G1514">
        <v>0.94311726421127895</v>
      </c>
      <c r="H1514" t="str">
        <f t="shared" si="23"/>
        <v>Q2</v>
      </c>
    </row>
    <row r="1515" spans="1:8">
      <c r="A1515">
        <v>781381</v>
      </c>
      <c r="B1515" t="s">
        <v>5198</v>
      </c>
      <c r="C1515">
        <v>92</v>
      </c>
      <c r="D1515">
        <v>4.7872882164285899</v>
      </c>
      <c r="E1515">
        <v>440.43051591143001</v>
      </c>
      <c r="F1515">
        <v>0.90429253978405599</v>
      </c>
      <c r="G1515">
        <v>0.94307964335427596</v>
      </c>
      <c r="H1515" t="str">
        <f t="shared" si="23"/>
        <v>Q4</v>
      </c>
    </row>
    <row r="1516" spans="1:8">
      <c r="A1516">
        <v>814441</v>
      </c>
      <c r="B1516" t="s">
        <v>3618</v>
      </c>
      <c r="C1516">
        <v>54</v>
      </c>
      <c r="D1516">
        <v>8.15313877192912</v>
      </c>
      <c r="E1516">
        <v>440.26949368417303</v>
      </c>
      <c r="F1516">
        <v>0.84515255257514799</v>
      </c>
      <c r="G1516">
        <v>0.94304202249727298</v>
      </c>
      <c r="H1516" t="str">
        <f t="shared" si="23"/>
        <v>Q3</v>
      </c>
    </row>
    <row r="1517" spans="1:8">
      <c r="A1517">
        <v>780852</v>
      </c>
      <c r="B1517" t="s">
        <v>987</v>
      </c>
      <c r="C1517">
        <v>224</v>
      </c>
      <c r="D1517">
        <v>1.9647397082215801</v>
      </c>
      <c r="E1517">
        <v>440.10169464163499</v>
      </c>
      <c r="F1517">
        <v>0.96437304841804306</v>
      </c>
      <c r="G1517">
        <v>0.943004401640269</v>
      </c>
      <c r="H1517" t="str">
        <f t="shared" si="23"/>
        <v>Q2</v>
      </c>
    </row>
    <row r="1518" spans="1:8">
      <c r="A1518">
        <v>732017</v>
      </c>
      <c r="B1518" t="s">
        <v>822</v>
      </c>
      <c r="C1518">
        <v>260</v>
      </c>
      <c r="D1518">
        <v>1.6922619888702299</v>
      </c>
      <c r="E1518">
        <v>439.98811710625898</v>
      </c>
      <c r="F1518">
        <v>0.97050524810955197</v>
      </c>
      <c r="G1518">
        <v>0.94296678078326601</v>
      </c>
      <c r="H1518" t="str">
        <f t="shared" si="23"/>
        <v>Q2</v>
      </c>
    </row>
    <row r="1519" spans="1:8">
      <c r="A1519">
        <v>791571</v>
      </c>
      <c r="B1519" t="s">
        <v>1276</v>
      </c>
      <c r="C1519">
        <v>55</v>
      </c>
      <c r="D1519">
        <v>7.9931587454947604</v>
      </c>
      <c r="E1519">
        <v>439.62373100221203</v>
      </c>
      <c r="F1519">
        <v>0.84763552913735396</v>
      </c>
      <c r="G1519">
        <v>0.94292915992626303</v>
      </c>
      <c r="H1519" t="str">
        <f t="shared" si="23"/>
        <v>Q3</v>
      </c>
    </row>
    <row r="1520" spans="1:8">
      <c r="A1520">
        <v>787128</v>
      </c>
      <c r="B1520" t="s">
        <v>3720</v>
      </c>
      <c r="C1520">
        <v>49</v>
      </c>
      <c r="D1520">
        <v>8.9713247378869898</v>
      </c>
      <c r="E1520">
        <v>439.59491215646301</v>
      </c>
      <c r="F1520">
        <v>0.83258718633610496</v>
      </c>
      <c r="G1520">
        <v>0.94289153906926004</v>
      </c>
      <c r="H1520" t="str">
        <f t="shared" si="23"/>
        <v>Q3</v>
      </c>
    </row>
    <row r="1521" spans="1:8">
      <c r="A1521">
        <v>736887</v>
      </c>
      <c r="B1521" t="s">
        <v>3575</v>
      </c>
      <c r="C1521">
        <v>196</v>
      </c>
      <c r="D1521">
        <v>2.2411622320853</v>
      </c>
      <c r="E1521">
        <v>439.267797488719</v>
      </c>
      <c r="F1521">
        <v>0.95790226101350595</v>
      </c>
      <c r="G1521">
        <v>0.94285391821225695</v>
      </c>
      <c r="H1521" t="str">
        <f t="shared" si="23"/>
        <v>Q2</v>
      </c>
    </row>
    <row r="1522" spans="1:8">
      <c r="A1522">
        <v>663942</v>
      </c>
      <c r="B1522" t="s">
        <v>3399</v>
      </c>
      <c r="C1522">
        <v>171</v>
      </c>
      <c r="D1522">
        <v>2.5681038075317302</v>
      </c>
      <c r="E1522">
        <v>439.14575108792599</v>
      </c>
      <c r="F1522">
        <v>0.95041571046988405</v>
      </c>
      <c r="G1522">
        <v>0.94281629735525396</v>
      </c>
      <c r="H1522" t="str">
        <f t="shared" si="23"/>
        <v>Q2</v>
      </c>
    </row>
    <row r="1523" spans="1:8">
      <c r="A1523">
        <v>770703</v>
      </c>
      <c r="B1523" t="s">
        <v>2856</v>
      </c>
      <c r="C1523">
        <v>139</v>
      </c>
      <c r="D1523">
        <v>3.15761487703208</v>
      </c>
      <c r="E1523">
        <v>438.908467907459</v>
      </c>
      <c r="F1523">
        <v>0.93796320680185097</v>
      </c>
      <c r="G1523">
        <v>0.94277867649825098</v>
      </c>
      <c r="H1523" t="str">
        <f t="shared" si="23"/>
        <v>Q4</v>
      </c>
    </row>
    <row r="1524" spans="1:8">
      <c r="A1524">
        <v>773955</v>
      </c>
      <c r="B1524" t="s">
        <v>3312</v>
      </c>
      <c r="C1524">
        <v>146</v>
      </c>
      <c r="D1524">
        <v>3.00619915217059</v>
      </c>
      <c r="E1524">
        <v>438.90507621690602</v>
      </c>
      <c r="F1524">
        <v>0.94127384221812604</v>
      </c>
      <c r="G1524">
        <v>0.94274105564124799</v>
      </c>
      <c r="H1524" t="str">
        <f t="shared" si="23"/>
        <v>Q4</v>
      </c>
    </row>
    <row r="1525" spans="1:8">
      <c r="A1525">
        <v>556438</v>
      </c>
      <c r="B1525" t="s">
        <v>269</v>
      </c>
      <c r="C1525">
        <v>131</v>
      </c>
      <c r="D1525">
        <v>3.3497994243103402</v>
      </c>
      <c r="E1525">
        <v>438.82372458465397</v>
      </c>
      <c r="F1525">
        <v>0.93374967081750104</v>
      </c>
      <c r="G1525">
        <v>0.94270343478424401</v>
      </c>
      <c r="H1525" t="str">
        <f t="shared" si="23"/>
        <v>Q4</v>
      </c>
    </row>
    <row r="1526" spans="1:8">
      <c r="A1526">
        <v>457892</v>
      </c>
      <c r="B1526" t="s">
        <v>1793</v>
      </c>
      <c r="C1526">
        <v>181</v>
      </c>
      <c r="D1526">
        <v>2.4203108937494999</v>
      </c>
      <c r="E1526">
        <v>438.07627176865901</v>
      </c>
      <c r="F1526">
        <v>0.95387682931417195</v>
      </c>
      <c r="G1526">
        <v>0.94266581392724103</v>
      </c>
      <c r="H1526" t="str">
        <f t="shared" si="23"/>
        <v>Q2</v>
      </c>
    </row>
    <row r="1527" spans="1:8">
      <c r="A1527">
        <v>773463</v>
      </c>
      <c r="B1527" t="s">
        <v>3064</v>
      </c>
      <c r="C1527">
        <v>146</v>
      </c>
      <c r="D1527">
        <v>2.9982701977332198</v>
      </c>
      <c r="E1527">
        <v>437.74744886905</v>
      </c>
      <c r="F1527">
        <v>0.94127384221812604</v>
      </c>
      <c r="G1527">
        <v>0.94262819307023804</v>
      </c>
      <c r="H1527" t="str">
        <f t="shared" si="23"/>
        <v>Q4</v>
      </c>
    </row>
    <row r="1528" spans="1:8">
      <c r="A1528">
        <v>436083</v>
      </c>
      <c r="B1528" t="s">
        <v>180</v>
      </c>
      <c r="C1528">
        <v>180</v>
      </c>
      <c r="D1528">
        <v>2.43130885323303</v>
      </c>
      <c r="E1528">
        <v>437.63559358194499</v>
      </c>
      <c r="F1528">
        <v>0.95346299988713701</v>
      </c>
      <c r="G1528">
        <v>0.94259057221323495</v>
      </c>
      <c r="H1528" t="str">
        <f t="shared" si="23"/>
        <v>Q2</v>
      </c>
    </row>
    <row r="1529" spans="1:8">
      <c r="A1529">
        <v>661399</v>
      </c>
      <c r="B1529" t="s">
        <v>2476</v>
      </c>
      <c r="C1529">
        <v>144</v>
      </c>
      <c r="D1529">
        <v>3.0385121741952998</v>
      </c>
      <c r="E1529">
        <v>437.54575308412302</v>
      </c>
      <c r="F1529">
        <v>0.94048380422106004</v>
      </c>
      <c r="G1529">
        <v>0.94255295135623196</v>
      </c>
      <c r="H1529" t="str">
        <f t="shared" si="23"/>
        <v>Q4</v>
      </c>
    </row>
    <row r="1530" spans="1:8">
      <c r="A1530">
        <v>783309</v>
      </c>
      <c r="B1530" t="s">
        <v>874</v>
      </c>
      <c r="C1530">
        <v>83</v>
      </c>
      <c r="D1530">
        <v>5.2688788667500699</v>
      </c>
      <c r="E1530">
        <v>437.31694594025601</v>
      </c>
      <c r="F1530">
        <v>0.89530115496031004</v>
      </c>
      <c r="G1530">
        <v>0.94251533049922898</v>
      </c>
      <c r="H1530" t="str">
        <f t="shared" si="23"/>
        <v>Q3</v>
      </c>
    </row>
    <row r="1531" spans="1:8">
      <c r="A1531">
        <v>737852</v>
      </c>
      <c r="B1531" t="s">
        <v>3822</v>
      </c>
      <c r="C1531">
        <v>115</v>
      </c>
      <c r="D1531">
        <v>3.8023139317722401</v>
      </c>
      <c r="E1531">
        <v>437.26610215380799</v>
      </c>
      <c r="F1531">
        <v>0.92370490199766797</v>
      </c>
      <c r="G1531">
        <v>0.94247770964222599</v>
      </c>
      <c r="H1531" t="str">
        <f t="shared" si="23"/>
        <v>Q4</v>
      </c>
    </row>
    <row r="1532" spans="1:8">
      <c r="A1532">
        <v>779414</v>
      </c>
      <c r="B1532" t="s">
        <v>1126</v>
      </c>
      <c r="C1532">
        <v>67</v>
      </c>
      <c r="D1532">
        <v>6.5255248780126003</v>
      </c>
      <c r="E1532">
        <v>437.21016682684399</v>
      </c>
      <c r="F1532">
        <v>0.87118618562130801</v>
      </c>
      <c r="G1532">
        <v>0.94244008878522301</v>
      </c>
      <c r="H1532" t="str">
        <f t="shared" si="23"/>
        <v>Q3</v>
      </c>
    </row>
    <row r="1533" spans="1:8">
      <c r="A1533">
        <v>708394</v>
      </c>
      <c r="B1533" t="s">
        <v>3115</v>
      </c>
      <c r="C1533">
        <v>261</v>
      </c>
      <c r="D1533">
        <v>1.6749528570321901</v>
      </c>
      <c r="E1533">
        <v>437.16269568540201</v>
      </c>
      <c r="F1533">
        <v>0.97054286896655495</v>
      </c>
      <c r="G1533">
        <v>0.94240246792821902</v>
      </c>
      <c r="H1533" t="str">
        <f t="shared" si="23"/>
        <v>Q2</v>
      </c>
    </row>
    <row r="1534" spans="1:8">
      <c r="A1534">
        <v>705854</v>
      </c>
      <c r="B1534" t="s">
        <v>3498</v>
      </c>
      <c r="C1534">
        <v>28</v>
      </c>
      <c r="D1534">
        <v>15.6092010438442</v>
      </c>
      <c r="E1534">
        <v>437.05762922763802</v>
      </c>
      <c r="F1534">
        <v>0.74974605921522897</v>
      </c>
      <c r="G1534">
        <v>0.94236484707121604</v>
      </c>
      <c r="H1534" t="str">
        <f t="shared" si="23"/>
        <v>Q3</v>
      </c>
    </row>
    <row r="1535" spans="1:8">
      <c r="A1535">
        <v>680316</v>
      </c>
      <c r="B1535" t="s">
        <v>4712</v>
      </c>
      <c r="C1535">
        <v>72</v>
      </c>
      <c r="D1535">
        <v>6.0677965585556297</v>
      </c>
      <c r="E1535">
        <v>436.88135221600498</v>
      </c>
      <c r="F1535">
        <v>0.87957563673300498</v>
      </c>
      <c r="G1535">
        <v>0.94232722621421305</v>
      </c>
      <c r="H1535" t="str">
        <f t="shared" si="23"/>
        <v>Q3</v>
      </c>
    </row>
    <row r="1536" spans="1:8">
      <c r="A1536">
        <v>779863</v>
      </c>
      <c r="B1536" t="s">
        <v>1715</v>
      </c>
      <c r="C1536">
        <v>134</v>
      </c>
      <c r="D1536">
        <v>3.25671635957351</v>
      </c>
      <c r="E1536">
        <v>436.39999218285101</v>
      </c>
      <c r="F1536">
        <v>0.93551785109664798</v>
      </c>
      <c r="G1536">
        <v>0.94228960535720996</v>
      </c>
      <c r="H1536" t="str">
        <f t="shared" si="23"/>
        <v>Q4</v>
      </c>
    </row>
    <row r="1537" spans="1:8">
      <c r="A1537">
        <v>575347</v>
      </c>
      <c r="B1537" t="s">
        <v>159</v>
      </c>
      <c r="C1537">
        <v>339</v>
      </c>
      <c r="D1537">
        <v>1.2870256365949999</v>
      </c>
      <c r="E1537">
        <v>436.301690805703</v>
      </c>
      <c r="F1537">
        <v>0.97942139121929195</v>
      </c>
      <c r="G1537">
        <v>0.94225198450020697</v>
      </c>
      <c r="H1537" t="str">
        <f t="shared" si="23"/>
        <v>Q2</v>
      </c>
    </row>
    <row r="1538" spans="1:8">
      <c r="A1538">
        <v>697564</v>
      </c>
      <c r="B1538" t="s">
        <v>2515</v>
      </c>
      <c r="C1538">
        <v>303</v>
      </c>
      <c r="D1538">
        <v>1.43963187877642</v>
      </c>
      <c r="E1538">
        <v>436.208459269255</v>
      </c>
      <c r="F1538">
        <v>0.976336480945036</v>
      </c>
      <c r="G1538">
        <v>0.94221436364320399</v>
      </c>
      <c r="H1538" t="str">
        <f t="shared" si="23"/>
        <v>Q2</v>
      </c>
    </row>
    <row r="1539" spans="1:8">
      <c r="A1539">
        <v>770345</v>
      </c>
      <c r="B1539" t="s">
        <v>1777</v>
      </c>
      <c r="C1539">
        <v>118</v>
      </c>
      <c r="D1539">
        <v>3.6942114256385499</v>
      </c>
      <c r="E1539">
        <v>435.91694822534902</v>
      </c>
      <c r="F1539">
        <v>0.92592453256085205</v>
      </c>
      <c r="G1539">
        <v>0.942176742786201</v>
      </c>
      <c r="H1539" t="str">
        <f t="shared" ref="H1539:H1602" si="24">IF(C1539&gt;$J$2,
   IF(D1539&gt;$J$3,"Q1","Q2"),
   IF(D1539&gt;$J$3,"Q3","Q4"))</f>
        <v>Q4</v>
      </c>
    </row>
    <row r="1540" spans="1:8">
      <c r="A1540">
        <v>719450</v>
      </c>
      <c r="B1540" t="s">
        <v>4534</v>
      </c>
      <c r="C1540">
        <v>100</v>
      </c>
      <c r="D1540">
        <v>4.3589492226019502</v>
      </c>
      <c r="E1540">
        <v>435.89492226019502</v>
      </c>
      <c r="F1540">
        <v>0.91155336518565899</v>
      </c>
      <c r="G1540">
        <v>0.94213912192919802</v>
      </c>
      <c r="H1540" t="str">
        <f t="shared" si="24"/>
        <v>Q4</v>
      </c>
    </row>
    <row r="1541" spans="1:8">
      <c r="A1541">
        <v>787758</v>
      </c>
      <c r="B1541" t="s">
        <v>3904</v>
      </c>
      <c r="C1541">
        <v>22</v>
      </c>
      <c r="D1541">
        <v>19.798690351572901</v>
      </c>
      <c r="E1541">
        <v>435.571187734604</v>
      </c>
      <c r="F1541">
        <v>0.707723561942741</v>
      </c>
      <c r="G1541">
        <v>0.94210150107219404</v>
      </c>
      <c r="H1541" t="str">
        <f t="shared" si="24"/>
        <v>Q3</v>
      </c>
    </row>
    <row r="1542" spans="1:8">
      <c r="A1542">
        <v>766435</v>
      </c>
      <c r="B1542" t="s">
        <v>1392</v>
      </c>
      <c r="C1542">
        <v>69</v>
      </c>
      <c r="D1542">
        <v>6.3074428588151896</v>
      </c>
      <c r="E1542">
        <v>435.21355725824799</v>
      </c>
      <c r="F1542">
        <v>0.87393250818253598</v>
      </c>
      <c r="G1542">
        <v>0.94206388021519105</v>
      </c>
      <c r="H1542" t="str">
        <f t="shared" si="24"/>
        <v>Q3</v>
      </c>
    </row>
    <row r="1543" spans="1:8">
      <c r="A1543">
        <v>628979</v>
      </c>
      <c r="B1543" t="s">
        <v>3393</v>
      </c>
      <c r="C1543">
        <v>53</v>
      </c>
      <c r="D1543">
        <v>8.2101695120932092</v>
      </c>
      <c r="E1543">
        <v>435.13898414094001</v>
      </c>
      <c r="F1543">
        <v>0.84218050487190099</v>
      </c>
      <c r="G1543">
        <v>0.94202625935818796</v>
      </c>
      <c r="H1543" t="str">
        <f t="shared" si="24"/>
        <v>Q3</v>
      </c>
    </row>
    <row r="1544" spans="1:8">
      <c r="A1544">
        <v>734179</v>
      </c>
      <c r="B1544" t="s">
        <v>3501</v>
      </c>
      <c r="C1544">
        <v>73</v>
      </c>
      <c r="D1544">
        <v>5.95934530337379</v>
      </c>
      <c r="E1544">
        <v>435.03220714628702</v>
      </c>
      <c r="F1544">
        <v>0.88111809187013301</v>
      </c>
      <c r="G1544">
        <v>0.94198863850118497</v>
      </c>
      <c r="H1544" t="str">
        <f t="shared" si="24"/>
        <v>Q3</v>
      </c>
    </row>
    <row r="1545" spans="1:8">
      <c r="A1545">
        <v>820168</v>
      </c>
      <c r="B1545" t="s">
        <v>911</v>
      </c>
      <c r="C1545">
        <v>81</v>
      </c>
      <c r="D1545">
        <v>5.3634023408830904</v>
      </c>
      <c r="E1545">
        <v>434.43558961153002</v>
      </c>
      <c r="F1545">
        <v>0.89293104096911302</v>
      </c>
      <c r="G1545">
        <v>0.94195101764418199</v>
      </c>
      <c r="H1545" t="str">
        <f t="shared" si="24"/>
        <v>Q3</v>
      </c>
    </row>
    <row r="1546" spans="1:8">
      <c r="A1546">
        <v>541512</v>
      </c>
      <c r="B1546" t="s">
        <v>3988</v>
      </c>
      <c r="C1546">
        <v>192</v>
      </c>
      <c r="D1546">
        <v>2.26117581381307</v>
      </c>
      <c r="E1546">
        <v>434.14575625211</v>
      </c>
      <c r="F1546">
        <v>0.95688649787442204</v>
      </c>
      <c r="G1546">
        <v>0.941913396787179</v>
      </c>
      <c r="H1546" t="str">
        <f t="shared" si="24"/>
        <v>Q2</v>
      </c>
    </row>
    <row r="1547" spans="1:8">
      <c r="A1547">
        <v>757194</v>
      </c>
      <c r="B1547" t="s">
        <v>2219</v>
      </c>
      <c r="C1547">
        <v>183</v>
      </c>
      <c r="D1547">
        <v>2.3675743281800599</v>
      </c>
      <c r="E1547">
        <v>433.26610205694999</v>
      </c>
      <c r="F1547">
        <v>0.95447876302622203</v>
      </c>
      <c r="G1547">
        <v>0.94187577593017602</v>
      </c>
      <c r="H1547" t="str">
        <f t="shared" si="24"/>
        <v>Q2</v>
      </c>
    </row>
    <row r="1548" spans="1:8">
      <c r="A1548">
        <v>801673</v>
      </c>
      <c r="B1548" t="s">
        <v>5231</v>
      </c>
      <c r="C1548">
        <v>272</v>
      </c>
      <c r="D1548">
        <v>1.59268438257962</v>
      </c>
      <c r="E1548">
        <v>433.210152061656</v>
      </c>
      <c r="F1548">
        <v>0.97212294496068596</v>
      </c>
      <c r="G1548">
        <v>0.94183815507317303</v>
      </c>
      <c r="H1548" t="str">
        <f t="shared" si="24"/>
        <v>Q2</v>
      </c>
    </row>
    <row r="1549" spans="1:8">
      <c r="A1549">
        <v>715253</v>
      </c>
      <c r="B1549" t="s">
        <v>1177</v>
      </c>
      <c r="C1549">
        <v>37</v>
      </c>
      <c r="D1549">
        <v>11.6704074716246</v>
      </c>
      <c r="E1549">
        <v>431.80507645010903</v>
      </c>
      <c r="F1549">
        <v>0.79304766562582296</v>
      </c>
      <c r="G1549">
        <v>0.94180053421616905</v>
      </c>
      <c r="H1549" t="str">
        <f t="shared" si="24"/>
        <v>Q3</v>
      </c>
    </row>
    <row r="1550" spans="1:8">
      <c r="A1550">
        <v>759159</v>
      </c>
      <c r="B1550" t="s">
        <v>3237</v>
      </c>
      <c r="C1550">
        <v>133</v>
      </c>
      <c r="D1550">
        <v>3.2446284575345801</v>
      </c>
      <c r="E1550">
        <v>431.53558485209902</v>
      </c>
      <c r="F1550">
        <v>0.93476543395658596</v>
      </c>
      <c r="G1550">
        <v>0.94176291335916595</v>
      </c>
      <c r="H1550" t="str">
        <f t="shared" si="24"/>
        <v>Q4</v>
      </c>
    </row>
    <row r="1551" spans="1:8">
      <c r="A1551">
        <v>784547</v>
      </c>
      <c r="B1551" t="s">
        <v>1551</v>
      </c>
      <c r="C1551">
        <v>298</v>
      </c>
      <c r="D1551">
        <v>1.44696843860383</v>
      </c>
      <c r="E1551">
        <v>431.19659470394299</v>
      </c>
      <c r="F1551">
        <v>0.975809788946992</v>
      </c>
      <c r="G1551">
        <v>0.94172529250216297</v>
      </c>
      <c r="H1551" t="str">
        <f t="shared" si="24"/>
        <v>Q2</v>
      </c>
    </row>
    <row r="1552" spans="1:8">
      <c r="A1552">
        <v>719084</v>
      </c>
      <c r="B1552" t="s">
        <v>3549</v>
      </c>
      <c r="C1552">
        <v>214</v>
      </c>
      <c r="D1552">
        <v>2.0128940201634302</v>
      </c>
      <c r="E1552">
        <v>430.75932031497399</v>
      </c>
      <c r="F1552">
        <v>0.96256724728189302</v>
      </c>
      <c r="G1552">
        <v>0.94168767164515998</v>
      </c>
      <c r="H1552" t="str">
        <f t="shared" si="24"/>
        <v>Q2</v>
      </c>
    </row>
    <row r="1553" spans="1:8">
      <c r="A1553">
        <v>513373</v>
      </c>
      <c r="B1553" t="s">
        <v>2086</v>
      </c>
      <c r="C1553">
        <v>170</v>
      </c>
      <c r="D1553">
        <v>2.5335892122786698</v>
      </c>
      <c r="E1553">
        <v>430.71016608737398</v>
      </c>
      <c r="F1553">
        <v>0.95018998532786603</v>
      </c>
      <c r="G1553">
        <v>0.941650050788157</v>
      </c>
      <c r="H1553" t="str">
        <f t="shared" si="24"/>
        <v>Q2</v>
      </c>
    </row>
    <row r="1554" spans="1:8">
      <c r="A1554">
        <v>741117</v>
      </c>
      <c r="B1554" t="s">
        <v>4141</v>
      </c>
      <c r="C1554">
        <v>56</v>
      </c>
      <c r="D1554">
        <v>7.67133782085563</v>
      </c>
      <c r="E1554">
        <v>429.59491796791599</v>
      </c>
      <c r="F1554">
        <v>0.85004326398555397</v>
      </c>
      <c r="G1554">
        <v>0.94161242993115402</v>
      </c>
      <c r="H1554" t="str">
        <f t="shared" si="24"/>
        <v>Q3</v>
      </c>
    </row>
    <row r="1555" spans="1:8">
      <c r="A1555">
        <v>474123</v>
      </c>
      <c r="B1555" t="s">
        <v>3309</v>
      </c>
      <c r="C1555">
        <v>222</v>
      </c>
      <c r="D1555">
        <v>1.9344938128163001</v>
      </c>
      <c r="E1555">
        <v>429.45762644521898</v>
      </c>
      <c r="F1555">
        <v>0.963959218991009</v>
      </c>
      <c r="G1555">
        <v>0.94157480907415103</v>
      </c>
      <c r="H1555" t="str">
        <f t="shared" si="24"/>
        <v>Q2</v>
      </c>
    </row>
    <row r="1556" spans="1:8">
      <c r="A1556">
        <v>771964</v>
      </c>
      <c r="B1556" t="s">
        <v>2107</v>
      </c>
      <c r="C1556">
        <v>75</v>
      </c>
      <c r="D1556">
        <v>5.7238645454247798</v>
      </c>
      <c r="E1556">
        <v>429.28984090685799</v>
      </c>
      <c r="F1556">
        <v>0.88420300214438896</v>
      </c>
      <c r="G1556">
        <v>0.94153718821714805</v>
      </c>
      <c r="H1556" t="str">
        <f t="shared" si="24"/>
        <v>Q3</v>
      </c>
    </row>
    <row r="1557" spans="1:8">
      <c r="A1557">
        <v>707699</v>
      </c>
      <c r="B1557" t="s">
        <v>4683</v>
      </c>
      <c r="C1557">
        <v>184</v>
      </c>
      <c r="D1557">
        <v>2.3326363082995401</v>
      </c>
      <c r="E1557">
        <v>429.20508072711499</v>
      </c>
      <c r="F1557">
        <v>0.95477972988224702</v>
      </c>
      <c r="G1557">
        <v>0.94149956736014495</v>
      </c>
      <c r="H1557" t="str">
        <f t="shared" si="24"/>
        <v>Q2</v>
      </c>
    </row>
    <row r="1558" spans="1:8">
      <c r="A1558">
        <v>120129</v>
      </c>
      <c r="B1558" t="s">
        <v>408</v>
      </c>
      <c r="C1558">
        <v>262</v>
      </c>
      <c r="D1558">
        <v>1.6356449016149499</v>
      </c>
      <c r="E1558">
        <v>428.53896422311698</v>
      </c>
      <c r="F1558">
        <v>0.97076859410857397</v>
      </c>
      <c r="G1558">
        <v>0.94146194650314097</v>
      </c>
      <c r="H1558" t="str">
        <f t="shared" si="24"/>
        <v>Q2</v>
      </c>
    </row>
    <row r="1559" spans="1:8">
      <c r="A1559">
        <v>699293</v>
      </c>
      <c r="B1559" t="s">
        <v>3915</v>
      </c>
      <c r="C1559">
        <v>90</v>
      </c>
      <c r="D1559">
        <v>4.7610923585792397</v>
      </c>
      <c r="E1559">
        <v>428.49831227213099</v>
      </c>
      <c r="F1559">
        <v>0.90267484293292199</v>
      </c>
      <c r="G1559">
        <v>0.94142432564613798</v>
      </c>
      <c r="H1559" t="str">
        <f t="shared" si="24"/>
        <v>Q4</v>
      </c>
    </row>
    <row r="1560" spans="1:8">
      <c r="A1560">
        <v>740457</v>
      </c>
      <c r="B1560" t="s">
        <v>2381</v>
      </c>
      <c r="C1560">
        <v>79</v>
      </c>
      <c r="D1560">
        <v>5.4235571500243998</v>
      </c>
      <c r="E1560">
        <v>428.46101485192798</v>
      </c>
      <c r="F1560">
        <v>0.89022233926488803</v>
      </c>
      <c r="G1560">
        <v>0.941386704789135</v>
      </c>
      <c r="H1560" t="str">
        <f t="shared" si="24"/>
        <v>Q3</v>
      </c>
    </row>
    <row r="1561" spans="1:8">
      <c r="A1561">
        <v>383152</v>
      </c>
      <c r="B1561" t="s">
        <v>2082</v>
      </c>
      <c r="C1561">
        <v>145</v>
      </c>
      <c r="D1561">
        <v>2.9474342453839499</v>
      </c>
      <c r="E1561">
        <v>427.37796558067203</v>
      </c>
      <c r="F1561">
        <v>0.94082239193408801</v>
      </c>
      <c r="G1561">
        <v>0.94134908393213201</v>
      </c>
      <c r="H1561" t="str">
        <f t="shared" si="24"/>
        <v>Q4</v>
      </c>
    </row>
    <row r="1562" spans="1:8">
      <c r="A1562">
        <v>682290</v>
      </c>
      <c r="B1562" t="s">
        <v>1684</v>
      </c>
      <c r="C1562">
        <v>80</v>
      </c>
      <c r="D1562">
        <v>5.3361016465351003</v>
      </c>
      <c r="E1562">
        <v>426.888131722808</v>
      </c>
      <c r="F1562">
        <v>0.89150144840299494</v>
      </c>
      <c r="G1562">
        <v>0.94131146307512903</v>
      </c>
      <c r="H1562" t="str">
        <f t="shared" si="24"/>
        <v>Q3</v>
      </c>
    </row>
    <row r="1563" spans="1:8">
      <c r="A1563">
        <v>733854</v>
      </c>
      <c r="B1563" t="s">
        <v>4285</v>
      </c>
      <c r="C1563">
        <v>43</v>
      </c>
      <c r="D1563">
        <v>9.9159638505688896</v>
      </c>
      <c r="E1563">
        <v>426.38644557446202</v>
      </c>
      <c r="F1563">
        <v>0.81437869154659304</v>
      </c>
      <c r="G1563">
        <v>0.94127384221812604</v>
      </c>
      <c r="H1563" t="str">
        <f t="shared" si="24"/>
        <v>Q3</v>
      </c>
    </row>
    <row r="1564" spans="1:8">
      <c r="A1564">
        <v>721320</v>
      </c>
      <c r="B1564" t="s">
        <v>2238</v>
      </c>
      <c r="C1564">
        <v>354</v>
      </c>
      <c r="D1564">
        <v>1.20412234531316</v>
      </c>
      <c r="E1564">
        <v>426.25931024085702</v>
      </c>
      <c r="F1564">
        <v>0.98081336292840704</v>
      </c>
      <c r="G1564">
        <v>0.94123622136112295</v>
      </c>
      <c r="H1564" t="str">
        <f t="shared" si="24"/>
        <v>Q2</v>
      </c>
    </row>
    <row r="1565" spans="1:8">
      <c r="A1565">
        <v>736049</v>
      </c>
      <c r="B1565" t="s">
        <v>4804</v>
      </c>
      <c r="C1565">
        <v>178</v>
      </c>
      <c r="D1565">
        <v>2.3925252410509898</v>
      </c>
      <c r="E1565">
        <v>425.86949290707702</v>
      </c>
      <c r="F1565">
        <v>0.95274820360407797</v>
      </c>
      <c r="G1565">
        <v>0.94119860050411996</v>
      </c>
      <c r="H1565" t="str">
        <f t="shared" si="24"/>
        <v>Q2</v>
      </c>
    </row>
    <row r="1566" spans="1:8">
      <c r="A1566">
        <v>761296</v>
      </c>
      <c r="B1566" t="s">
        <v>1738</v>
      </c>
      <c r="C1566">
        <v>184</v>
      </c>
      <c r="D1566">
        <v>2.31448969115382</v>
      </c>
      <c r="E1566">
        <v>425.86610317230202</v>
      </c>
      <c r="F1566">
        <v>0.95477972988224702</v>
      </c>
      <c r="G1566">
        <v>0.94116097964711598</v>
      </c>
      <c r="H1566" t="str">
        <f t="shared" si="24"/>
        <v>Q2</v>
      </c>
    </row>
    <row r="1567" spans="1:8">
      <c r="A1567">
        <v>787216</v>
      </c>
      <c r="B1567" t="s">
        <v>976</v>
      </c>
      <c r="C1567">
        <v>108</v>
      </c>
      <c r="D1567">
        <v>3.9427024571018099</v>
      </c>
      <c r="E1567">
        <v>425.81186536699499</v>
      </c>
      <c r="F1567">
        <v>0.91866370715924905</v>
      </c>
      <c r="G1567">
        <v>0.941123358790113</v>
      </c>
      <c r="H1567" t="str">
        <f t="shared" si="24"/>
        <v>Q4</v>
      </c>
    </row>
    <row r="1568" spans="1:8">
      <c r="A1568">
        <v>800830</v>
      </c>
      <c r="B1568" t="s">
        <v>4214</v>
      </c>
      <c r="C1568">
        <v>80</v>
      </c>
      <c r="D1568">
        <v>5.3221611585468098</v>
      </c>
      <c r="E1568">
        <v>425.77289268374398</v>
      </c>
      <c r="F1568">
        <v>0.89150144840299494</v>
      </c>
      <c r="G1568">
        <v>0.94108573793311001</v>
      </c>
      <c r="H1568" t="str">
        <f t="shared" si="24"/>
        <v>Q3</v>
      </c>
    </row>
    <row r="1569" spans="1:8">
      <c r="A1569">
        <v>714750</v>
      </c>
      <c r="B1569" t="s">
        <v>2338</v>
      </c>
      <c r="C1569">
        <v>125</v>
      </c>
      <c r="D1569">
        <v>3.4053017228841802</v>
      </c>
      <c r="E1569">
        <v>425.66271536052199</v>
      </c>
      <c r="F1569">
        <v>0.93028855197321403</v>
      </c>
      <c r="G1569">
        <v>0.94104811707610703</v>
      </c>
      <c r="H1569" t="str">
        <f t="shared" si="24"/>
        <v>Q4</v>
      </c>
    </row>
    <row r="1570" spans="1:8">
      <c r="A1570">
        <v>679280</v>
      </c>
      <c r="B1570" t="s">
        <v>947</v>
      </c>
      <c r="C1570">
        <v>451</v>
      </c>
      <c r="D1570">
        <v>0.94337627552904002</v>
      </c>
      <c r="E1570">
        <v>425.46270026359701</v>
      </c>
      <c r="F1570">
        <v>0.98671983747789804</v>
      </c>
      <c r="G1570">
        <v>0.94101049621910404</v>
      </c>
      <c r="H1570" t="str">
        <f t="shared" si="24"/>
        <v>Q2</v>
      </c>
    </row>
    <row r="1571" spans="1:8">
      <c r="A1571">
        <v>751270</v>
      </c>
      <c r="B1571" t="s">
        <v>2912</v>
      </c>
      <c r="C1571">
        <v>131</v>
      </c>
      <c r="D1571">
        <v>3.2438607289249699</v>
      </c>
      <c r="E1571">
        <v>424.94575548917101</v>
      </c>
      <c r="F1571">
        <v>0.93374967081750104</v>
      </c>
      <c r="G1571">
        <v>0.94097287536210095</v>
      </c>
      <c r="H1571" t="str">
        <f t="shared" si="24"/>
        <v>Q4</v>
      </c>
    </row>
    <row r="1572" spans="1:8">
      <c r="A1572">
        <v>699923</v>
      </c>
      <c r="B1572" t="s">
        <v>3212</v>
      </c>
      <c r="C1572">
        <v>294</v>
      </c>
      <c r="D1572">
        <v>1.44474802065172</v>
      </c>
      <c r="E1572">
        <v>424.75591807160498</v>
      </c>
      <c r="F1572">
        <v>0.97532071780595198</v>
      </c>
      <c r="G1572">
        <v>0.94093525450509796</v>
      </c>
      <c r="H1572" t="str">
        <f t="shared" si="24"/>
        <v>Q2</v>
      </c>
    </row>
    <row r="1573" spans="1:8">
      <c r="A1573">
        <v>496923</v>
      </c>
      <c r="B1573" t="s">
        <v>2531</v>
      </c>
      <c r="C1573">
        <v>85</v>
      </c>
      <c r="D1573">
        <v>4.9957528513143998</v>
      </c>
      <c r="E1573">
        <v>424.63899236172398</v>
      </c>
      <c r="F1573">
        <v>0.89721981866746903</v>
      </c>
      <c r="G1573">
        <v>0.94089763364809498</v>
      </c>
      <c r="H1573" t="str">
        <f t="shared" si="24"/>
        <v>Q3</v>
      </c>
    </row>
    <row r="1574" spans="1:8">
      <c r="A1574">
        <v>805473</v>
      </c>
      <c r="B1574" t="s">
        <v>929</v>
      </c>
      <c r="C1574">
        <v>47</v>
      </c>
      <c r="D1574">
        <v>9.0340787584477305</v>
      </c>
      <c r="E1574">
        <v>424.601701647043</v>
      </c>
      <c r="F1574">
        <v>0.82641736578759295</v>
      </c>
      <c r="G1574">
        <v>0.94086001279109099</v>
      </c>
      <c r="H1574" t="str">
        <f t="shared" si="24"/>
        <v>Q3</v>
      </c>
    </row>
    <row r="1575" spans="1:8">
      <c r="A1575">
        <v>720100</v>
      </c>
      <c r="B1575" t="s">
        <v>3462</v>
      </c>
      <c r="C1575">
        <v>150</v>
      </c>
      <c r="D1575">
        <v>2.8293785213803302</v>
      </c>
      <c r="E1575">
        <v>424.406778207049</v>
      </c>
      <c r="F1575">
        <v>0.94292915992626303</v>
      </c>
      <c r="G1575">
        <v>0.94082239193408801</v>
      </c>
      <c r="H1575" t="str">
        <f t="shared" si="24"/>
        <v>Q4</v>
      </c>
    </row>
    <row r="1576" spans="1:8">
      <c r="A1576">
        <v>659460</v>
      </c>
      <c r="B1576" t="s">
        <v>2366</v>
      </c>
      <c r="C1576">
        <v>98</v>
      </c>
      <c r="D1576">
        <v>4.3261155201008101</v>
      </c>
      <c r="E1576">
        <v>423.95932096988003</v>
      </c>
      <c r="F1576">
        <v>0.90997328919152798</v>
      </c>
      <c r="G1576">
        <v>0.94078477107708502</v>
      </c>
      <c r="H1576" t="str">
        <f t="shared" si="24"/>
        <v>Q4</v>
      </c>
    </row>
    <row r="1577" spans="1:8">
      <c r="A1577">
        <v>533404</v>
      </c>
      <c r="B1577" t="s">
        <v>3554</v>
      </c>
      <c r="C1577">
        <v>79</v>
      </c>
      <c r="D1577">
        <v>5.3665309012690701</v>
      </c>
      <c r="E1577">
        <v>423.95594120025601</v>
      </c>
      <c r="F1577">
        <v>0.89022233926488803</v>
      </c>
      <c r="G1577">
        <v>0.94074715022008204</v>
      </c>
      <c r="H1577" t="str">
        <f t="shared" si="24"/>
        <v>Q3</v>
      </c>
    </row>
    <row r="1578" spans="1:8">
      <c r="A1578">
        <v>794389</v>
      </c>
      <c r="B1578" t="s">
        <v>1718</v>
      </c>
      <c r="C1578">
        <v>132</v>
      </c>
      <c r="D1578">
        <v>3.2108242976281698</v>
      </c>
      <c r="E1578">
        <v>423.82880728691799</v>
      </c>
      <c r="F1578">
        <v>0.93435160452955102</v>
      </c>
      <c r="G1578">
        <v>0.94070952936307894</v>
      </c>
      <c r="H1578" t="str">
        <f t="shared" si="24"/>
        <v>Q4</v>
      </c>
    </row>
    <row r="1579" spans="1:8">
      <c r="A1579">
        <v>824752</v>
      </c>
      <c r="B1579" t="s">
        <v>3690</v>
      </c>
      <c r="C1579">
        <v>72</v>
      </c>
      <c r="D1579">
        <v>5.8859462798055704</v>
      </c>
      <c r="E1579">
        <v>423.78813214600098</v>
      </c>
      <c r="F1579">
        <v>0.87957563673300498</v>
      </c>
      <c r="G1579">
        <v>0.94067190850607596</v>
      </c>
      <c r="H1579" t="str">
        <f t="shared" si="24"/>
        <v>Q3</v>
      </c>
    </row>
    <row r="1580" spans="1:8">
      <c r="A1580">
        <v>614848</v>
      </c>
      <c r="B1580" t="s">
        <v>1581</v>
      </c>
      <c r="C1580">
        <v>113</v>
      </c>
      <c r="D1580">
        <v>3.7498275106525498</v>
      </c>
      <c r="E1580">
        <v>423.730508703738</v>
      </c>
      <c r="F1580">
        <v>0.92257627628757399</v>
      </c>
      <c r="G1580">
        <v>0.94063428764907298</v>
      </c>
      <c r="H1580" t="str">
        <f t="shared" si="24"/>
        <v>Q4</v>
      </c>
    </row>
    <row r="1581" spans="1:8">
      <c r="A1581">
        <v>719946</v>
      </c>
      <c r="B1581" t="s">
        <v>3631</v>
      </c>
      <c r="C1581">
        <v>104</v>
      </c>
      <c r="D1581">
        <v>4.07328880571115</v>
      </c>
      <c r="E1581">
        <v>423.62203579395998</v>
      </c>
      <c r="F1581">
        <v>0.91524020917196502</v>
      </c>
      <c r="G1581">
        <v>0.94059666679206999</v>
      </c>
      <c r="H1581" t="str">
        <f t="shared" si="24"/>
        <v>Q4</v>
      </c>
    </row>
    <row r="1582" spans="1:8">
      <c r="A1582">
        <v>739362</v>
      </c>
      <c r="B1582" t="s">
        <v>1674</v>
      </c>
      <c r="C1582">
        <v>144</v>
      </c>
      <c r="D1582">
        <v>2.9411840789382202</v>
      </c>
      <c r="E1582">
        <v>423.53050736710401</v>
      </c>
      <c r="F1582">
        <v>0.94048380422106004</v>
      </c>
      <c r="G1582">
        <v>0.94055904593506601</v>
      </c>
      <c r="H1582" t="str">
        <f t="shared" si="24"/>
        <v>Q4</v>
      </c>
    </row>
    <row r="1583" spans="1:8">
      <c r="A1583">
        <v>774151</v>
      </c>
      <c r="B1583" t="s">
        <v>4645</v>
      </c>
      <c r="C1583">
        <v>70</v>
      </c>
      <c r="D1583">
        <v>6.0459321417978797</v>
      </c>
      <c r="E1583">
        <v>423.21524992585199</v>
      </c>
      <c r="F1583">
        <v>0.87555020503367098</v>
      </c>
      <c r="G1583">
        <v>0.94052142507806302</v>
      </c>
      <c r="H1583" t="str">
        <f t="shared" si="24"/>
        <v>Q3</v>
      </c>
    </row>
    <row r="1584" spans="1:8">
      <c r="A1584">
        <v>729441</v>
      </c>
      <c r="B1584" t="s">
        <v>1195</v>
      </c>
      <c r="C1584">
        <v>282</v>
      </c>
      <c r="D1584">
        <v>1.49983165695675</v>
      </c>
      <c r="E1584">
        <v>422.95252726180502</v>
      </c>
      <c r="F1584">
        <v>0.97359015838380802</v>
      </c>
      <c r="G1584">
        <v>0.94048380422106004</v>
      </c>
      <c r="H1584" t="str">
        <f t="shared" si="24"/>
        <v>Q2</v>
      </c>
    </row>
    <row r="1585" spans="1:8">
      <c r="A1585">
        <v>738569</v>
      </c>
      <c r="B1585" t="s">
        <v>3269</v>
      </c>
      <c r="C1585">
        <v>91</v>
      </c>
      <c r="D1585">
        <v>4.6472528232977899</v>
      </c>
      <c r="E1585">
        <v>422.90000692009897</v>
      </c>
      <c r="F1585">
        <v>0.90350250178699099</v>
      </c>
      <c r="G1585">
        <v>0.94044618336405705</v>
      </c>
      <c r="H1585" t="str">
        <f t="shared" si="24"/>
        <v>Q4</v>
      </c>
    </row>
    <row r="1586" spans="1:8">
      <c r="A1586">
        <v>657165</v>
      </c>
      <c r="B1586" t="s">
        <v>4991</v>
      </c>
      <c r="C1586">
        <v>202</v>
      </c>
      <c r="D1586">
        <v>2.09261612496385</v>
      </c>
      <c r="E1586">
        <v>422.70845724269702</v>
      </c>
      <c r="F1586">
        <v>0.95951995786463995</v>
      </c>
      <c r="G1586">
        <v>0.94040856250705396</v>
      </c>
      <c r="H1586" t="str">
        <f t="shared" si="24"/>
        <v>Q2</v>
      </c>
    </row>
    <row r="1587" spans="1:8">
      <c r="A1587">
        <v>564334</v>
      </c>
      <c r="B1587" t="s">
        <v>912</v>
      </c>
      <c r="C1587">
        <v>182</v>
      </c>
      <c r="D1587">
        <v>2.3203110483546698</v>
      </c>
      <c r="E1587">
        <v>422.29661080054899</v>
      </c>
      <c r="F1587">
        <v>0.95425303788420301</v>
      </c>
      <c r="G1587">
        <v>0.94037094165005097</v>
      </c>
      <c r="H1587" t="str">
        <f t="shared" si="24"/>
        <v>Q2</v>
      </c>
    </row>
    <row r="1588" spans="1:8">
      <c r="A1588">
        <v>729928</v>
      </c>
      <c r="B1588" t="s">
        <v>2352</v>
      </c>
      <c r="C1588">
        <v>177</v>
      </c>
      <c r="D1588">
        <v>2.38414248925144</v>
      </c>
      <c r="E1588">
        <v>421.99322059750602</v>
      </c>
      <c r="F1588">
        <v>0.95244723674805298</v>
      </c>
      <c r="G1588">
        <v>0.94033332079304799</v>
      </c>
      <c r="H1588" t="str">
        <f t="shared" si="24"/>
        <v>Q2</v>
      </c>
    </row>
    <row r="1589" spans="1:8">
      <c r="A1589">
        <v>741115</v>
      </c>
      <c r="B1589" t="s">
        <v>4867</v>
      </c>
      <c r="C1589">
        <v>68</v>
      </c>
      <c r="D1589">
        <v>6.2050846816204901</v>
      </c>
      <c r="E1589">
        <v>421.94575835019401</v>
      </c>
      <c r="F1589">
        <v>0.87223956961739602</v>
      </c>
      <c r="G1589">
        <v>0.940295699936045</v>
      </c>
      <c r="H1589" t="str">
        <f t="shared" si="24"/>
        <v>Q3</v>
      </c>
    </row>
    <row r="1590" spans="1:8">
      <c r="A1590">
        <v>727616</v>
      </c>
      <c r="B1590" t="s">
        <v>864</v>
      </c>
      <c r="C1590">
        <v>110</v>
      </c>
      <c r="D1590">
        <v>3.8317873718386299</v>
      </c>
      <c r="E1590">
        <v>421.49661090224998</v>
      </c>
      <c r="F1590">
        <v>0.92001805801136105</v>
      </c>
      <c r="G1590">
        <v>0.94025807907904102</v>
      </c>
      <c r="H1590" t="str">
        <f t="shared" si="24"/>
        <v>Q4</v>
      </c>
    </row>
    <row r="1591" spans="1:8">
      <c r="A1591">
        <v>706656</v>
      </c>
      <c r="B1591" t="s">
        <v>1236</v>
      </c>
      <c r="C1591">
        <v>74</v>
      </c>
      <c r="D1591">
        <v>5.6929685427127703</v>
      </c>
      <c r="E1591">
        <v>421.27967216074501</v>
      </c>
      <c r="F1591">
        <v>0.88307437643429498</v>
      </c>
      <c r="G1591">
        <v>0.94022045822203804</v>
      </c>
      <c r="H1591" t="str">
        <f t="shared" si="24"/>
        <v>Q3</v>
      </c>
    </row>
    <row r="1592" spans="1:8">
      <c r="A1592">
        <v>652731</v>
      </c>
      <c r="B1592" t="s">
        <v>1774</v>
      </c>
      <c r="C1592">
        <v>74</v>
      </c>
      <c r="D1592">
        <v>5.6898535455803598</v>
      </c>
      <c r="E1592">
        <v>421.04916237294702</v>
      </c>
      <c r="F1592">
        <v>0.88307437643429498</v>
      </c>
      <c r="G1592">
        <v>0.94018283736503505</v>
      </c>
      <c r="H1592" t="str">
        <f t="shared" si="24"/>
        <v>Q3</v>
      </c>
    </row>
    <row r="1593" spans="1:8">
      <c r="A1593">
        <v>721450</v>
      </c>
      <c r="B1593" t="s">
        <v>1013</v>
      </c>
      <c r="C1593">
        <v>100</v>
      </c>
      <c r="D1593">
        <v>4.2089661732315999</v>
      </c>
      <c r="E1593">
        <v>420.89661732316</v>
      </c>
      <c r="F1593">
        <v>0.91155336518565899</v>
      </c>
      <c r="G1593">
        <v>0.94014521650803196</v>
      </c>
      <c r="H1593" t="str">
        <f t="shared" si="24"/>
        <v>Q4</v>
      </c>
    </row>
    <row r="1594" spans="1:8">
      <c r="A1594">
        <v>658329</v>
      </c>
      <c r="B1594" t="s">
        <v>353</v>
      </c>
      <c r="C1594">
        <v>204</v>
      </c>
      <c r="D1594">
        <v>2.0630607308418099</v>
      </c>
      <c r="E1594">
        <v>420.86438909173</v>
      </c>
      <c r="F1594">
        <v>0.96015951243369302</v>
      </c>
      <c r="G1594">
        <v>0.94010759565102897</v>
      </c>
      <c r="H1594" t="str">
        <f t="shared" si="24"/>
        <v>Q2</v>
      </c>
    </row>
    <row r="1595" spans="1:8">
      <c r="A1595">
        <v>700835</v>
      </c>
      <c r="B1595" t="s">
        <v>2243</v>
      </c>
      <c r="C1595">
        <v>100</v>
      </c>
      <c r="D1595">
        <v>4.2084237821400201</v>
      </c>
      <c r="E1595">
        <v>420.842378214002</v>
      </c>
      <c r="F1595">
        <v>0.91155336518565899</v>
      </c>
      <c r="G1595">
        <v>0.94006997479402599</v>
      </c>
      <c r="H1595" t="str">
        <f t="shared" si="24"/>
        <v>Q4</v>
      </c>
    </row>
    <row r="1596" spans="1:8">
      <c r="A1596">
        <v>735623</v>
      </c>
      <c r="B1596" t="s">
        <v>3483</v>
      </c>
      <c r="C1596">
        <v>75</v>
      </c>
      <c r="D1596">
        <v>5.6099886770049698</v>
      </c>
      <c r="E1596">
        <v>420.74915077537298</v>
      </c>
      <c r="F1596">
        <v>0.88420300214438896</v>
      </c>
      <c r="G1596">
        <v>0.940032353937023</v>
      </c>
      <c r="H1596" t="str">
        <f t="shared" si="24"/>
        <v>Q3</v>
      </c>
    </row>
    <row r="1597" spans="1:8">
      <c r="A1597">
        <v>721320</v>
      </c>
      <c r="B1597" t="s">
        <v>2237</v>
      </c>
      <c r="C1597">
        <v>356</v>
      </c>
      <c r="D1597">
        <v>1.18120830732377</v>
      </c>
      <c r="E1597">
        <v>420.51015740726098</v>
      </c>
      <c r="F1597">
        <v>0.98096384635641998</v>
      </c>
      <c r="G1597">
        <v>0.93999473308002002</v>
      </c>
      <c r="H1597" t="str">
        <f t="shared" si="24"/>
        <v>Q2</v>
      </c>
    </row>
    <row r="1598" spans="1:8">
      <c r="A1598">
        <v>792302</v>
      </c>
      <c r="B1598" t="s">
        <v>3207</v>
      </c>
      <c r="C1598">
        <v>20</v>
      </c>
      <c r="D1598">
        <v>21.0231356322765</v>
      </c>
      <c r="E1598">
        <v>420.46271264553098</v>
      </c>
      <c r="F1598">
        <v>0.69196042285843296</v>
      </c>
      <c r="G1598">
        <v>0.93995711222301603</v>
      </c>
      <c r="H1598" t="str">
        <f t="shared" si="24"/>
        <v>Q3</v>
      </c>
    </row>
    <row r="1599" spans="1:8">
      <c r="A1599">
        <v>733248</v>
      </c>
      <c r="B1599" t="s">
        <v>4851</v>
      </c>
      <c r="C1599">
        <v>73</v>
      </c>
      <c r="D1599">
        <v>5.7567215741497204</v>
      </c>
      <c r="E1599">
        <v>420.24067491292999</v>
      </c>
      <c r="F1599">
        <v>0.88111809187013301</v>
      </c>
      <c r="G1599">
        <v>0.93991949136601305</v>
      </c>
      <c r="H1599" t="str">
        <f t="shared" si="24"/>
        <v>Q3</v>
      </c>
    </row>
    <row r="1600" spans="1:8">
      <c r="A1600">
        <v>685604</v>
      </c>
      <c r="B1600" t="s">
        <v>4924</v>
      </c>
      <c r="C1600">
        <v>185</v>
      </c>
      <c r="D1600">
        <v>2.2697205677930601</v>
      </c>
      <c r="E1600">
        <v>419.89830504171601</v>
      </c>
      <c r="F1600">
        <v>0.95515593845227797</v>
      </c>
      <c r="G1600">
        <v>0.93988187050900995</v>
      </c>
      <c r="H1600" t="str">
        <f t="shared" si="24"/>
        <v>Q2</v>
      </c>
    </row>
    <row r="1601" spans="1:8">
      <c r="A1601">
        <v>831218</v>
      </c>
      <c r="B1601" t="s">
        <v>4823</v>
      </c>
      <c r="C1601">
        <v>43</v>
      </c>
      <c r="D1601">
        <v>9.7623179125231392</v>
      </c>
      <c r="E1601">
        <v>419.77967023849499</v>
      </c>
      <c r="F1601">
        <v>0.81437869154659304</v>
      </c>
      <c r="G1601">
        <v>0.93984424965200697</v>
      </c>
      <c r="H1601" t="str">
        <f t="shared" si="24"/>
        <v>Q3</v>
      </c>
    </row>
    <row r="1602" spans="1:8">
      <c r="A1602">
        <v>699426</v>
      </c>
      <c r="B1602" t="s">
        <v>450</v>
      </c>
      <c r="C1602">
        <v>110</v>
      </c>
      <c r="D1602">
        <v>3.8135593325238299</v>
      </c>
      <c r="E1602">
        <v>419.49152657762198</v>
      </c>
      <c r="F1602">
        <v>0.92001805801136105</v>
      </c>
      <c r="G1602">
        <v>0.93980662879500398</v>
      </c>
      <c r="H1602" t="str">
        <f t="shared" si="24"/>
        <v>Q4</v>
      </c>
    </row>
    <row r="1603" spans="1:8">
      <c r="A1603">
        <v>716046</v>
      </c>
      <c r="B1603" t="s">
        <v>191</v>
      </c>
      <c r="C1603">
        <v>54</v>
      </c>
      <c r="D1603">
        <v>7.7653485384804197</v>
      </c>
      <c r="E1603">
        <v>419.32882107794302</v>
      </c>
      <c r="F1603">
        <v>0.84515255257514799</v>
      </c>
      <c r="G1603">
        <v>0.939769007938001</v>
      </c>
      <c r="H1603" t="str">
        <f t="shared" ref="H1603:H1666" si="25">IF(C1603&gt;$J$2,
   IF(D1603&gt;$J$3,"Q1","Q2"),
   IF(D1603&gt;$J$3,"Q3","Q4"))</f>
        <v>Q3</v>
      </c>
    </row>
    <row r="1604" spans="1:8">
      <c r="A1604">
        <v>426199</v>
      </c>
      <c r="B1604" t="s">
        <v>1579</v>
      </c>
      <c r="C1604">
        <v>208</v>
      </c>
      <c r="D1604">
        <v>2.0152134066358101</v>
      </c>
      <c r="E1604">
        <v>419.16438858024799</v>
      </c>
      <c r="F1604">
        <v>0.96102479214476499</v>
      </c>
      <c r="G1604">
        <v>0.93973138708099802</v>
      </c>
      <c r="H1604" t="str">
        <f t="shared" si="25"/>
        <v>Q2</v>
      </c>
    </row>
    <row r="1605" spans="1:8">
      <c r="A1605">
        <v>548613</v>
      </c>
      <c r="B1605" t="s">
        <v>2398</v>
      </c>
      <c r="C1605">
        <v>275</v>
      </c>
      <c r="D1605">
        <v>1.5221879223192301</v>
      </c>
      <c r="E1605">
        <v>418.60167863778798</v>
      </c>
      <c r="F1605">
        <v>0.97264963695872997</v>
      </c>
      <c r="G1605">
        <v>0.93969376622399503</v>
      </c>
      <c r="H1605" t="str">
        <f t="shared" si="25"/>
        <v>Q2</v>
      </c>
    </row>
    <row r="1606" spans="1:8">
      <c r="A1606">
        <v>683147</v>
      </c>
      <c r="B1606" t="s">
        <v>1920</v>
      </c>
      <c r="C1606">
        <v>74</v>
      </c>
      <c r="D1606">
        <v>5.65233628290731</v>
      </c>
      <c r="E1606">
        <v>418.27288493514101</v>
      </c>
      <c r="F1606">
        <v>0.88307437643429498</v>
      </c>
      <c r="G1606">
        <v>0.93965614536699105</v>
      </c>
      <c r="H1606" t="str">
        <f t="shared" si="25"/>
        <v>Q3</v>
      </c>
    </row>
    <row r="1607" spans="1:8">
      <c r="A1607">
        <v>720137</v>
      </c>
      <c r="B1607" t="s">
        <v>71</v>
      </c>
      <c r="C1607">
        <v>1348</v>
      </c>
      <c r="D1607">
        <v>0.310072655384864</v>
      </c>
      <c r="E1607">
        <v>417.97793945879698</v>
      </c>
      <c r="F1607">
        <v>0.99853278657687805</v>
      </c>
      <c r="G1607">
        <v>0.93961852450998795</v>
      </c>
      <c r="H1607" t="str">
        <f t="shared" si="25"/>
        <v>Q2</v>
      </c>
    </row>
    <row r="1608" spans="1:8">
      <c r="A1608">
        <v>770351</v>
      </c>
      <c r="B1608" t="s">
        <v>3446</v>
      </c>
      <c r="C1608">
        <v>191</v>
      </c>
      <c r="D1608">
        <v>2.1876386564264001</v>
      </c>
      <c r="E1608">
        <v>417.83898337744199</v>
      </c>
      <c r="F1608">
        <v>0.95666077273240302</v>
      </c>
      <c r="G1608">
        <v>0.93958090365298497</v>
      </c>
      <c r="H1608" t="str">
        <f t="shared" si="25"/>
        <v>Q2</v>
      </c>
    </row>
    <row r="1609" spans="1:8">
      <c r="A1609">
        <v>732573</v>
      </c>
      <c r="B1609" t="s">
        <v>1433</v>
      </c>
      <c r="C1609">
        <v>107</v>
      </c>
      <c r="D1609">
        <v>3.9046412673300099</v>
      </c>
      <c r="E1609">
        <v>417.796615604311</v>
      </c>
      <c r="F1609">
        <v>0.91791129001918703</v>
      </c>
      <c r="G1609">
        <v>0.93954328279598198</v>
      </c>
      <c r="H1609" t="str">
        <f t="shared" si="25"/>
        <v>Q4</v>
      </c>
    </row>
    <row r="1610" spans="1:8">
      <c r="A1610">
        <v>554772</v>
      </c>
      <c r="B1610" t="s">
        <v>631</v>
      </c>
      <c r="C1610">
        <v>516</v>
      </c>
      <c r="D1610">
        <v>0.80952240197464498</v>
      </c>
      <c r="E1610">
        <v>417.71355941891699</v>
      </c>
      <c r="F1610">
        <v>0.98927805575410999</v>
      </c>
      <c r="G1610">
        <v>0.939505661938979</v>
      </c>
      <c r="H1610" t="str">
        <f t="shared" si="25"/>
        <v>Q2</v>
      </c>
    </row>
    <row r="1611" spans="1:8">
      <c r="A1611">
        <v>770336</v>
      </c>
      <c r="B1611" t="s">
        <v>4618</v>
      </c>
      <c r="C1611">
        <v>64</v>
      </c>
      <c r="D1611">
        <v>6.5247351070865998</v>
      </c>
      <c r="E1611">
        <v>417.58304685354199</v>
      </c>
      <c r="F1611">
        <v>0.86633309506790601</v>
      </c>
      <c r="G1611">
        <v>0.93946804108197601</v>
      </c>
      <c r="H1611" t="str">
        <f t="shared" si="25"/>
        <v>Q3</v>
      </c>
    </row>
    <row r="1612" spans="1:8">
      <c r="A1612">
        <v>677172</v>
      </c>
      <c r="B1612" t="s">
        <v>2589</v>
      </c>
      <c r="C1612">
        <v>170</v>
      </c>
      <c r="D1612">
        <v>2.4546360418967499</v>
      </c>
      <c r="E1612">
        <v>417.28812712244701</v>
      </c>
      <c r="F1612">
        <v>0.95018998532786603</v>
      </c>
      <c r="G1612">
        <v>0.93943042022497303</v>
      </c>
      <c r="H1612" t="str">
        <f t="shared" si="25"/>
        <v>Q2</v>
      </c>
    </row>
    <row r="1613" spans="1:8">
      <c r="A1613">
        <v>719128</v>
      </c>
      <c r="B1613" t="s">
        <v>2327</v>
      </c>
      <c r="C1613">
        <v>105</v>
      </c>
      <c r="D1613">
        <v>3.9722195445072099</v>
      </c>
      <c r="E1613">
        <v>417.08305217325699</v>
      </c>
      <c r="F1613">
        <v>0.91618073059704297</v>
      </c>
      <c r="G1613">
        <v>0.93939279936797004</v>
      </c>
      <c r="H1613" t="str">
        <f t="shared" si="25"/>
        <v>Q4</v>
      </c>
    </row>
    <row r="1614" spans="1:8">
      <c r="A1614">
        <v>770315</v>
      </c>
      <c r="B1614" t="s">
        <v>255</v>
      </c>
      <c r="C1614">
        <v>256</v>
      </c>
      <c r="D1614">
        <v>1.6289061870338599</v>
      </c>
      <c r="E1614">
        <v>416.99998388066899</v>
      </c>
      <c r="F1614">
        <v>0.96994093525450498</v>
      </c>
      <c r="G1614">
        <v>0.93935517851096695</v>
      </c>
      <c r="H1614" t="str">
        <f t="shared" si="25"/>
        <v>Q2</v>
      </c>
    </row>
    <row r="1615" spans="1:8">
      <c r="A1615">
        <v>717884</v>
      </c>
      <c r="B1615" t="s">
        <v>1257</v>
      </c>
      <c r="C1615">
        <v>291</v>
      </c>
      <c r="D1615">
        <v>1.43171991077588</v>
      </c>
      <c r="E1615">
        <v>416.63049403577998</v>
      </c>
      <c r="F1615">
        <v>0.97475640495090499</v>
      </c>
      <c r="G1615">
        <v>0.93931755765396296</v>
      </c>
      <c r="H1615" t="str">
        <f t="shared" si="25"/>
        <v>Q2</v>
      </c>
    </row>
    <row r="1616" spans="1:8">
      <c r="A1616">
        <v>611221</v>
      </c>
      <c r="B1616" t="s">
        <v>549</v>
      </c>
      <c r="C1616">
        <v>255</v>
      </c>
      <c r="D1616">
        <v>1.6329012281608299</v>
      </c>
      <c r="E1616">
        <v>416.38981318101298</v>
      </c>
      <c r="F1616">
        <v>0.96982807268349602</v>
      </c>
      <c r="G1616">
        <v>0.93927993679695998</v>
      </c>
      <c r="H1616" t="str">
        <f t="shared" si="25"/>
        <v>Q2</v>
      </c>
    </row>
    <row r="1617" spans="1:8">
      <c r="A1617">
        <v>670691</v>
      </c>
      <c r="B1617" t="s">
        <v>3705</v>
      </c>
      <c r="C1617">
        <v>42</v>
      </c>
      <c r="D1617">
        <v>9.9069412265505097</v>
      </c>
      <c r="E1617">
        <v>416.09153151512101</v>
      </c>
      <c r="F1617">
        <v>0.81103043527331597</v>
      </c>
      <c r="G1617">
        <v>0.939242315939957</v>
      </c>
      <c r="H1617" t="str">
        <f t="shared" si="25"/>
        <v>Q3</v>
      </c>
    </row>
    <row r="1618" spans="1:8">
      <c r="A1618">
        <v>758397</v>
      </c>
      <c r="B1618" t="s">
        <v>212</v>
      </c>
      <c r="C1618">
        <v>318</v>
      </c>
      <c r="D1618">
        <v>1.3076910342722401</v>
      </c>
      <c r="E1618">
        <v>415.84574889857299</v>
      </c>
      <c r="F1618">
        <v>0.97784131522516105</v>
      </c>
      <c r="G1618">
        <v>0.93920469508295401</v>
      </c>
      <c r="H1618" t="str">
        <f t="shared" si="25"/>
        <v>Q2</v>
      </c>
    </row>
    <row r="1619" spans="1:8">
      <c r="A1619">
        <v>754356</v>
      </c>
      <c r="B1619" t="s">
        <v>493</v>
      </c>
      <c r="C1619">
        <v>178</v>
      </c>
      <c r="D1619">
        <v>2.3360502809348902</v>
      </c>
      <c r="E1619">
        <v>415.81695000641002</v>
      </c>
      <c r="F1619">
        <v>0.95274820360407797</v>
      </c>
      <c r="G1619">
        <v>0.93916707422595103</v>
      </c>
      <c r="H1619" t="str">
        <f t="shared" si="25"/>
        <v>Q2</v>
      </c>
    </row>
    <row r="1620" spans="1:8">
      <c r="A1620">
        <v>746648</v>
      </c>
      <c r="B1620" t="s">
        <v>3865</v>
      </c>
      <c r="C1620">
        <v>192</v>
      </c>
      <c r="D1620">
        <v>2.16520119671865</v>
      </c>
      <c r="E1620">
        <v>415.71862976998102</v>
      </c>
      <c r="F1620">
        <v>0.95688649787442204</v>
      </c>
      <c r="G1620">
        <v>0.93912945336894804</v>
      </c>
      <c r="H1620" t="str">
        <f t="shared" si="25"/>
        <v>Q2</v>
      </c>
    </row>
    <row r="1621" spans="1:8">
      <c r="A1621">
        <v>725662</v>
      </c>
      <c r="B1621" t="s">
        <v>4165</v>
      </c>
      <c r="C1621">
        <v>207</v>
      </c>
      <c r="D1621">
        <v>2.0073200540014202</v>
      </c>
      <c r="E1621">
        <v>415.51525117829402</v>
      </c>
      <c r="F1621">
        <v>0.96083668785974896</v>
      </c>
      <c r="G1621">
        <v>0.93909183251194495</v>
      </c>
      <c r="H1621" t="str">
        <f t="shared" si="25"/>
        <v>Q2</v>
      </c>
    </row>
    <row r="1622" spans="1:8">
      <c r="A1622">
        <v>706654</v>
      </c>
      <c r="B1622" t="s">
        <v>817</v>
      </c>
      <c r="C1622">
        <v>179</v>
      </c>
      <c r="D1622">
        <v>2.3162863349968701</v>
      </c>
      <c r="E1622">
        <v>414.61525396443898</v>
      </c>
      <c r="F1622">
        <v>0.95308679131710605</v>
      </c>
      <c r="G1622">
        <v>0.93905421165494196</v>
      </c>
      <c r="H1622" t="str">
        <f t="shared" si="25"/>
        <v>Q2</v>
      </c>
    </row>
    <row r="1623" spans="1:8">
      <c r="A1623">
        <v>685602</v>
      </c>
      <c r="B1623" t="s">
        <v>4927</v>
      </c>
      <c r="C1623">
        <v>196</v>
      </c>
      <c r="D1623">
        <v>2.11231398861855</v>
      </c>
      <c r="E1623">
        <v>414.01354176923599</v>
      </c>
      <c r="F1623">
        <v>0.95790226101350595</v>
      </c>
      <c r="G1623">
        <v>0.93901659079793798</v>
      </c>
      <c r="H1623" t="str">
        <f t="shared" si="25"/>
        <v>Q2</v>
      </c>
    </row>
    <row r="1624" spans="1:8">
      <c r="A1624">
        <v>798779</v>
      </c>
      <c r="B1624" t="s">
        <v>2192</v>
      </c>
      <c r="C1624">
        <v>140</v>
      </c>
      <c r="D1624">
        <v>2.9564527269186698</v>
      </c>
      <c r="E1624">
        <v>413.903381768614</v>
      </c>
      <c r="F1624">
        <v>0.93852751965689796</v>
      </c>
      <c r="G1624">
        <v>0.93897896994093499</v>
      </c>
      <c r="H1624" t="str">
        <f t="shared" si="25"/>
        <v>Q4</v>
      </c>
    </row>
    <row r="1625" spans="1:8">
      <c r="A1625">
        <v>640539</v>
      </c>
      <c r="B1625" t="s">
        <v>3682</v>
      </c>
      <c r="C1625">
        <v>128</v>
      </c>
      <c r="D1625">
        <v>3.2317928467819002</v>
      </c>
      <c r="E1625">
        <v>413.66948438808299</v>
      </c>
      <c r="F1625">
        <v>0.93201911139535798</v>
      </c>
      <c r="G1625">
        <v>0.93894134908393201</v>
      </c>
      <c r="H1625" t="str">
        <f t="shared" si="25"/>
        <v>Q4</v>
      </c>
    </row>
    <row r="1626" spans="1:8">
      <c r="A1626">
        <v>554792</v>
      </c>
      <c r="B1626" t="s">
        <v>542</v>
      </c>
      <c r="C1626">
        <v>169</v>
      </c>
      <c r="D1626">
        <v>2.4450305942997099</v>
      </c>
      <c r="E1626">
        <v>413.21017043665103</v>
      </c>
      <c r="F1626">
        <v>0.94973853504382799</v>
      </c>
      <c r="G1626">
        <v>0.93890372822692902</v>
      </c>
      <c r="H1626" t="str">
        <f t="shared" si="25"/>
        <v>Q2</v>
      </c>
    </row>
    <row r="1627" spans="1:8">
      <c r="A1627">
        <v>762188</v>
      </c>
      <c r="B1627" t="s">
        <v>3448</v>
      </c>
      <c r="C1627">
        <v>198</v>
      </c>
      <c r="D1627">
        <v>2.08675739557642</v>
      </c>
      <c r="E1627">
        <v>413.17796432413201</v>
      </c>
      <c r="F1627">
        <v>0.95846657386855305</v>
      </c>
      <c r="G1627">
        <v>0.93886610736992604</v>
      </c>
      <c r="H1627" t="str">
        <f t="shared" si="25"/>
        <v>Q2</v>
      </c>
    </row>
    <row r="1628" spans="1:8">
      <c r="A1628">
        <v>717464</v>
      </c>
      <c r="B1628" t="s">
        <v>3421</v>
      </c>
      <c r="C1628">
        <v>514</v>
      </c>
      <c r="D1628">
        <v>0.80321835900261895</v>
      </c>
      <c r="E1628">
        <v>412.85423652734602</v>
      </c>
      <c r="F1628">
        <v>0.98920281404010402</v>
      </c>
      <c r="G1628">
        <v>0.93882848651292305</v>
      </c>
      <c r="H1628" t="str">
        <f t="shared" si="25"/>
        <v>Q2</v>
      </c>
    </row>
    <row r="1629" spans="1:8">
      <c r="A1629">
        <v>599489</v>
      </c>
      <c r="B1629" t="s">
        <v>4689</v>
      </c>
      <c r="C1629">
        <v>118</v>
      </c>
      <c r="D1629">
        <v>3.4959638270281101</v>
      </c>
      <c r="E1629">
        <v>412.52373158931698</v>
      </c>
      <c r="F1629">
        <v>0.92592453256085205</v>
      </c>
      <c r="G1629">
        <v>0.93879086565591996</v>
      </c>
      <c r="H1629" t="str">
        <f t="shared" si="25"/>
        <v>Q4</v>
      </c>
    </row>
    <row r="1630" spans="1:8">
      <c r="A1630">
        <v>606800</v>
      </c>
      <c r="B1630" t="s">
        <v>993</v>
      </c>
      <c r="C1630">
        <v>61</v>
      </c>
      <c r="D1630">
        <v>6.7607670411711798</v>
      </c>
      <c r="E1630">
        <v>412.40678951144201</v>
      </c>
      <c r="F1630">
        <v>0.86035137880440904</v>
      </c>
      <c r="G1630">
        <v>0.93875324479891697</v>
      </c>
      <c r="H1630" t="str">
        <f t="shared" si="25"/>
        <v>Q3</v>
      </c>
    </row>
    <row r="1631" spans="1:8">
      <c r="A1631">
        <v>784926</v>
      </c>
      <c r="B1631" t="s">
        <v>2682</v>
      </c>
      <c r="C1631">
        <v>198</v>
      </c>
      <c r="D1631">
        <v>2.0827682768794298</v>
      </c>
      <c r="E1631">
        <v>412.38811882212798</v>
      </c>
      <c r="F1631">
        <v>0.95846657386855305</v>
      </c>
      <c r="G1631">
        <v>0.93871562394191299</v>
      </c>
      <c r="H1631" t="str">
        <f t="shared" si="25"/>
        <v>Q2</v>
      </c>
    </row>
    <row r="1632" spans="1:8">
      <c r="A1632">
        <v>685604</v>
      </c>
      <c r="B1632" t="s">
        <v>4926</v>
      </c>
      <c r="C1632">
        <v>172</v>
      </c>
      <c r="D1632">
        <v>2.39753646364565</v>
      </c>
      <c r="E1632">
        <v>412.37627174705301</v>
      </c>
      <c r="F1632">
        <v>0.95082953989691898</v>
      </c>
      <c r="G1632">
        <v>0.93867800308491001</v>
      </c>
      <c r="H1632" t="str">
        <f t="shared" si="25"/>
        <v>Q2</v>
      </c>
    </row>
    <row r="1633" spans="1:8">
      <c r="A1633">
        <v>659550</v>
      </c>
      <c r="B1633" t="s">
        <v>2692</v>
      </c>
      <c r="C1633">
        <v>123</v>
      </c>
      <c r="D1633">
        <v>3.3517707108966701</v>
      </c>
      <c r="E1633">
        <v>412.26779744029</v>
      </c>
      <c r="F1633">
        <v>0.92893420112110203</v>
      </c>
      <c r="G1633">
        <v>0.93864038222790702</v>
      </c>
      <c r="H1633" t="str">
        <f t="shared" si="25"/>
        <v>Q4</v>
      </c>
    </row>
    <row r="1634" spans="1:8">
      <c r="A1634">
        <v>777434</v>
      </c>
      <c r="B1634" t="s">
        <v>3607</v>
      </c>
      <c r="C1634">
        <v>102</v>
      </c>
      <c r="D1634">
        <v>4.0384513691213799</v>
      </c>
      <c r="E1634">
        <v>411.92203965038101</v>
      </c>
      <c r="F1634">
        <v>0.91332154546480604</v>
      </c>
      <c r="G1634">
        <v>0.93860276137090404</v>
      </c>
      <c r="H1634" t="str">
        <f t="shared" si="25"/>
        <v>Q4</v>
      </c>
    </row>
    <row r="1635" spans="1:8">
      <c r="A1635">
        <v>781683</v>
      </c>
      <c r="B1635" t="s">
        <v>4003</v>
      </c>
      <c r="C1635">
        <v>109</v>
      </c>
      <c r="D1635">
        <v>3.77812159991046</v>
      </c>
      <c r="E1635">
        <v>411.81525439024</v>
      </c>
      <c r="F1635">
        <v>0.91922802001429604</v>
      </c>
      <c r="G1635">
        <v>0.93856514051390105</v>
      </c>
      <c r="H1635" t="str">
        <f t="shared" si="25"/>
        <v>Q4</v>
      </c>
    </row>
    <row r="1636" spans="1:8">
      <c r="A1636">
        <v>726768</v>
      </c>
      <c r="B1636" t="s">
        <v>5012</v>
      </c>
      <c r="C1636">
        <v>67</v>
      </c>
      <c r="D1636">
        <v>6.14421962301678</v>
      </c>
      <c r="E1636">
        <v>411.66271474212402</v>
      </c>
      <c r="F1636">
        <v>0.87118618562130801</v>
      </c>
      <c r="G1636">
        <v>0.93852751965689796</v>
      </c>
      <c r="H1636" t="str">
        <f t="shared" si="25"/>
        <v>Q3</v>
      </c>
    </row>
    <row r="1637" spans="1:8">
      <c r="A1637">
        <v>750397</v>
      </c>
      <c r="B1637" t="s">
        <v>3406</v>
      </c>
      <c r="C1637">
        <v>107</v>
      </c>
      <c r="D1637">
        <v>3.8449232214104301</v>
      </c>
      <c r="E1637">
        <v>411.40678469091699</v>
      </c>
      <c r="F1637">
        <v>0.91791129001918703</v>
      </c>
      <c r="G1637">
        <v>0.93848989879989497</v>
      </c>
      <c r="H1637" t="str">
        <f t="shared" si="25"/>
        <v>Q4</v>
      </c>
    </row>
    <row r="1638" spans="1:8">
      <c r="A1638">
        <v>794971</v>
      </c>
      <c r="B1638" t="s">
        <v>351</v>
      </c>
      <c r="C1638">
        <v>55</v>
      </c>
      <c r="D1638">
        <v>7.4761479347944304</v>
      </c>
      <c r="E1638">
        <v>411.18813641369297</v>
      </c>
      <c r="F1638">
        <v>0.84763552913735396</v>
      </c>
      <c r="G1638">
        <v>0.93845227794289199</v>
      </c>
      <c r="H1638" t="str">
        <f t="shared" si="25"/>
        <v>Q3</v>
      </c>
    </row>
    <row r="1639" spans="1:8">
      <c r="A1639">
        <v>770321</v>
      </c>
      <c r="B1639" t="s">
        <v>2577</v>
      </c>
      <c r="C1639">
        <v>89</v>
      </c>
      <c r="D1639">
        <v>4.6175015253130001</v>
      </c>
      <c r="E1639">
        <v>410.95763575285702</v>
      </c>
      <c r="F1639">
        <v>0.90135811293781298</v>
      </c>
      <c r="G1639">
        <v>0.938414657085888</v>
      </c>
      <c r="H1639" t="str">
        <f t="shared" si="25"/>
        <v>Q4</v>
      </c>
    </row>
    <row r="1640" spans="1:8">
      <c r="A1640">
        <v>700370</v>
      </c>
      <c r="B1640" t="s">
        <v>889</v>
      </c>
      <c r="C1640">
        <v>265</v>
      </c>
      <c r="D1640">
        <v>1.5507066894744399</v>
      </c>
      <c r="E1640">
        <v>410.93727271072601</v>
      </c>
      <c r="F1640">
        <v>0.97114480267860503</v>
      </c>
      <c r="G1640">
        <v>0.93837703622888502</v>
      </c>
      <c r="H1640" t="str">
        <f t="shared" si="25"/>
        <v>Q2</v>
      </c>
    </row>
    <row r="1641" spans="1:8">
      <c r="A1641">
        <v>714996</v>
      </c>
      <c r="B1641" t="s">
        <v>1566</v>
      </c>
      <c r="C1641">
        <v>105</v>
      </c>
      <c r="D1641">
        <v>3.9135916052120101</v>
      </c>
      <c r="E1641">
        <v>410.92711854726099</v>
      </c>
      <c r="F1641">
        <v>0.91618073059704297</v>
      </c>
      <c r="G1641">
        <v>0.93833941537188204</v>
      </c>
      <c r="H1641" t="str">
        <f t="shared" si="25"/>
        <v>Q4</v>
      </c>
    </row>
    <row r="1642" spans="1:8">
      <c r="A1642">
        <v>653145</v>
      </c>
      <c r="B1642" t="s">
        <v>135</v>
      </c>
      <c r="C1642">
        <v>83</v>
      </c>
      <c r="D1642">
        <v>4.9503778634839701</v>
      </c>
      <c r="E1642">
        <v>410.88136266917002</v>
      </c>
      <c r="F1642">
        <v>0.89530115496031004</v>
      </c>
      <c r="G1642">
        <v>0.93830179451487905</v>
      </c>
      <c r="H1642" t="str">
        <f t="shared" si="25"/>
        <v>Q3</v>
      </c>
    </row>
    <row r="1643" spans="1:8">
      <c r="A1643">
        <v>825733</v>
      </c>
      <c r="B1643" t="s">
        <v>3849</v>
      </c>
      <c r="C1643">
        <v>133</v>
      </c>
      <c r="D1643">
        <v>3.0864151656851702</v>
      </c>
      <c r="E1643">
        <v>410.49321703612799</v>
      </c>
      <c r="F1643">
        <v>0.93476543395658596</v>
      </c>
      <c r="G1643">
        <v>0.93826417365787596</v>
      </c>
      <c r="H1643" t="str">
        <f t="shared" si="25"/>
        <v>Q4</v>
      </c>
    </row>
    <row r="1644" spans="1:8">
      <c r="A1644">
        <v>773980</v>
      </c>
      <c r="B1644" t="s">
        <v>4273</v>
      </c>
      <c r="C1644">
        <v>249</v>
      </c>
      <c r="D1644">
        <v>1.648274404123</v>
      </c>
      <c r="E1644">
        <v>410.420326626627</v>
      </c>
      <c r="F1644">
        <v>0.96873706783040503</v>
      </c>
      <c r="G1644">
        <v>0.93822655280087297</v>
      </c>
      <c r="H1644" t="str">
        <f t="shared" si="25"/>
        <v>Q2</v>
      </c>
    </row>
    <row r="1645" spans="1:8">
      <c r="A1645">
        <v>600043</v>
      </c>
      <c r="B1645" t="s">
        <v>413</v>
      </c>
      <c r="C1645">
        <v>151</v>
      </c>
      <c r="D1645">
        <v>2.7179705694515199</v>
      </c>
      <c r="E1645">
        <v>410.413555987179</v>
      </c>
      <c r="F1645">
        <v>0.94323012678228801</v>
      </c>
      <c r="G1645">
        <v>0.93818893194386999</v>
      </c>
      <c r="H1645" t="str">
        <f t="shared" si="25"/>
        <v>Q4</v>
      </c>
    </row>
    <row r="1646" spans="1:8">
      <c r="A1646">
        <v>683995</v>
      </c>
      <c r="B1646" t="s">
        <v>3773</v>
      </c>
      <c r="C1646">
        <v>159</v>
      </c>
      <c r="D1646">
        <v>2.58086554577234</v>
      </c>
      <c r="E1646">
        <v>410.35762177780299</v>
      </c>
      <c r="F1646">
        <v>0.94597644934351599</v>
      </c>
      <c r="G1646">
        <v>0.938151311086867</v>
      </c>
      <c r="H1646" t="str">
        <f t="shared" si="25"/>
        <v>Q4</v>
      </c>
    </row>
    <row r="1647" spans="1:8">
      <c r="A1647">
        <v>828114</v>
      </c>
      <c r="B1647" t="s">
        <v>1632</v>
      </c>
      <c r="C1647">
        <v>139</v>
      </c>
      <c r="D1647">
        <v>2.9494451908327699</v>
      </c>
      <c r="E1647">
        <v>409.97288152575499</v>
      </c>
      <c r="F1647">
        <v>0.93796320680185097</v>
      </c>
      <c r="G1647">
        <v>0.93811369022986302</v>
      </c>
      <c r="H1647" t="str">
        <f t="shared" si="25"/>
        <v>Q4</v>
      </c>
    </row>
    <row r="1648" spans="1:8">
      <c r="A1648">
        <v>635957</v>
      </c>
      <c r="B1648" t="s">
        <v>1136</v>
      </c>
      <c r="C1648">
        <v>103</v>
      </c>
      <c r="D1648">
        <v>3.9763205549091998</v>
      </c>
      <c r="E1648">
        <v>409.56101715564699</v>
      </c>
      <c r="F1648">
        <v>0.91433730860388995</v>
      </c>
      <c r="G1648">
        <v>0.93807606937286003</v>
      </c>
      <c r="H1648" t="str">
        <f t="shared" si="25"/>
        <v>Q4</v>
      </c>
    </row>
    <row r="1649" spans="1:8">
      <c r="A1649">
        <v>811200</v>
      </c>
      <c r="B1649" t="s">
        <v>465</v>
      </c>
      <c r="C1649">
        <v>85</v>
      </c>
      <c r="D1649">
        <v>4.8170887766515502</v>
      </c>
      <c r="E1649">
        <v>409.45254601538198</v>
      </c>
      <c r="F1649">
        <v>0.89721981866746903</v>
      </c>
      <c r="G1649">
        <v>0.93803844851585705</v>
      </c>
      <c r="H1649" t="str">
        <f t="shared" si="25"/>
        <v>Q4</v>
      </c>
    </row>
    <row r="1650" spans="1:8">
      <c r="A1650">
        <v>774450</v>
      </c>
      <c r="B1650" t="s">
        <v>666</v>
      </c>
      <c r="C1650">
        <v>96</v>
      </c>
      <c r="D1650">
        <v>4.2612641613231999</v>
      </c>
      <c r="E1650">
        <v>409.08135948702699</v>
      </c>
      <c r="F1650">
        <v>0.90812986719837496</v>
      </c>
      <c r="G1650">
        <v>0.93800082765885395</v>
      </c>
      <c r="H1650" t="str">
        <f t="shared" si="25"/>
        <v>Q4</v>
      </c>
    </row>
    <row r="1651" spans="1:8">
      <c r="A1651">
        <v>725327</v>
      </c>
      <c r="B1651" t="s">
        <v>3394</v>
      </c>
      <c r="C1651">
        <v>63</v>
      </c>
      <c r="D1651">
        <v>6.4816249150132403</v>
      </c>
      <c r="E1651">
        <v>408.34236964583403</v>
      </c>
      <c r="F1651">
        <v>0.86445205221775001</v>
      </c>
      <c r="G1651">
        <v>0.93796320680185097</v>
      </c>
      <c r="H1651" t="str">
        <f t="shared" si="25"/>
        <v>Q3</v>
      </c>
    </row>
    <row r="1652" spans="1:8">
      <c r="A1652">
        <v>832616</v>
      </c>
      <c r="B1652" t="s">
        <v>4402</v>
      </c>
      <c r="C1652">
        <v>98</v>
      </c>
      <c r="D1652">
        <v>4.1663265635012401</v>
      </c>
      <c r="E1652">
        <v>408.300003223121</v>
      </c>
      <c r="F1652">
        <v>0.90997328919152798</v>
      </c>
      <c r="G1652">
        <v>0.93792558594484798</v>
      </c>
      <c r="H1652" t="str">
        <f t="shared" si="25"/>
        <v>Q4</v>
      </c>
    </row>
    <row r="1653" spans="1:8">
      <c r="A1653">
        <v>787946</v>
      </c>
      <c r="B1653" t="s">
        <v>3280</v>
      </c>
      <c r="C1653">
        <v>252</v>
      </c>
      <c r="D1653">
        <v>1.6195116383540999</v>
      </c>
      <c r="E1653">
        <v>408.116932865232</v>
      </c>
      <c r="F1653">
        <v>0.96930138068545202</v>
      </c>
      <c r="G1653">
        <v>0.937887965087845</v>
      </c>
      <c r="H1653" t="str">
        <f t="shared" si="25"/>
        <v>Q2</v>
      </c>
    </row>
    <row r="1654" spans="1:8">
      <c r="A1654">
        <v>708466</v>
      </c>
      <c r="B1654" t="s">
        <v>317</v>
      </c>
      <c r="C1654">
        <v>213</v>
      </c>
      <c r="D1654">
        <v>1.9160260288963</v>
      </c>
      <c r="E1654">
        <v>408.11354415491201</v>
      </c>
      <c r="F1654">
        <v>0.96230390128287102</v>
      </c>
      <c r="G1654">
        <v>0.93785034423084201</v>
      </c>
      <c r="H1654" t="str">
        <f t="shared" si="25"/>
        <v>Q2</v>
      </c>
    </row>
    <row r="1655" spans="1:8">
      <c r="A1655">
        <v>681381</v>
      </c>
      <c r="B1655" t="s">
        <v>4792</v>
      </c>
      <c r="C1655">
        <v>274</v>
      </c>
      <c r="D1655">
        <v>1.4889768064769799</v>
      </c>
      <c r="E1655">
        <v>407.979644974694</v>
      </c>
      <c r="F1655">
        <v>0.97253677438772101</v>
      </c>
      <c r="G1655">
        <v>0.93781272337383803</v>
      </c>
      <c r="H1655" t="str">
        <f t="shared" si="25"/>
        <v>Q2</v>
      </c>
    </row>
    <row r="1656" spans="1:8">
      <c r="A1656">
        <v>740215</v>
      </c>
      <c r="B1656" t="s">
        <v>3413</v>
      </c>
      <c r="C1656">
        <v>65</v>
      </c>
      <c r="D1656">
        <v>6.2760625378443597</v>
      </c>
      <c r="E1656">
        <v>407.94406495988397</v>
      </c>
      <c r="F1656">
        <v>0.86802603363304598</v>
      </c>
      <c r="G1656">
        <v>0.93777510251683505</v>
      </c>
      <c r="H1656" t="str">
        <f t="shared" si="25"/>
        <v>Q3</v>
      </c>
    </row>
    <row r="1657" spans="1:8">
      <c r="A1657">
        <v>750777</v>
      </c>
      <c r="B1657" t="s">
        <v>257</v>
      </c>
      <c r="C1657">
        <v>64</v>
      </c>
      <c r="D1657">
        <v>6.3701800245326003</v>
      </c>
      <c r="E1657">
        <v>407.69152157008602</v>
      </c>
      <c r="F1657">
        <v>0.86633309506790601</v>
      </c>
      <c r="G1657">
        <v>0.93773748165983195</v>
      </c>
      <c r="H1657" t="str">
        <f t="shared" si="25"/>
        <v>Q3</v>
      </c>
    </row>
    <row r="1658" spans="1:8">
      <c r="A1658">
        <v>842605</v>
      </c>
      <c r="B1658" t="s">
        <v>1304</v>
      </c>
      <c r="C1658">
        <v>172</v>
      </c>
      <c r="D1658">
        <v>2.3695013837802201</v>
      </c>
      <c r="E1658">
        <v>407.55423801019799</v>
      </c>
      <c r="F1658">
        <v>0.95082953989691898</v>
      </c>
      <c r="G1658">
        <v>0.93769986080282897</v>
      </c>
      <c r="H1658" t="str">
        <f t="shared" si="25"/>
        <v>Q2</v>
      </c>
    </row>
    <row r="1659" spans="1:8">
      <c r="A1659">
        <v>750260</v>
      </c>
      <c r="B1659" t="s">
        <v>4797</v>
      </c>
      <c r="C1659">
        <v>131</v>
      </c>
      <c r="D1659">
        <v>3.10944489466439</v>
      </c>
      <c r="E1659">
        <v>407.33728120103501</v>
      </c>
      <c r="F1659">
        <v>0.93374967081750104</v>
      </c>
      <c r="G1659">
        <v>0.93766223994582598</v>
      </c>
      <c r="H1659" t="str">
        <f t="shared" si="25"/>
        <v>Q4</v>
      </c>
    </row>
    <row r="1660" spans="1:8">
      <c r="A1660">
        <v>831369</v>
      </c>
      <c r="B1660" t="s">
        <v>3139</v>
      </c>
      <c r="C1660">
        <v>67</v>
      </c>
      <c r="D1660">
        <v>6.0726283257132101</v>
      </c>
      <c r="E1660">
        <v>406.86609782278498</v>
      </c>
      <c r="F1660">
        <v>0.87118618562130801</v>
      </c>
      <c r="G1660">
        <v>0.937624619088823</v>
      </c>
      <c r="H1660" t="str">
        <f t="shared" si="25"/>
        <v>Q3</v>
      </c>
    </row>
    <row r="1661" spans="1:8">
      <c r="A1661">
        <v>680374</v>
      </c>
      <c r="B1661" t="s">
        <v>2764</v>
      </c>
      <c r="C1661">
        <v>170</v>
      </c>
      <c r="D1661">
        <v>2.3917746034395999</v>
      </c>
      <c r="E1661">
        <v>406.601682584733</v>
      </c>
      <c r="F1661">
        <v>0.95018998532786603</v>
      </c>
      <c r="G1661">
        <v>0.93758699823182001</v>
      </c>
      <c r="H1661" t="str">
        <f t="shared" si="25"/>
        <v>Q2</v>
      </c>
    </row>
    <row r="1662" spans="1:8">
      <c r="A1662">
        <v>779782</v>
      </c>
      <c r="B1662" t="s">
        <v>2186</v>
      </c>
      <c r="C1662">
        <v>56</v>
      </c>
      <c r="D1662">
        <v>7.2595641815236602</v>
      </c>
      <c r="E1662">
        <v>406.53559416532499</v>
      </c>
      <c r="F1662">
        <v>0.85004326398555397</v>
      </c>
      <c r="G1662">
        <v>0.93754937737481703</v>
      </c>
      <c r="H1662" t="str">
        <f t="shared" si="25"/>
        <v>Q3</v>
      </c>
    </row>
    <row r="1663" spans="1:8">
      <c r="A1663">
        <v>783552</v>
      </c>
      <c r="B1663" t="s">
        <v>2210</v>
      </c>
      <c r="C1663">
        <v>126</v>
      </c>
      <c r="D1663">
        <v>3.2206752278383801</v>
      </c>
      <c r="E1663">
        <v>405.805078707635</v>
      </c>
      <c r="F1663">
        <v>0.93096572739926997</v>
      </c>
      <c r="G1663">
        <v>0.93751175651781304</v>
      </c>
      <c r="H1663" t="str">
        <f t="shared" si="25"/>
        <v>Q4</v>
      </c>
    </row>
    <row r="1664" spans="1:8">
      <c r="A1664">
        <v>397068</v>
      </c>
      <c r="B1664" t="s">
        <v>4474</v>
      </c>
      <c r="C1664">
        <v>159</v>
      </c>
      <c r="D1664">
        <v>2.5522118733036101</v>
      </c>
      <c r="E1664">
        <v>405.80168785527297</v>
      </c>
      <c r="F1664">
        <v>0.94597644934351599</v>
      </c>
      <c r="G1664">
        <v>0.93747413566080995</v>
      </c>
      <c r="H1664" t="str">
        <f t="shared" si="25"/>
        <v>Q4</v>
      </c>
    </row>
    <row r="1665" spans="1:8">
      <c r="A1665">
        <v>506166</v>
      </c>
      <c r="B1665" t="s">
        <v>2971</v>
      </c>
      <c r="C1665">
        <v>289</v>
      </c>
      <c r="D1665">
        <v>1.40409355267728</v>
      </c>
      <c r="E1665">
        <v>405.78303672373301</v>
      </c>
      <c r="F1665">
        <v>0.97449305895188298</v>
      </c>
      <c r="G1665">
        <v>0.93743651480380696</v>
      </c>
      <c r="H1665" t="str">
        <f t="shared" si="25"/>
        <v>Q2</v>
      </c>
    </row>
    <row r="1666" spans="1:8">
      <c r="A1666">
        <v>736677</v>
      </c>
      <c r="B1666" t="s">
        <v>910</v>
      </c>
      <c r="C1666">
        <v>137</v>
      </c>
      <c r="D1666">
        <v>2.9614375802232802</v>
      </c>
      <c r="E1666">
        <v>405.71694849059003</v>
      </c>
      <c r="F1666">
        <v>0.93687220194875998</v>
      </c>
      <c r="G1666">
        <v>0.93739889394680398</v>
      </c>
      <c r="H1666" t="str">
        <f t="shared" si="25"/>
        <v>Q4</v>
      </c>
    </row>
    <row r="1667" spans="1:8">
      <c r="A1667">
        <v>685815</v>
      </c>
      <c r="B1667" t="s">
        <v>2342</v>
      </c>
      <c r="C1667">
        <v>125</v>
      </c>
      <c r="D1667">
        <v>3.2442304491996801</v>
      </c>
      <c r="E1667">
        <v>405.52880614996002</v>
      </c>
      <c r="F1667">
        <v>0.93028855197321403</v>
      </c>
      <c r="G1667">
        <v>0.93736127308980099</v>
      </c>
      <c r="H1667" t="str">
        <f t="shared" ref="H1667:H1730" si="26">IF(C1667&gt;$J$2,
   IF(D1667&gt;$J$3,"Q1","Q2"),
   IF(D1667&gt;$J$3,"Q3","Q4"))</f>
        <v>Q4</v>
      </c>
    </row>
    <row r="1668" spans="1:8">
      <c r="A1668">
        <v>717085</v>
      </c>
      <c r="B1668" t="s">
        <v>2979</v>
      </c>
      <c r="C1668">
        <v>62</v>
      </c>
      <c r="D1668">
        <v>6.54029527739171</v>
      </c>
      <c r="E1668">
        <v>405.498307198286</v>
      </c>
      <c r="F1668">
        <v>0.86238290508257798</v>
      </c>
      <c r="G1668">
        <v>0.93732365223279801</v>
      </c>
      <c r="H1668" t="str">
        <f t="shared" si="26"/>
        <v>Q3</v>
      </c>
    </row>
    <row r="1669" spans="1:8">
      <c r="A1669">
        <v>733801</v>
      </c>
      <c r="B1669" t="s">
        <v>2863</v>
      </c>
      <c r="C1669">
        <v>101</v>
      </c>
      <c r="D1669">
        <v>4.0139788448220397</v>
      </c>
      <c r="E1669">
        <v>405.41186332702603</v>
      </c>
      <c r="F1669">
        <v>0.91245626575373395</v>
      </c>
      <c r="G1669">
        <v>0.93728603137579503</v>
      </c>
      <c r="H1669" t="str">
        <f t="shared" si="26"/>
        <v>Q4</v>
      </c>
    </row>
    <row r="1670" spans="1:8">
      <c r="A1670">
        <v>793852</v>
      </c>
      <c r="B1670" t="s">
        <v>2572</v>
      </c>
      <c r="C1670">
        <v>83</v>
      </c>
      <c r="D1670">
        <v>4.8838677400925103</v>
      </c>
      <c r="E1670">
        <v>405.36102242767799</v>
      </c>
      <c r="F1670">
        <v>0.89530115496031004</v>
      </c>
      <c r="G1670">
        <v>0.93724841051879204</v>
      </c>
      <c r="H1670" t="str">
        <f t="shared" si="26"/>
        <v>Q4</v>
      </c>
    </row>
    <row r="1671" spans="1:8">
      <c r="A1671">
        <v>670752</v>
      </c>
      <c r="B1671" t="s">
        <v>3716</v>
      </c>
      <c r="C1671">
        <v>44</v>
      </c>
      <c r="D1671">
        <v>9.2044298706406895</v>
      </c>
      <c r="E1671">
        <v>404.99491430819</v>
      </c>
      <c r="F1671">
        <v>0.817689326962868</v>
      </c>
      <c r="G1671">
        <v>0.93721078966178895</v>
      </c>
      <c r="H1671" t="str">
        <f t="shared" si="26"/>
        <v>Q3</v>
      </c>
    </row>
    <row r="1672" spans="1:8">
      <c r="A1672">
        <v>563519</v>
      </c>
      <c r="B1672" t="s">
        <v>4419</v>
      </c>
      <c r="C1672">
        <v>162</v>
      </c>
      <c r="D1672">
        <v>2.49953966150865</v>
      </c>
      <c r="E1672">
        <v>404.92542516440199</v>
      </c>
      <c r="F1672">
        <v>0.94714269591061295</v>
      </c>
      <c r="G1672">
        <v>0.93717316880478496</v>
      </c>
      <c r="H1672" t="str">
        <f t="shared" si="26"/>
        <v>Q4</v>
      </c>
    </row>
    <row r="1673" spans="1:8">
      <c r="A1673">
        <v>794395</v>
      </c>
      <c r="B1673" t="s">
        <v>3785</v>
      </c>
      <c r="C1673">
        <v>86</v>
      </c>
      <c r="D1673">
        <v>4.7048680419318902</v>
      </c>
      <c r="E1673">
        <v>404.61865160614298</v>
      </c>
      <c r="F1673">
        <v>0.89864941123358799</v>
      </c>
      <c r="G1673">
        <v>0.93713554794778198</v>
      </c>
      <c r="H1673" t="str">
        <f t="shared" si="26"/>
        <v>Q4</v>
      </c>
    </row>
    <row r="1674" spans="1:8">
      <c r="A1674">
        <v>751998</v>
      </c>
      <c r="B1674" t="s">
        <v>3185</v>
      </c>
      <c r="C1674">
        <v>177</v>
      </c>
      <c r="D1674">
        <v>2.2839796939854198</v>
      </c>
      <c r="E1674">
        <v>404.26440583542001</v>
      </c>
      <c r="F1674">
        <v>0.95244723674805298</v>
      </c>
      <c r="G1674">
        <v>0.93709792709077899</v>
      </c>
      <c r="H1674" t="str">
        <f t="shared" si="26"/>
        <v>Q2</v>
      </c>
    </row>
    <row r="1675" spans="1:8">
      <c r="A1675">
        <v>757896</v>
      </c>
      <c r="B1675" t="s">
        <v>4900</v>
      </c>
      <c r="C1675">
        <v>170</v>
      </c>
      <c r="D1675">
        <v>2.3766101691324</v>
      </c>
      <c r="E1675">
        <v>404.02372875250899</v>
      </c>
      <c r="F1675">
        <v>0.95018998532786603</v>
      </c>
      <c r="G1675">
        <v>0.93706030623377601</v>
      </c>
      <c r="H1675" t="str">
        <f t="shared" si="26"/>
        <v>Q2</v>
      </c>
    </row>
    <row r="1676" spans="1:8">
      <c r="A1676">
        <v>469039</v>
      </c>
      <c r="B1676" t="s">
        <v>2083</v>
      </c>
      <c r="C1676">
        <v>201</v>
      </c>
      <c r="D1676">
        <v>2.0094104982282399</v>
      </c>
      <c r="E1676">
        <v>403.89151014387602</v>
      </c>
      <c r="F1676">
        <v>0.95936947443662801</v>
      </c>
      <c r="G1676">
        <v>0.93702268537677302</v>
      </c>
      <c r="H1676" t="str">
        <f t="shared" si="26"/>
        <v>Q2</v>
      </c>
    </row>
    <row r="1677" spans="1:8">
      <c r="A1677">
        <v>576050</v>
      </c>
      <c r="B1677" t="s">
        <v>335</v>
      </c>
      <c r="C1677">
        <v>128</v>
      </c>
      <c r="D1677">
        <v>3.15489936765516</v>
      </c>
      <c r="E1677">
        <v>403.82711905986099</v>
      </c>
      <c r="F1677">
        <v>0.93201911139535798</v>
      </c>
      <c r="G1677">
        <v>0.93698506451977004</v>
      </c>
      <c r="H1677" t="str">
        <f t="shared" si="26"/>
        <v>Q4</v>
      </c>
    </row>
    <row r="1678" spans="1:8">
      <c r="A1678">
        <v>706637</v>
      </c>
      <c r="B1678" t="s">
        <v>2930</v>
      </c>
      <c r="C1678">
        <v>98</v>
      </c>
      <c r="D1678">
        <v>4.1196299716830298</v>
      </c>
      <c r="E1678">
        <v>403.72373722493597</v>
      </c>
      <c r="F1678">
        <v>0.90997328919152798</v>
      </c>
      <c r="G1678">
        <v>0.93694744366276705</v>
      </c>
      <c r="H1678" t="str">
        <f t="shared" si="26"/>
        <v>Q4</v>
      </c>
    </row>
    <row r="1679" spans="1:8">
      <c r="A1679">
        <v>689021</v>
      </c>
      <c r="B1679" t="s">
        <v>2933</v>
      </c>
      <c r="C1679">
        <v>129</v>
      </c>
      <c r="D1679">
        <v>3.1290500067434301</v>
      </c>
      <c r="E1679">
        <v>403.64745086990303</v>
      </c>
      <c r="F1679">
        <v>0.93247056167939502</v>
      </c>
      <c r="G1679">
        <v>0.93690982280576396</v>
      </c>
      <c r="H1679" t="str">
        <f t="shared" si="26"/>
        <v>Q4</v>
      </c>
    </row>
    <row r="1680" spans="1:8">
      <c r="A1680">
        <v>796243</v>
      </c>
      <c r="B1680" t="s">
        <v>1712</v>
      </c>
      <c r="C1680">
        <v>127</v>
      </c>
      <c r="D1680">
        <v>3.1772453763236199</v>
      </c>
      <c r="E1680">
        <v>403.51016279309999</v>
      </c>
      <c r="F1680">
        <v>0.93141717768330801</v>
      </c>
      <c r="G1680">
        <v>0.93687220194875998</v>
      </c>
      <c r="H1680" t="str">
        <f t="shared" si="26"/>
        <v>Q4</v>
      </c>
    </row>
    <row r="1681" spans="1:8">
      <c r="A1681">
        <v>749819</v>
      </c>
      <c r="B1681" t="s">
        <v>2170</v>
      </c>
      <c r="C1681">
        <v>126</v>
      </c>
      <c r="D1681">
        <v>3.1992197354575498</v>
      </c>
      <c r="E1681">
        <v>403.10168666765099</v>
      </c>
      <c r="F1681">
        <v>0.93096572739926997</v>
      </c>
      <c r="G1681">
        <v>0.93683458109175699</v>
      </c>
      <c r="H1681" t="str">
        <f t="shared" si="26"/>
        <v>Q4</v>
      </c>
    </row>
    <row r="1682" spans="1:8">
      <c r="A1682">
        <v>789921</v>
      </c>
      <c r="B1682" t="s">
        <v>4023</v>
      </c>
      <c r="C1682">
        <v>129</v>
      </c>
      <c r="D1682">
        <v>3.12400468329127</v>
      </c>
      <c r="E1682">
        <v>402.99660414457298</v>
      </c>
      <c r="F1682">
        <v>0.93247056167939502</v>
      </c>
      <c r="G1682">
        <v>0.93679696023475401</v>
      </c>
      <c r="H1682" t="str">
        <f t="shared" si="26"/>
        <v>Q4</v>
      </c>
    </row>
    <row r="1683" spans="1:8">
      <c r="A1683">
        <v>770211</v>
      </c>
      <c r="B1683" t="s">
        <v>3881</v>
      </c>
      <c r="C1683">
        <v>157</v>
      </c>
      <c r="D1683">
        <v>2.5658641348646301</v>
      </c>
      <c r="E1683">
        <v>402.84066917374702</v>
      </c>
      <c r="F1683">
        <v>0.94518641134644998</v>
      </c>
      <c r="G1683">
        <v>0.93675933937775102</v>
      </c>
      <c r="H1683" t="str">
        <f t="shared" si="26"/>
        <v>Q4</v>
      </c>
    </row>
    <row r="1684" spans="1:8">
      <c r="A1684">
        <v>672598</v>
      </c>
      <c r="B1684" t="s">
        <v>3395</v>
      </c>
      <c r="C1684">
        <v>235</v>
      </c>
      <c r="D1684">
        <v>1.7122465978435999</v>
      </c>
      <c r="E1684">
        <v>402.37795049324598</v>
      </c>
      <c r="F1684">
        <v>0.96655505812422404</v>
      </c>
      <c r="G1684">
        <v>0.93672171852074804</v>
      </c>
      <c r="H1684" t="str">
        <f t="shared" si="26"/>
        <v>Q2</v>
      </c>
    </row>
    <row r="1685" spans="1:8">
      <c r="A1685">
        <v>714345</v>
      </c>
      <c r="B1685" t="s">
        <v>1686</v>
      </c>
      <c r="C1685">
        <v>217</v>
      </c>
      <c r="D1685">
        <v>1.8540341480021401</v>
      </c>
      <c r="E1685">
        <v>402.32541011646401</v>
      </c>
      <c r="F1685">
        <v>0.96320680185094598</v>
      </c>
      <c r="G1685">
        <v>0.93668409766374505</v>
      </c>
      <c r="H1685" t="str">
        <f t="shared" si="26"/>
        <v>Q2</v>
      </c>
    </row>
    <row r="1686" spans="1:8">
      <c r="A1686">
        <v>768879</v>
      </c>
      <c r="B1686" t="s">
        <v>4353</v>
      </c>
      <c r="C1686">
        <v>289</v>
      </c>
      <c r="D1686">
        <v>1.3914549968988501</v>
      </c>
      <c r="E1686">
        <v>402.13049410376698</v>
      </c>
      <c r="F1686">
        <v>0.97449305895188298</v>
      </c>
      <c r="G1686">
        <v>0.93664647680674196</v>
      </c>
      <c r="H1686" t="str">
        <f t="shared" si="26"/>
        <v>Q2</v>
      </c>
    </row>
    <row r="1687" spans="1:8">
      <c r="A1687">
        <v>740820</v>
      </c>
      <c r="B1687" t="s">
        <v>3796</v>
      </c>
      <c r="C1687">
        <v>103</v>
      </c>
      <c r="D1687">
        <v>3.90324178468255</v>
      </c>
      <c r="E1687">
        <v>402.03390382230299</v>
      </c>
      <c r="F1687">
        <v>0.91433730860388995</v>
      </c>
      <c r="G1687">
        <v>0.93660885594973897</v>
      </c>
      <c r="H1687" t="str">
        <f t="shared" si="26"/>
        <v>Q4</v>
      </c>
    </row>
    <row r="1688" spans="1:8">
      <c r="A1688">
        <v>741466</v>
      </c>
      <c r="B1688" t="s">
        <v>1905</v>
      </c>
      <c r="C1688">
        <v>231</v>
      </c>
      <c r="D1688">
        <v>1.74014962084785</v>
      </c>
      <c r="E1688">
        <v>401.97456241585297</v>
      </c>
      <c r="F1688">
        <v>0.96576502012715804</v>
      </c>
      <c r="G1688">
        <v>0.93657123509273499</v>
      </c>
      <c r="H1688" t="str">
        <f t="shared" si="26"/>
        <v>Q2</v>
      </c>
    </row>
    <row r="1689" spans="1:8">
      <c r="A1689">
        <v>723799</v>
      </c>
      <c r="B1689" t="s">
        <v>2713</v>
      </c>
      <c r="C1689">
        <v>77</v>
      </c>
      <c r="D1689">
        <v>5.2170593194760304</v>
      </c>
      <c r="E1689">
        <v>401.71356759965403</v>
      </c>
      <c r="F1689">
        <v>0.88740077498965397</v>
      </c>
      <c r="G1689">
        <v>0.936533614235732</v>
      </c>
      <c r="H1689" t="str">
        <f t="shared" si="26"/>
        <v>Q3</v>
      </c>
    </row>
    <row r="1690" spans="1:8">
      <c r="A1690">
        <v>613666</v>
      </c>
      <c r="B1690" t="s">
        <v>4516</v>
      </c>
      <c r="C1690">
        <v>77</v>
      </c>
      <c r="D1690">
        <v>5.2165530622005498</v>
      </c>
      <c r="E1690">
        <v>401.67458578944201</v>
      </c>
      <c r="F1690">
        <v>0.88740077498965397</v>
      </c>
      <c r="G1690">
        <v>0.93649599337872902</v>
      </c>
      <c r="H1690" t="str">
        <f t="shared" si="26"/>
        <v>Q3</v>
      </c>
    </row>
    <row r="1691" spans="1:8">
      <c r="A1691">
        <v>748695</v>
      </c>
      <c r="B1691" t="s">
        <v>186</v>
      </c>
      <c r="C1691">
        <v>35</v>
      </c>
      <c r="D1691">
        <v>11.473074895995</v>
      </c>
      <c r="E1691">
        <v>401.55762135982502</v>
      </c>
      <c r="F1691">
        <v>0.78420676423008895</v>
      </c>
      <c r="G1691">
        <v>0.93645837252172603</v>
      </c>
      <c r="H1691" t="str">
        <f t="shared" si="26"/>
        <v>Q3</v>
      </c>
    </row>
    <row r="1692" spans="1:8">
      <c r="A1692">
        <v>784677</v>
      </c>
      <c r="B1692" t="s">
        <v>1445</v>
      </c>
      <c r="C1692">
        <v>101</v>
      </c>
      <c r="D1692">
        <v>3.9731834268215902</v>
      </c>
      <c r="E1692">
        <v>401.29152610898001</v>
      </c>
      <c r="F1692">
        <v>0.91245626575373395</v>
      </c>
      <c r="G1692">
        <v>0.93642075166472305</v>
      </c>
      <c r="H1692" t="str">
        <f t="shared" si="26"/>
        <v>Q4</v>
      </c>
    </row>
    <row r="1693" spans="1:8">
      <c r="A1693">
        <v>824774</v>
      </c>
      <c r="B1693" t="s">
        <v>3687</v>
      </c>
      <c r="C1693">
        <v>66</v>
      </c>
      <c r="D1693">
        <v>6.0754493669127001</v>
      </c>
      <c r="E1693">
        <v>400.97965821623802</v>
      </c>
      <c r="F1693">
        <v>0.86968135134118396</v>
      </c>
      <c r="G1693">
        <v>0.93638313080771995</v>
      </c>
      <c r="H1693" t="str">
        <f t="shared" si="26"/>
        <v>Q3</v>
      </c>
    </row>
    <row r="1694" spans="1:8">
      <c r="A1694">
        <v>718370</v>
      </c>
      <c r="B1694" t="s">
        <v>2462</v>
      </c>
      <c r="C1694">
        <v>65</v>
      </c>
      <c r="D1694">
        <v>6.1641720682382601</v>
      </c>
      <c r="E1694">
        <v>400.67118443548702</v>
      </c>
      <c r="F1694">
        <v>0.86802603363304598</v>
      </c>
      <c r="G1694">
        <v>0.93634550995071697</v>
      </c>
      <c r="H1694" t="str">
        <f t="shared" si="26"/>
        <v>Q3</v>
      </c>
    </row>
    <row r="1695" spans="1:8">
      <c r="A1695">
        <v>740922</v>
      </c>
      <c r="B1695" t="s">
        <v>5065</v>
      </c>
      <c r="C1695">
        <v>172</v>
      </c>
      <c r="D1695">
        <v>2.3285869135369701</v>
      </c>
      <c r="E1695">
        <v>400.51694912836001</v>
      </c>
      <c r="F1695">
        <v>0.95082953989691898</v>
      </c>
      <c r="G1695">
        <v>0.93630788909371399</v>
      </c>
      <c r="H1695" t="str">
        <f t="shared" si="26"/>
        <v>Q2</v>
      </c>
    </row>
    <row r="1696" spans="1:8">
      <c r="A1696">
        <v>721511</v>
      </c>
      <c r="B1696" t="s">
        <v>872</v>
      </c>
      <c r="C1696">
        <v>167</v>
      </c>
      <c r="D1696">
        <v>2.3979701687341999</v>
      </c>
      <c r="E1696">
        <v>400.46101817861199</v>
      </c>
      <c r="F1696">
        <v>0.94898611790376597</v>
      </c>
      <c r="G1696">
        <v>0.93627026823671</v>
      </c>
      <c r="H1696" t="str">
        <f t="shared" si="26"/>
        <v>Q4</v>
      </c>
    </row>
    <row r="1697" spans="1:8">
      <c r="A1697">
        <v>738590</v>
      </c>
      <c r="B1697" t="s">
        <v>4332</v>
      </c>
      <c r="C1697">
        <v>62</v>
      </c>
      <c r="D1697">
        <v>6.4555767683252201</v>
      </c>
      <c r="E1697">
        <v>400.245759636164</v>
      </c>
      <c r="F1697">
        <v>0.86238290508257798</v>
      </c>
      <c r="G1697">
        <v>0.93623264737970702</v>
      </c>
      <c r="H1697" t="str">
        <f t="shared" si="26"/>
        <v>Q3</v>
      </c>
    </row>
    <row r="1698" spans="1:8">
      <c r="A1698">
        <v>556255</v>
      </c>
      <c r="B1698" t="s">
        <v>4476</v>
      </c>
      <c r="C1698">
        <v>277</v>
      </c>
      <c r="D1698">
        <v>1.4443064138750501</v>
      </c>
      <c r="E1698">
        <v>400.07287664338901</v>
      </c>
      <c r="F1698">
        <v>0.97291298295775197</v>
      </c>
      <c r="G1698">
        <v>0.93619502652270403</v>
      </c>
      <c r="H1698" t="str">
        <f t="shared" si="26"/>
        <v>Q2</v>
      </c>
    </row>
    <row r="1699" spans="1:8">
      <c r="A1699">
        <v>784267</v>
      </c>
      <c r="B1699" t="s">
        <v>4775</v>
      </c>
      <c r="C1699">
        <v>20</v>
      </c>
      <c r="D1699">
        <v>20.000932142138499</v>
      </c>
      <c r="E1699">
        <v>400.01864284277002</v>
      </c>
      <c r="F1699">
        <v>0.69196042285843296</v>
      </c>
      <c r="G1699">
        <v>0.93615740566570105</v>
      </c>
      <c r="H1699" t="str">
        <f t="shared" si="26"/>
        <v>Q3</v>
      </c>
    </row>
    <row r="1700" spans="1:8">
      <c r="A1700">
        <v>763727</v>
      </c>
      <c r="B1700" t="s">
        <v>2624</v>
      </c>
      <c r="C1700">
        <v>102</v>
      </c>
      <c r="D1700">
        <v>3.9196576968785002</v>
      </c>
      <c r="E1700">
        <v>399.80508508160699</v>
      </c>
      <c r="F1700">
        <v>0.91332154546480604</v>
      </c>
      <c r="G1700">
        <v>0.93611978480869795</v>
      </c>
      <c r="H1700" t="str">
        <f t="shared" si="26"/>
        <v>Q4</v>
      </c>
    </row>
    <row r="1701" spans="1:8">
      <c r="A1701">
        <v>805323</v>
      </c>
      <c r="B1701" t="s">
        <v>679</v>
      </c>
      <c r="C1701">
        <v>93</v>
      </c>
      <c r="D1701">
        <v>4.2988701212790703</v>
      </c>
      <c r="E1701">
        <v>399.79492127895401</v>
      </c>
      <c r="F1701">
        <v>0.90587261577818701</v>
      </c>
      <c r="G1701">
        <v>0.93608216395169497</v>
      </c>
      <c r="H1701" t="str">
        <f t="shared" si="26"/>
        <v>Q4</v>
      </c>
    </row>
    <row r="1702" spans="1:8">
      <c r="A1702">
        <v>622966</v>
      </c>
      <c r="B1702" t="s">
        <v>2652</v>
      </c>
      <c r="C1702">
        <v>130</v>
      </c>
      <c r="D1702">
        <v>3.0750195080271099</v>
      </c>
      <c r="E1702">
        <v>399.75253604352503</v>
      </c>
      <c r="F1702">
        <v>0.93307249539144499</v>
      </c>
      <c r="G1702">
        <v>0.93604454309469198</v>
      </c>
      <c r="H1702" t="str">
        <f t="shared" si="26"/>
        <v>Q4</v>
      </c>
    </row>
    <row r="1703" spans="1:8">
      <c r="A1703">
        <v>662418</v>
      </c>
      <c r="B1703" t="s">
        <v>3458</v>
      </c>
      <c r="C1703">
        <v>66</v>
      </c>
      <c r="D1703">
        <v>6.0556497763503696</v>
      </c>
      <c r="E1703">
        <v>399.67288523912401</v>
      </c>
      <c r="F1703">
        <v>0.86968135134118396</v>
      </c>
      <c r="G1703">
        <v>0.936006922237689</v>
      </c>
      <c r="H1703" t="str">
        <f t="shared" si="26"/>
        <v>Q3</v>
      </c>
    </row>
    <row r="1704" spans="1:8">
      <c r="A1704">
        <v>721990</v>
      </c>
      <c r="B1704" t="s">
        <v>4862</v>
      </c>
      <c r="C1704">
        <v>346</v>
      </c>
      <c r="D1704">
        <v>1.1538110843676599</v>
      </c>
      <c r="E1704">
        <v>399.21863519121001</v>
      </c>
      <c r="F1704">
        <v>0.98024905007336105</v>
      </c>
      <c r="G1704">
        <v>0.93596930138068501</v>
      </c>
      <c r="H1704" t="str">
        <f t="shared" si="26"/>
        <v>Q2</v>
      </c>
    </row>
    <row r="1705" spans="1:8">
      <c r="A1705">
        <v>681174</v>
      </c>
      <c r="B1705" t="s">
        <v>235</v>
      </c>
      <c r="C1705">
        <v>130</v>
      </c>
      <c r="D1705">
        <v>3.0699477774592498</v>
      </c>
      <c r="E1705">
        <v>399.09321106970299</v>
      </c>
      <c r="F1705">
        <v>0.93307249539144499</v>
      </c>
      <c r="G1705">
        <v>0.93593168052368203</v>
      </c>
      <c r="H1705" t="str">
        <f t="shared" si="26"/>
        <v>Q4</v>
      </c>
    </row>
    <row r="1706" spans="1:8">
      <c r="A1706">
        <v>678966</v>
      </c>
      <c r="B1706" t="s">
        <v>4223</v>
      </c>
      <c r="C1706">
        <v>123</v>
      </c>
      <c r="D1706">
        <v>3.23954795494797</v>
      </c>
      <c r="E1706">
        <v>398.46439845859999</v>
      </c>
      <c r="F1706">
        <v>0.92893420112110203</v>
      </c>
      <c r="G1706">
        <v>0.93589405966667905</v>
      </c>
      <c r="H1706" t="str">
        <f t="shared" si="26"/>
        <v>Q4</v>
      </c>
    </row>
    <row r="1707" spans="1:8">
      <c r="A1707">
        <v>722468</v>
      </c>
      <c r="B1707" t="s">
        <v>1792</v>
      </c>
      <c r="C1707">
        <v>68</v>
      </c>
      <c r="D1707">
        <v>5.8553090455996601</v>
      </c>
      <c r="E1707">
        <v>398.16101510077698</v>
      </c>
      <c r="F1707">
        <v>0.87223956961739602</v>
      </c>
      <c r="G1707">
        <v>0.93585643880967595</v>
      </c>
      <c r="H1707" t="str">
        <f t="shared" si="26"/>
        <v>Q3</v>
      </c>
    </row>
    <row r="1708" spans="1:8">
      <c r="A1708">
        <v>826500</v>
      </c>
      <c r="B1708" t="s">
        <v>2401</v>
      </c>
      <c r="C1708">
        <v>108</v>
      </c>
      <c r="D1708">
        <v>3.6841337327603898</v>
      </c>
      <c r="E1708">
        <v>397.88644313812301</v>
      </c>
      <c r="F1708">
        <v>0.91866370715924905</v>
      </c>
      <c r="G1708">
        <v>0.93581881795267297</v>
      </c>
      <c r="H1708" t="str">
        <f t="shared" si="26"/>
        <v>Q4</v>
      </c>
    </row>
    <row r="1709" spans="1:8">
      <c r="A1709">
        <v>744304</v>
      </c>
      <c r="B1709" t="s">
        <v>4547</v>
      </c>
      <c r="C1709">
        <v>139</v>
      </c>
      <c r="D1709">
        <v>2.8624557836396698</v>
      </c>
      <c r="E1709">
        <v>397.88135392591403</v>
      </c>
      <c r="F1709">
        <v>0.93796320680185097</v>
      </c>
      <c r="G1709">
        <v>0.93578119709566998</v>
      </c>
      <c r="H1709" t="str">
        <f t="shared" si="26"/>
        <v>Q4</v>
      </c>
    </row>
    <row r="1710" spans="1:8">
      <c r="A1710">
        <v>698270</v>
      </c>
      <c r="B1710" t="s">
        <v>1523</v>
      </c>
      <c r="C1710">
        <v>127</v>
      </c>
      <c r="D1710">
        <v>3.1325903589155302</v>
      </c>
      <c r="E1710">
        <v>397.83897558227198</v>
      </c>
      <c r="F1710">
        <v>0.93141717768330801</v>
      </c>
      <c r="G1710">
        <v>0.935743576238667</v>
      </c>
      <c r="H1710" t="str">
        <f t="shared" si="26"/>
        <v>Q4</v>
      </c>
    </row>
    <row r="1711" spans="1:8">
      <c r="A1711">
        <v>756322</v>
      </c>
      <c r="B1711" t="s">
        <v>2748</v>
      </c>
      <c r="C1711">
        <v>162</v>
      </c>
      <c r="D1711">
        <v>2.4544674621458</v>
      </c>
      <c r="E1711">
        <v>397.62372886762</v>
      </c>
      <c r="F1711">
        <v>0.94714269591061295</v>
      </c>
      <c r="G1711">
        <v>0.93570595538166401</v>
      </c>
      <c r="H1711" t="str">
        <f t="shared" si="26"/>
        <v>Q4</v>
      </c>
    </row>
    <row r="1712" spans="1:8">
      <c r="A1712">
        <v>745397</v>
      </c>
      <c r="B1712" t="s">
        <v>2291</v>
      </c>
      <c r="C1712">
        <v>129</v>
      </c>
      <c r="D1712">
        <v>3.0815266960755299</v>
      </c>
      <c r="E1712">
        <v>397.51694379374402</v>
      </c>
      <c r="F1712">
        <v>0.93247056167939502</v>
      </c>
      <c r="G1712">
        <v>0.93566833452466003</v>
      </c>
      <c r="H1712" t="str">
        <f t="shared" si="26"/>
        <v>Q4</v>
      </c>
    </row>
    <row r="1713" spans="1:8">
      <c r="A1713">
        <v>612358</v>
      </c>
      <c r="B1713" t="s">
        <v>1735</v>
      </c>
      <c r="C1713">
        <v>124</v>
      </c>
      <c r="D1713">
        <v>3.2035537897759401</v>
      </c>
      <c r="E1713">
        <v>397.24066993221601</v>
      </c>
      <c r="F1713">
        <v>0.92957375569015499</v>
      </c>
      <c r="G1713">
        <v>0.93563071366765704</v>
      </c>
      <c r="H1713" t="str">
        <f t="shared" si="26"/>
        <v>Q4</v>
      </c>
    </row>
    <row r="1714" spans="1:8">
      <c r="A1714">
        <v>516712</v>
      </c>
      <c r="B1714" t="s">
        <v>2347</v>
      </c>
      <c r="C1714">
        <v>198</v>
      </c>
      <c r="D1714">
        <v>2.0040317565541401</v>
      </c>
      <c r="E1714">
        <v>396.79828779771901</v>
      </c>
      <c r="F1714">
        <v>0.95846657386855305</v>
      </c>
      <c r="G1714">
        <v>0.93559309281065395</v>
      </c>
      <c r="H1714" t="str">
        <f t="shared" si="26"/>
        <v>Q2</v>
      </c>
    </row>
    <row r="1715" spans="1:8">
      <c r="A1715">
        <v>819143</v>
      </c>
      <c r="B1715" t="s">
        <v>2002</v>
      </c>
      <c r="C1715">
        <v>123</v>
      </c>
      <c r="D1715">
        <v>3.2257130505835101</v>
      </c>
      <c r="E1715">
        <v>396.76270522177202</v>
      </c>
      <c r="F1715">
        <v>0.92893420112110203</v>
      </c>
      <c r="G1715">
        <v>0.93555547195365096</v>
      </c>
      <c r="H1715" t="str">
        <f t="shared" si="26"/>
        <v>Q4</v>
      </c>
    </row>
    <row r="1716" spans="1:8">
      <c r="A1716">
        <v>710876</v>
      </c>
      <c r="B1716" t="s">
        <v>2526</v>
      </c>
      <c r="C1716">
        <v>103</v>
      </c>
      <c r="D1716">
        <v>3.8495310157248102</v>
      </c>
      <c r="E1716">
        <v>396.50169461965601</v>
      </c>
      <c r="F1716">
        <v>0.91433730860388995</v>
      </c>
      <c r="G1716">
        <v>0.93551785109664798</v>
      </c>
      <c r="H1716" t="str">
        <f t="shared" si="26"/>
        <v>Q4</v>
      </c>
    </row>
    <row r="1717" spans="1:8">
      <c r="A1717">
        <v>764387</v>
      </c>
      <c r="B1717" t="s">
        <v>1701</v>
      </c>
      <c r="C1717">
        <v>66</v>
      </c>
      <c r="D1717">
        <v>6.0061377106290896</v>
      </c>
      <c r="E1717">
        <v>396.40508890152</v>
      </c>
      <c r="F1717">
        <v>0.86968135134118396</v>
      </c>
      <c r="G1717">
        <v>0.93548023023964499</v>
      </c>
      <c r="H1717" t="str">
        <f t="shared" si="26"/>
        <v>Q3</v>
      </c>
    </row>
    <row r="1718" spans="1:8">
      <c r="A1718">
        <v>712230</v>
      </c>
      <c r="B1718" t="s">
        <v>854</v>
      </c>
      <c r="C1718">
        <v>43</v>
      </c>
      <c r="D1718">
        <v>9.2165157718713893</v>
      </c>
      <c r="E1718">
        <v>396.31017819047003</v>
      </c>
      <c r="F1718">
        <v>0.81437869154659304</v>
      </c>
      <c r="G1718">
        <v>0.93544260938264201</v>
      </c>
      <c r="H1718" t="str">
        <f t="shared" si="26"/>
        <v>Q3</v>
      </c>
    </row>
    <row r="1719" spans="1:8">
      <c r="A1719">
        <v>686265</v>
      </c>
      <c r="B1719" t="s">
        <v>1687</v>
      </c>
      <c r="C1719">
        <v>166</v>
      </c>
      <c r="D1719">
        <v>2.38732898226344</v>
      </c>
      <c r="E1719">
        <v>396.296611055732</v>
      </c>
      <c r="F1719">
        <v>0.94860990933373501</v>
      </c>
      <c r="G1719">
        <v>0.93540498852563903</v>
      </c>
      <c r="H1719" t="str">
        <f t="shared" si="26"/>
        <v>Q4</v>
      </c>
    </row>
    <row r="1720" spans="1:8">
      <c r="A1720">
        <v>711431</v>
      </c>
      <c r="B1720" t="s">
        <v>203</v>
      </c>
      <c r="C1720">
        <v>126</v>
      </c>
      <c r="D1720">
        <v>3.1437852538176001</v>
      </c>
      <c r="E1720">
        <v>396.11694198101799</v>
      </c>
      <c r="F1720">
        <v>0.93096572739926997</v>
      </c>
      <c r="G1720">
        <v>0.93536736766863504</v>
      </c>
      <c r="H1720" t="str">
        <f t="shared" si="26"/>
        <v>Q4</v>
      </c>
    </row>
    <row r="1721" spans="1:8">
      <c r="A1721">
        <v>752607</v>
      </c>
      <c r="B1721" t="s">
        <v>2558</v>
      </c>
      <c r="C1721">
        <v>93</v>
      </c>
      <c r="D1721">
        <v>4.2553672777308602</v>
      </c>
      <c r="E1721">
        <v>395.74915682897</v>
      </c>
      <c r="F1721">
        <v>0.90587261577818701</v>
      </c>
      <c r="G1721">
        <v>0.93532974681163195</v>
      </c>
      <c r="H1721" t="str">
        <f t="shared" si="26"/>
        <v>Q4</v>
      </c>
    </row>
    <row r="1722" spans="1:8">
      <c r="A1722">
        <v>709332</v>
      </c>
      <c r="B1722" t="s">
        <v>2712</v>
      </c>
      <c r="C1722">
        <v>80</v>
      </c>
      <c r="D1722">
        <v>4.9398940592072904</v>
      </c>
      <c r="E1722">
        <v>395.19152473658301</v>
      </c>
      <c r="F1722">
        <v>0.89150144840299494</v>
      </c>
      <c r="G1722">
        <v>0.93529212595462896</v>
      </c>
      <c r="H1722" t="str">
        <f t="shared" si="26"/>
        <v>Q3</v>
      </c>
    </row>
    <row r="1723" spans="1:8">
      <c r="A1723">
        <v>769965</v>
      </c>
      <c r="B1723" t="s">
        <v>941</v>
      </c>
      <c r="C1723">
        <v>95</v>
      </c>
      <c r="D1723">
        <v>4.1574487286178696</v>
      </c>
      <c r="E1723">
        <v>394.957629218698</v>
      </c>
      <c r="F1723">
        <v>0.90760317520033096</v>
      </c>
      <c r="G1723">
        <v>0.93525450509762598</v>
      </c>
      <c r="H1723" t="str">
        <f t="shared" si="26"/>
        <v>Q4</v>
      </c>
    </row>
    <row r="1724" spans="1:8">
      <c r="A1724">
        <v>720620</v>
      </c>
      <c r="B1724" t="s">
        <v>2694</v>
      </c>
      <c r="C1724">
        <v>130</v>
      </c>
      <c r="D1724">
        <v>3.0364928201127501</v>
      </c>
      <c r="E1724">
        <v>394.74406661465798</v>
      </c>
      <c r="F1724">
        <v>0.93307249539144499</v>
      </c>
      <c r="G1724">
        <v>0.93521688424062299</v>
      </c>
      <c r="H1724" t="str">
        <f t="shared" si="26"/>
        <v>Q4</v>
      </c>
    </row>
    <row r="1725" spans="1:8">
      <c r="A1725">
        <v>675069</v>
      </c>
      <c r="B1725" t="s">
        <v>1241</v>
      </c>
      <c r="C1725">
        <v>233</v>
      </c>
      <c r="D1725">
        <v>1.69308939988649</v>
      </c>
      <c r="E1725">
        <v>394.48983017355198</v>
      </c>
      <c r="F1725">
        <v>0.96614122869718999</v>
      </c>
      <c r="G1725">
        <v>0.93517926338362001</v>
      </c>
      <c r="H1725" t="str">
        <f t="shared" si="26"/>
        <v>Q2</v>
      </c>
    </row>
    <row r="1726" spans="1:8">
      <c r="A1726">
        <v>557599</v>
      </c>
      <c r="B1726" t="s">
        <v>150</v>
      </c>
      <c r="C1726">
        <v>247</v>
      </c>
      <c r="D1726">
        <v>1.5971247563025499</v>
      </c>
      <c r="E1726">
        <v>394.48981480673001</v>
      </c>
      <c r="F1726">
        <v>0.96828561754636799</v>
      </c>
      <c r="G1726">
        <v>0.93514164252661702</v>
      </c>
      <c r="H1726" t="str">
        <f t="shared" si="26"/>
        <v>Q2</v>
      </c>
    </row>
    <row r="1727" spans="1:8">
      <c r="A1727">
        <v>672127</v>
      </c>
      <c r="B1727" t="s">
        <v>5037</v>
      </c>
      <c r="C1727">
        <v>305</v>
      </c>
      <c r="D1727">
        <v>1.2934036784209899</v>
      </c>
      <c r="E1727">
        <v>394.48812191840301</v>
      </c>
      <c r="F1727">
        <v>0.97656220608705502</v>
      </c>
      <c r="G1727">
        <v>0.93510402166961404</v>
      </c>
      <c r="H1727" t="str">
        <f t="shared" si="26"/>
        <v>Q2</v>
      </c>
    </row>
    <row r="1728" spans="1:8">
      <c r="A1728">
        <v>705860</v>
      </c>
      <c r="B1728" t="s">
        <v>3517</v>
      </c>
      <c r="C1728">
        <v>42</v>
      </c>
      <c r="D1728">
        <v>9.3914045397901802</v>
      </c>
      <c r="E1728">
        <v>394.43899067118798</v>
      </c>
      <c r="F1728">
        <v>0.81103043527331597</v>
      </c>
      <c r="G1728">
        <v>0.93506640081261005</v>
      </c>
      <c r="H1728" t="str">
        <f t="shared" si="26"/>
        <v>Q3</v>
      </c>
    </row>
    <row r="1729" spans="1:8">
      <c r="A1729">
        <v>714459</v>
      </c>
      <c r="B1729" t="s">
        <v>2469</v>
      </c>
      <c r="C1729">
        <v>62</v>
      </c>
      <c r="D1729">
        <v>6.35989607882596</v>
      </c>
      <c r="E1729">
        <v>394.31355688720902</v>
      </c>
      <c r="F1729">
        <v>0.86238290508257798</v>
      </c>
      <c r="G1729">
        <v>0.93502877995560696</v>
      </c>
      <c r="H1729" t="str">
        <f t="shared" si="26"/>
        <v>Q3</v>
      </c>
    </row>
    <row r="1730" spans="1:8">
      <c r="A1730">
        <v>772033</v>
      </c>
      <c r="B1730" t="s">
        <v>1230</v>
      </c>
      <c r="C1730">
        <v>99</v>
      </c>
      <c r="D1730">
        <v>3.9801061586147601</v>
      </c>
      <c r="E1730">
        <v>394.03050970286102</v>
      </c>
      <c r="F1730">
        <v>0.91076332718859299</v>
      </c>
      <c r="G1730">
        <v>0.93499115909860397</v>
      </c>
      <c r="H1730" t="str">
        <f t="shared" si="26"/>
        <v>Q4</v>
      </c>
    </row>
    <row r="1731" spans="1:8">
      <c r="A1731">
        <v>712519</v>
      </c>
      <c r="B1731" t="s">
        <v>4608</v>
      </c>
      <c r="C1731">
        <v>96</v>
      </c>
      <c r="D1731">
        <v>4.1023305122507701</v>
      </c>
      <c r="E1731">
        <v>393.82372917607398</v>
      </c>
      <c r="F1731">
        <v>0.90812986719837496</v>
      </c>
      <c r="G1731">
        <v>0.93495353824160099</v>
      </c>
      <c r="H1731" t="str">
        <f t="shared" ref="H1731:H1794" si="27">IF(C1731&gt;$J$2,
   IF(D1731&gt;$J$3,"Q1","Q2"),
   IF(D1731&gt;$J$3,"Q3","Q4"))</f>
        <v>Q4</v>
      </c>
    </row>
    <row r="1732" spans="1:8">
      <c r="A1732">
        <v>688641</v>
      </c>
      <c r="B1732" t="s">
        <v>3371</v>
      </c>
      <c r="C1732">
        <v>71</v>
      </c>
      <c r="D1732">
        <v>5.5393173923374901</v>
      </c>
      <c r="E1732">
        <v>393.29153485596203</v>
      </c>
      <c r="F1732">
        <v>0.87799556073887397</v>
      </c>
      <c r="G1732">
        <v>0.93491591738459801</v>
      </c>
      <c r="H1732" t="str">
        <f t="shared" si="27"/>
        <v>Q3</v>
      </c>
    </row>
    <row r="1733" spans="1:8">
      <c r="A1733">
        <v>534164</v>
      </c>
      <c r="B1733" t="s">
        <v>3484</v>
      </c>
      <c r="C1733">
        <v>123</v>
      </c>
      <c r="D1733">
        <v>3.19575576520548</v>
      </c>
      <c r="E1733">
        <v>393.07795912027399</v>
      </c>
      <c r="F1733">
        <v>0.92893420112110203</v>
      </c>
      <c r="G1733">
        <v>0.93487829652759502</v>
      </c>
      <c r="H1733" t="str">
        <f t="shared" si="27"/>
        <v>Q4</v>
      </c>
    </row>
    <row r="1734" spans="1:8">
      <c r="A1734">
        <v>608458</v>
      </c>
      <c r="B1734" t="s">
        <v>448</v>
      </c>
      <c r="C1734">
        <v>244</v>
      </c>
      <c r="D1734">
        <v>1.6102805674518801</v>
      </c>
      <c r="E1734">
        <v>392.90845845825999</v>
      </c>
      <c r="F1734">
        <v>0.96783416726232996</v>
      </c>
      <c r="G1734">
        <v>0.93484067567059204</v>
      </c>
      <c r="H1734" t="str">
        <f t="shared" si="27"/>
        <v>Q2</v>
      </c>
    </row>
    <row r="1735" spans="1:8">
      <c r="A1735">
        <v>691255</v>
      </c>
      <c r="B1735" t="s">
        <v>1543</v>
      </c>
      <c r="C1735">
        <v>89</v>
      </c>
      <c r="D1735">
        <v>4.4127785684436196</v>
      </c>
      <c r="E1735">
        <v>392.737292591482</v>
      </c>
      <c r="F1735">
        <v>0.90135811293781298</v>
      </c>
      <c r="G1735">
        <v>0.93480305481358905</v>
      </c>
      <c r="H1735" t="str">
        <f t="shared" si="27"/>
        <v>Q4</v>
      </c>
    </row>
    <row r="1736" spans="1:8">
      <c r="A1736">
        <v>794053</v>
      </c>
      <c r="B1736" t="s">
        <v>5194</v>
      </c>
      <c r="C1736">
        <v>79</v>
      </c>
      <c r="D1736">
        <v>4.9712723097469196</v>
      </c>
      <c r="E1736">
        <v>392.730512470007</v>
      </c>
      <c r="F1736">
        <v>0.89022233926488803</v>
      </c>
      <c r="G1736">
        <v>0.93476543395658596</v>
      </c>
      <c r="H1736" t="str">
        <f t="shared" si="27"/>
        <v>Q3</v>
      </c>
    </row>
    <row r="1737" spans="1:8">
      <c r="A1737">
        <v>701509</v>
      </c>
      <c r="B1737" t="s">
        <v>820</v>
      </c>
      <c r="C1737">
        <v>60</v>
      </c>
      <c r="D1737">
        <v>6.5430508057276402</v>
      </c>
      <c r="E1737">
        <v>392.58304834365799</v>
      </c>
      <c r="F1737">
        <v>0.85805650652721899</v>
      </c>
      <c r="G1737">
        <v>0.93472781309958197</v>
      </c>
      <c r="H1737" t="str">
        <f t="shared" si="27"/>
        <v>Q3</v>
      </c>
    </row>
    <row r="1738" spans="1:8">
      <c r="A1738">
        <v>745091</v>
      </c>
      <c r="B1738" t="s">
        <v>2997</v>
      </c>
      <c r="C1738">
        <v>90</v>
      </c>
      <c r="D1738">
        <v>4.3611864911185396</v>
      </c>
      <c r="E1738">
        <v>392.50678420066799</v>
      </c>
      <c r="F1738">
        <v>0.90267484293292199</v>
      </c>
      <c r="G1738">
        <v>0.93469019224257899</v>
      </c>
      <c r="H1738" t="str">
        <f t="shared" si="27"/>
        <v>Q4</v>
      </c>
    </row>
    <row r="1739" spans="1:8">
      <c r="A1739">
        <v>814684</v>
      </c>
      <c r="B1739" t="s">
        <v>3230</v>
      </c>
      <c r="C1739">
        <v>132</v>
      </c>
      <c r="D1739">
        <v>2.9732151796589701</v>
      </c>
      <c r="E1739">
        <v>392.464403714985</v>
      </c>
      <c r="F1739">
        <v>0.93435160452955102</v>
      </c>
      <c r="G1739">
        <v>0.934652571385576</v>
      </c>
      <c r="H1739" t="str">
        <f t="shared" si="27"/>
        <v>Q4</v>
      </c>
    </row>
    <row r="1740" spans="1:8">
      <c r="A1740">
        <v>426019</v>
      </c>
      <c r="B1740" t="s">
        <v>1428</v>
      </c>
      <c r="C1740">
        <v>82</v>
      </c>
      <c r="D1740">
        <v>4.7840016212587004</v>
      </c>
      <c r="E1740">
        <v>392.28813294321299</v>
      </c>
      <c r="F1740">
        <v>0.894323012678229</v>
      </c>
      <c r="G1740">
        <v>0.93461495052857302</v>
      </c>
      <c r="H1740" t="str">
        <f t="shared" si="27"/>
        <v>Q4</v>
      </c>
    </row>
    <row r="1741" spans="1:8">
      <c r="A1741">
        <v>587137</v>
      </c>
      <c r="B1741" t="s">
        <v>2916</v>
      </c>
      <c r="C1741">
        <v>120</v>
      </c>
      <c r="D1741">
        <v>3.2673163828440002</v>
      </c>
      <c r="E1741">
        <v>392.07796594128001</v>
      </c>
      <c r="F1741">
        <v>0.92731650426996703</v>
      </c>
      <c r="G1741">
        <v>0.93457732967157003</v>
      </c>
      <c r="H1741" t="str">
        <f t="shared" si="27"/>
        <v>Q4</v>
      </c>
    </row>
    <row r="1742" spans="1:8">
      <c r="A1742">
        <v>682771</v>
      </c>
      <c r="B1742" t="s">
        <v>5241</v>
      </c>
      <c r="C1742">
        <v>124</v>
      </c>
      <c r="D1742">
        <v>3.16179600364018</v>
      </c>
      <c r="E1742">
        <v>392.06270445138199</v>
      </c>
      <c r="F1742">
        <v>0.92957375569015499</v>
      </c>
      <c r="G1742">
        <v>0.93453970881456705</v>
      </c>
      <c r="H1742" t="str">
        <f t="shared" si="27"/>
        <v>Q4</v>
      </c>
    </row>
    <row r="1743" spans="1:8">
      <c r="A1743">
        <v>775311</v>
      </c>
      <c r="B1743" t="s">
        <v>1548</v>
      </c>
      <c r="C1743">
        <v>166</v>
      </c>
      <c r="D1743">
        <v>2.3576373268053499</v>
      </c>
      <c r="E1743">
        <v>391.36779624968801</v>
      </c>
      <c r="F1743">
        <v>0.94860990933373501</v>
      </c>
      <c r="G1743">
        <v>0.93450208795756395</v>
      </c>
      <c r="H1743" t="str">
        <f t="shared" si="27"/>
        <v>Q4</v>
      </c>
    </row>
    <row r="1744" spans="1:8">
      <c r="A1744">
        <v>705974</v>
      </c>
      <c r="B1744" t="s">
        <v>3108</v>
      </c>
      <c r="C1744">
        <v>41</v>
      </c>
      <c r="D1744">
        <v>9.5430758486433707</v>
      </c>
      <c r="E1744">
        <v>391.266109794378</v>
      </c>
      <c r="F1744">
        <v>0.80787028328505295</v>
      </c>
      <c r="G1744">
        <v>0.93446446710056097</v>
      </c>
      <c r="H1744" t="str">
        <f t="shared" si="27"/>
        <v>Q3</v>
      </c>
    </row>
    <row r="1745" spans="1:8">
      <c r="A1745">
        <v>678342</v>
      </c>
      <c r="B1745" t="s">
        <v>2739</v>
      </c>
      <c r="C1745">
        <v>524</v>
      </c>
      <c r="D1745">
        <v>0.74658105697505905</v>
      </c>
      <c r="E1745">
        <v>391.20847385493101</v>
      </c>
      <c r="F1745">
        <v>0.98980474775215399</v>
      </c>
      <c r="G1745">
        <v>0.93442684624355699</v>
      </c>
      <c r="H1745" t="str">
        <f t="shared" si="27"/>
        <v>Q2</v>
      </c>
    </row>
    <row r="1746" spans="1:8">
      <c r="A1746">
        <v>721949</v>
      </c>
      <c r="B1746" t="s">
        <v>4531</v>
      </c>
      <c r="C1746">
        <v>166</v>
      </c>
      <c r="D1746">
        <v>2.35457417095102</v>
      </c>
      <c r="E1746">
        <v>390.85931237787003</v>
      </c>
      <c r="F1746">
        <v>0.94860990933373501</v>
      </c>
      <c r="G1746">
        <v>0.934389225386554</v>
      </c>
      <c r="H1746" t="str">
        <f t="shared" si="27"/>
        <v>Q4</v>
      </c>
    </row>
    <row r="1747" spans="1:8">
      <c r="A1747">
        <v>803993</v>
      </c>
      <c r="B1747" t="s">
        <v>1394</v>
      </c>
      <c r="C1747">
        <v>97</v>
      </c>
      <c r="D1747">
        <v>4.0293028309326804</v>
      </c>
      <c r="E1747">
        <v>390.84237460047001</v>
      </c>
      <c r="F1747">
        <v>0.909108009480456</v>
      </c>
      <c r="G1747">
        <v>0.93435160452955102</v>
      </c>
      <c r="H1747" t="str">
        <f t="shared" si="27"/>
        <v>Q4</v>
      </c>
    </row>
    <row r="1748" spans="1:8">
      <c r="A1748">
        <v>631902</v>
      </c>
      <c r="B1748" t="s">
        <v>2978</v>
      </c>
      <c r="C1748">
        <v>81</v>
      </c>
      <c r="D1748">
        <v>4.8244194162112697</v>
      </c>
      <c r="E1748">
        <v>390.777972713113</v>
      </c>
      <c r="F1748">
        <v>0.89293104096911302</v>
      </c>
      <c r="G1748">
        <v>0.93431398367254803</v>
      </c>
      <c r="H1748" t="str">
        <f t="shared" si="27"/>
        <v>Q4</v>
      </c>
    </row>
    <row r="1749" spans="1:8">
      <c r="A1749">
        <v>458239</v>
      </c>
      <c r="B1749" t="s">
        <v>4838</v>
      </c>
      <c r="C1749">
        <v>184</v>
      </c>
      <c r="D1749">
        <v>2.1201730877889902</v>
      </c>
      <c r="E1749">
        <v>390.11184815317398</v>
      </c>
      <c r="F1749">
        <v>0.95477972988224702</v>
      </c>
      <c r="G1749">
        <v>0.93427636281554505</v>
      </c>
      <c r="H1749" t="str">
        <f t="shared" si="27"/>
        <v>Q2</v>
      </c>
    </row>
    <row r="1750" spans="1:8">
      <c r="A1750">
        <v>699427</v>
      </c>
      <c r="B1750" t="s">
        <v>3652</v>
      </c>
      <c r="C1750">
        <v>80</v>
      </c>
      <c r="D1750">
        <v>4.8751272098161298</v>
      </c>
      <c r="E1750">
        <v>390.01017678529001</v>
      </c>
      <c r="F1750">
        <v>0.89150144840299494</v>
      </c>
      <c r="G1750">
        <v>0.93423874195854195</v>
      </c>
      <c r="H1750" t="str">
        <f t="shared" si="27"/>
        <v>Q4</v>
      </c>
    </row>
    <row r="1751" spans="1:8">
      <c r="A1751">
        <v>748025</v>
      </c>
      <c r="B1751" t="s">
        <v>401</v>
      </c>
      <c r="C1751">
        <v>130</v>
      </c>
      <c r="D1751">
        <v>2.9993219781093901</v>
      </c>
      <c r="E1751">
        <v>389.91185715422</v>
      </c>
      <c r="F1751">
        <v>0.93307249539144499</v>
      </c>
      <c r="G1751">
        <v>0.93420112110153897</v>
      </c>
      <c r="H1751" t="str">
        <f t="shared" si="27"/>
        <v>Q4</v>
      </c>
    </row>
    <row r="1752" spans="1:8">
      <c r="A1752">
        <v>589748</v>
      </c>
      <c r="B1752" t="s">
        <v>524</v>
      </c>
      <c r="C1752">
        <v>276</v>
      </c>
      <c r="D1752">
        <v>1.41196876841908</v>
      </c>
      <c r="E1752">
        <v>389.70338008366502</v>
      </c>
      <c r="F1752">
        <v>0.97272487867273605</v>
      </c>
      <c r="G1752">
        <v>0.93416350024453598</v>
      </c>
      <c r="H1752" t="str">
        <f t="shared" si="27"/>
        <v>Q2</v>
      </c>
    </row>
    <row r="1753" spans="1:8">
      <c r="A1753">
        <v>779622</v>
      </c>
      <c r="B1753" t="s">
        <v>1855</v>
      </c>
      <c r="C1753">
        <v>129</v>
      </c>
      <c r="D1753">
        <v>3.0193009680902301</v>
      </c>
      <c r="E1753">
        <v>389.48982488363998</v>
      </c>
      <c r="F1753">
        <v>0.93247056167939502</v>
      </c>
      <c r="G1753">
        <v>0.934125879387532</v>
      </c>
      <c r="H1753" t="str">
        <f t="shared" si="27"/>
        <v>Q4</v>
      </c>
    </row>
    <row r="1754" spans="1:8">
      <c r="A1754">
        <v>778075</v>
      </c>
      <c r="B1754" t="s">
        <v>857</v>
      </c>
      <c r="C1754">
        <v>81</v>
      </c>
      <c r="D1754">
        <v>4.8031388080598401</v>
      </c>
      <c r="E1754">
        <v>389.054243452847</v>
      </c>
      <c r="F1754">
        <v>0.89293104096911302</v>
      </c>
      <c r="G1754">
        <v>0.93408825853052901</v>
      </c>
      <c r="H1754" t="str">
        <f t="shared" si="27"/>
        <v>Q4</v>
      </c>
    </row>
    <row r="1755" spans="1:8">
      <c r="A1755">
        <v>822201</v>
      </c>
      <c r="B1755" t="s">
        <v>2814</v>
      </c>
      <c r="C1755">
        <v>43</v>
      </c>
      <c r="D1755">
        <v>9.0473789288554105</v>
      </c>
      <c r="E1755">
        <v>389.037293940783</v>
      </c>
      <c r="F1755">
        <v>0.81437869154659304</v>
      </c>
      <c r="G1755">
        <v>0.93405063767352603</v>
      </c>
      <c r="H1755" t="str">
        <f t="shared" si="27"/>
        <v>Q3</v>
      </c>
    </row>
    <row r="1756" spans="1:8">
      <c r="A1756">
        <v>733668</v>
      </c>
      <c r="B1756" t="s">
        <v>3506</v>
      </c>
      <c r="C1756">
        <v>53</v>
      </c>
      <c r="D1756">
        <v>7.3387909469739396</v>
      </c>
      <c r="E1756">
        <v>388.95592018961901</v>
      </c>
      <c r="F1756">
        <v>0.84218050487190099</v>
      </c>
      <c r="G1756">
        <v>0.93401301681652305</v>
      </c>
      <c r="H1756" t="str">
        <f t="shared" si="27"/>
        <v>Q3</v>
      </c>
    </row>
    <row r="1757" spans="1:8">
      <c r="A1757">
        <v>675657</v>
      </c>
      <c r="B1757" t="s">
        <v>1520</v>
      </c>
      <c r="C1757">
        <v>107</v>
      </c>
      <c r="D1757">
        <v>3.6347695191120999</v>
      </c>
      <c r="E1757">
        <v>388.92033854499499</v>
      </c>
      <c r="F1757">
        <v>0.91791129001918703</v>
      </c>
      <c r="G1757">
        <v>0.93397539595951995</v>
      </c>
      <c r="H1757" t="str">
        <f t="shared" si="27"/>
        <v>Q4</v>
      </c>
    </row>
    <row r="1758" spans="1:8">
      <c r="A1758">
        <v>764416</v>
      </c>
      <c r="B1758" t="s">
        <v>925</v>
      </c>
      <c r="C1758">
        <v>64</v>
      </c>
      <c r="D1758">
        <v>6.0702330156345896</v>
      </c>
      <c r="E1758">
        <v>388.494913000613</v>
      </c>
      <c r="F1758">
        <v>0.86633309506790601</v>
      </c>
      <c r="G1758">
        <v>0.93393777510251696</v>
      </c>
      <c r="H1758" t="str">
        <f t="shared" si="27"/>
        <v>Q3</v>
      </c>
    </row>
    <row r="1759" spans="1:8">
      <c r="A1759">
        <v>785665</v>
      </c>
      <c r="B1759" t="s">
        <v>3842</v>
      </c>
      <c r="C1759">
        <v>99</v>
      </c>
      <c r="D1759">
        <v>3.9235747297002801</v>
      </c>
      <c r="E1759">
        <v>388.43389824032801</v>
      </c>
      <c r="F1759">
        <v>0.91076332718859299</v>
      </c>
      <c r="G1759">
        <v>0.93390015424551398</v>
      </c>
      <c r="H1759" t="str">
        <f t="shared" si="27"/>
        <v>Q4</v>
      </c>
    </row>
    <row r="1760" spans="1:8">
      <c r="A1760">
        <v>798820</v>
      </c>
      <c r="B1760" t="s">
        <v>4050</v>
      </c>
      <c r="C1760">
        <v>161</v>
      </c>
      <c r="D1760">
        <v>2.41260132723436</v>
      </c>
      <c r="E1760">
        <v>388.42881368473201</v>
      </c>
      <c r="F1760">
        <v>0.94680410819758498</v>
      </c>
      <c r="G1760">
        <v>0.933862533388511</v>
      </c>
      <c r="H1760" t="str">
        <f t="shared" si="27"/>
        <v>Q4</v>
      </c>
    </row>
    <row r="1761" spans="1:8">
      <c r="A1761">
        <v>720426</v>
      </c>
      <c r="B1761" t="s">
        <v>1914</v>
      </c>
      <c r="C1761">
        <v>125</v>
      </c>
      <c r="D1761">
        <v>3.1054508075118101</v>
      </c>
      <c r="E1761">
        <v>388.18135093897598</v>
      </c>
      <c r="F1761">
        <v>0.93028855197321403</v>
      </c>
      <c r="G1761">
        <v>0.93382491253150701</v>
      </c>
      <c r="H1761" t="str">
        <f t="shared" si="27"/>
        <v>Q4</v>
      </c>
    </row>
    <row r="1762" spans="1:8">
      <c r="A1762">
        <v>734140</v>
      </c>
      <c r="B1762" t="s">
        <v>4174</v>
      </c>
      <c r="C1762">
        <v>123</v>
      </c>
      <c r="D1762">
        <v>3.1558494674178199</v>
      </c>
      <c r="E1762">
        <v>388.16948449239101</v>
      </c>
      <c r="F1762">
        <v>0.92893420112110203</v>
      </c>
      <c r="G1762">
        <v>0.93378729167450403</v>
      </c>
      <c r="H1762" t="str">
        <f t="shared" si="27"/>
        <v>Q4</v>
      </c>
    </row>
    <row r="1763" spans="1:8">
      <c r="A1763">
        <v>711028</v>
      </c>
      <c r="B1763" t="s">
        <v>1460</v>
      </c>
      <c r="C1763">
        <v>168</v>
      </c>
      <c r="D1763">
        <v>2.3092312350248299</v>
      </c>
      <c r="E1763">
        <v>387.95084748417099</v>
      </c>
      <c r="F1763">
        <v>0.94936232647379704</v>
      </c>
      <c r="G1763">
        <v>0.93374967081750104</v>
      </c>
      <c r="H1763" t="str">
        <f t="shared" si="27"/>
        <v>Q4</v>
      </c>
    </row>
    <row r="1764" spans="1:8">
      <c r="A1764">
        <v>747080</v>
      </c>
      <c r="B1764" t="s">
        <v>4994</v>
      </c>
      <c r="C1764">
        <v>68</v>
      </c>
      <c r="D1764">
        <v>5.7037638582508396</v>
      </c>
      <c r="E1764">
        <v>387.85594236105698</v>
      </c>
      <c r="F1764">
        <v>0.87223956961739602</v>
      </c>
      <c r="G1764">
        <v>0.93371204996049795</v>
      </c>
      <c r="H1764" t="str">
        <f t="shared" si="27"/>
        <v>Q3</v>
      </c>
    </row>
    <row r="1765" spans="1:8">
      <c r="A1765">
        <v>720906</v>
      </c>
      <c r="B1765" t="s">
        <v>1909</v>
      </c>
      <c r="C1765">
        <v>35</v>
      </c>
      <c r="D1765">
        <v>11.075641661882401</v>
      </c>
      <c r="E1765">
        <v>387.64745816588402</v>
      </c>
      <c r="F1765">
        <v>0.78420676423008895</v>
      </c>
      <c r="G1765">
        <v>0.93367442910349496</v>
      </c>
      <c r="H1765" t="str">
        <f t="shared" si="27"/>
        <v>Q3</v>
      </c>
    </row>
    <row r="1766" spans="1:8">
      <c r="A1766">
        <v>413707</v>
      </c>
      <c r="B1766" t="s">
        <v>1688</v>
      </c>
      <c r="C1766">
        <v>130</v>
      </c>
      <c r="D1766">
        <v>2.9804953907688101</v>
      </c>
      <c r="E1766">
        <v>387.464400799945</v>
      </c>
      <c r="F1766">
        <v>0.93307249539144499</v>
      </c>
      <c r="G1766">
        <v>0.93363680824649198</v>
      </c>
      <c r="H1766" t="str">
        <f t="shared" si="27"/>
        <v>Q4</v>
      </c>
    </row>
    <row r="1767" spans="1:8">
      <c r="A1767">
        <v>687635</v>
      </c>
      <c r="B1767" t="s">
        <v>4410</v>
      </c>
      <c r="C1767">
        <v>247</v>
      </c>
      <c r="D1767">
        <v>1.5679269316436599</v>
      </c>
      <c r="E1767">
        <v>387.277952115983</v>
      </c>
      <c r="F1767">
        <v>0.96828561754636799</v>
      </c>
      <c r="G1767">
        <v>0.93359918738948899</v>
      </c>
      <c r="H1767" t="str">
        <f t="shared" si="27"/>
        <v>Q2</v>
      </c>
    </row>
    <row r="1768" spans="1:8">
      <c r="A1768">
        <v>790663</v>
      </c>
      <c r="B1768" t="s">
        <v>4219</v>
      </c>
      <c r="C1768">
        <v>84</v>
      </c>
      <c r="D1768">
        <v>4.6046207304157001</v>
      </c>
      <c r="E1768">
        <v>386.78814135491803</v>
      </c>
      <c r="F1768">
        <v>0.89639215981340103</v>
      </c>
      <c r="G1768">
        <v>0.93356156653248601</v>
      </c>
      <c r="H1768" t="str">
        <f t="shared" si="27"/>
        <v>Q4</v>
      </c>
    </row>
    <row r="1769" spans="1:8">
      <c r="A1769">
        <v>768912</v>
      </c>
      <c r="B1769" t="s">
        <v>2822</v>
      </c>
      <c r="C1769">
        <v>240</v>
      </c>
      <c r="D1769">
        <v>1.6110168859207401</v>
      </c>
      <c r="E1769">
        <v>386.64405262097699</v>
      </c>
      <c r="F1769">
        <v>0.96723223355027999</v>
      </c>
      <c r="G1769">
        <v>0.93352394567548203</v>
      </c>
      <c r="H1769" t="str">
        <f t="shared" si="27"/>
        <v>Q2</v>
      </c>
    </row>
    <row r="1770" spans="1:8">
      <c r="A1770">
        <v>695887</v>
      </c>
      <c r="B1770" t="s">
        <v>4386</v>
      </c>
      <c r="C1770">
        <v>137</v>
      </c>
      <c r="D1770">
        <v>2.8194605583583301</v>
      </c>
      <c r="E1770">
        <v>386.26609649509197</v>
      </c>
      <c r="F1770">
        <v>0.93687220194875998</v>
      </c>
      <c r="G1770">
        <v>0.93348632481847904</v>
      </c>
      <c r="H1770" t="str">
        <f t="shared" si="27"/>
        <v>Q4</v>
      </c>
    </row>
    <row r="1771" spans="1:8">
      <c r="A1771">
        <v>578317</v>
      </c>
      <c r="B1771" t="s">
        <v>3535</v>
      </c>
      <c r="C1771">
        <v>92</v>
      </c>
      <c r="D1771">
        <v>4.1984340337955404</v>
      </c>
      <c r="E1771">
        <v>386.25593110918999</v>
      </c>
      <c r="F1771">
        <v>0.90429253978405599</v>
      </c>
      <c r="G1771">
        <v>0.93344870396147595</v>
      </c>
      <c r="H1771" t="str">
        <f t="shared" si="27"/>
        <v>Q4</v>
      </c>
    </row>
    <row r="1772" spans="1:8">
      <c r="A1772">
        <v>743205</v>
      </c>
      <c r="B1772" t="s">
        <v>1316</v>
      </c>
      <c r="C1772">
        <v>192</v>
      </c>
      <c r="D1772">
        <v>2.0117495681915898</v>
      </c>
      <c r="E1772">
        <v>386.25591709278501</v>
      </c>
      <c r="F1772">
        <v>0.95688649787442204</v>
      </c>
      <c r="G1772">
        <v>0.93341108310447296</v>
      </c>
      <c r="H1772" t="str">
        <f t="shared" si="27"/>
        <v>Q2</v>
      </c>
    </row>
    <row r="1773" spans="1:8">
      <c r="A1773">
        <v>682289</v>
      </c>
      <c r="B1773" t="s">
        <v>3877</v>
      </c>
      <c r="C1773">
        <v>67</v>
      </c>
      <c r="D1773">
        <v>5.76471049727789</v>
      </c>
      <c r="E1773">
        <v>386.23560331761797</v>
      </c>
      <c r="F1773">
        <v>0.87118618562130801</v>
      </c>
      <c r="G1773">
        <v>0.93337346224746998</v>
      </c>
      <c r="H1773" t="str">
        <f t="shared" si="27"/>
        <v>Q3</v>
      </c>
    </row>
    <row r="1774" spans="1:8">
      <c r="A1774">
        <v>736917</v>
      </c>
      <c r="B1774" t="s">
        <v>3576</v>
      </c>
      <c r="C1774">
        <v>127</v>
      </c>
      <c r="D1774">
        <v>3.04094483034583</v>
      </c>
      <c r="E1774">
        <v>386.19999345392</v>
      </c>
      <c r="F1774">
        <v>0.93141717768330801</v>
      </c>
      <c r="G1774">
        <v>0.93333584139046699</v>
      </c>
      <c r="H1774" t="str">
        <f t="shared" si="27"/>
        <v>Q4</v>
      </c>
    </row>
    <row r="1775" spans="1:8">
      <c r="A1775">
        <v>637515</v>
      </c>
      <c r="B1775" t="s">
        <v>3126</v>
      </c>
      <c r="C1775">
        <v>178</v>
      </c>
      <c r="D1775">
        <v>2.16951052229224</v>
      </c>
      <c r="E1775">
        <v>386.172872968018</v>
      </c>
      <c r="F1775">
        <v>0.95274820360407797</v>
      </c>
      <c r="G1775">
        <v>0.93329822053346401</v>
      </c>
      <c r="H1775" t="str">
        <f t="shared" si="27"/>
        <v>Q2</v>
      </c>
    </row>
    <row r="1776" spans="1:8">
      <c r="A1776">
        <v>743644</v>
      </c>
      <c r="B1776" t="s">
        <v>2569</v>
      </c>
      <c r="C1776">
        <v>178</v>
      </c>
      <c r="D1776">
        <v>2.1693201238561501</v>
      </c>
      <c r="E1776">
        <v>386.13898204639599</v>
      </c>
      <c r="F1776">
        <v>0.95274820360407797</v>
      </c>
      <c r="G1776">
        <v>0.93326059967646102</v>
      </c>
      <c r="H1776" t="str">
        <f t="shared" si="27"/>
        <v>Q2</v>
      </c>
    </row>
    <row r="1777" spans="1:8">
      <c r="A1777">
        <v>711685</v>
      </c>
      <c r="B1777" t="s">
        <v>959</v>
      </c>
      <c r="C1777">
        <v>239</v>
      </c>
      <c r="D1777">
        <v>1.61553783513699</v>
      </c>
      <c r="E1777">
        <v>386.113542597741</v>
      </c>
      <c r="F1777">
        <v>0.96700650840826197</v>
      </c>
      <c r="G1777">
        <v>0.93322297881945704</v>
      </c>
      <c r="H1777" t="str">
        <f t="shared" si="27"/>
        <v>Q2</v>
      </c>
    </row>
    <row r="1778" spans="1:8">
      <c r="A1778">
        <v>762600</v>
      </c>
      <c r="B1778" t="s">
        <v>1144</v>
      </c>
      <c r="C1778">
        <v>136</v>
      </c>
      <c r="D1778">
        <v>2.8389456527828099</v>
      </c>
      <c r="E1778">
        <v>386.09660877846198</v>
      </c>
      <c r="F1778">
        <v>0.93630788909371399</v>
      </c>
      <c r="G1778">
        <v>0.93318535796245405</v>
      </c>
      <c r="H1778" t="str">
        <f t="shared" si="27"/>
        <v>Q4</v>
      </c>
    </row>
    <row r="1779" spans="1:8">
      <c r="A1779">
        <v>726226</v>
      </c>
      <c r="B1779" t="s">
        <v>1699</v>
      </c>
      <c r="C1779">
        <v>124</v>
      </c>
      <c r="D1779">
        <v>3.1125888649013702</v>
      </c>
      <c r="E1779">
        <v>385.96101924777003</v>
      </c>
      <c r="F1779">
        <v>0.92957375569015499</v>
      </c>
      <c r="G1779">
        <v>0.93314773710545096</v>
      </c>
      <c r="H1779" t="str">
        <f t="shared" si="27"/>
        <v>Q4</v>
      </c>
    </row>
    <row r="1780" spans="1:8">
      <c r="A1780">
        <v>774879</v>
      </c>
      <c r="B1780" t="s">
        <v>2718</v>
      </c>
      <c r="C1780">
        <v>155</v>
      </c>
      <c r="D1780">
        <v>2.48938217909346</v>
      </c>
      <c r="E1780">
        <v>385.85423775948601</v>
      </c>
      <c r="F1780">
        <v>0.94454685677739703</v>
      </c>
      <c r="G1780">
        <v>0.93311011624844797</v>
      </c>
      <c r="H1780" t="str">
        <f t="shared" si="27"/>
        <v>Q4</v>
      </c>
    </row>
    <row r="1781" spans="1:8">
      <c r="A1781">
        <v>729004</v>
      </c>
      <c r="B1781" t="s">
        <v>419</v>
      </c>
      <c r="C1781">
        <v>131</v>
      </c>
      <c r="D1781">
        <v>2.9444430016322398</v>
      </c>
      <c r="E1781">
        <v>385.72203321382398</v>
      </c>
      <c r="F1781">
        <v>0.93374967081750104</v>
      </c>
      <c r="G1781">
        <v>0.93307249539144499</v>
      </c>
      <c r="H1781" t="str">
        <f t="shared" si="27"/>
        <v>Q4</v>
      </c>
    </row>
    <row r="1782" spans="1:8">
      <c r="A1782">
        <v>767834</v>
      </c>
      <c r="B1782" t="s">
        <v>4695</v>
      </c>
      <c r="C1782">
        <v>482</v>
      </c>
      <c r="D1782">
        <v>0.79995780222937196</v>
      </c>
      <c r="E1782">
        <v>385.57966067455698</v>
      </c>
      <c r="F1782">
        <v>0.98803656747300705</v>
      </c>
      <c r="G1782">
        <v>0.933034874534442</v>
      </c>
      <c r="H1782" t="str">
        <f t="shared" si="27"/>
        <v>Q2</v>
      </c>
    </row>
    <row r="1783" spans="1:8">
      <c r="A1783">
        <v>779331</v>
      </c>
      <c r="B1783" t="s">
        <v>818</v>
      </c>
      <c r="C1783">
        <v>146</v>
      </c>
      <c r="D1783">
        <v>2.6402832110960999</v>
      </c>
      <c r="E1783">
        <v>385.48134882003097</v>
      </c>
      <c r="F1783">
        <v>0.94127384221812604</v>
      </c>
      <c r="G1783">
        <v>0.93299725367743902</v>
      </c>
      <c r="H1783" t="str">
        <f t="shared" si="27"/>
        <v>Q4</v>
      </c>
    </row>
    <row r="1784" spans="1:8">
      <c r="A1784">
        <v>852940</v>
      </c>
      <c r="B1784" t="s">
        <v>5084</v>
      </c>
      <c r="C1784">
        <v>81</v>
      </c>
      <c r="D1784">
        <v>4.7588827042483999</v>
      </c>
      <c r="E1784">
        <v>385.46949904412003</v>
      </c>
      <c r="F1784">
        <v>0.89293104096911302</v>
      </c>
      <c r="G1784">
        <v>0.93295963282043604</v>
      </c>
      <c r="H1784" t="str">
        <f t="shared" si="27"/>
        <v>Q4</v>
      </c>
    </row>
    <row r="1785" spans="1:8">
      <c r="A1785">
        <v>752193</v>
      </c>
      <c r="B1785" t="s">
        <v>452</v>
      </c>
      <c r="C1785">
        <v>143</v>
      </c>
      <c r="D1785">
        <v>2.69503377254245</v>
      </c>
      <c r="E1785">
        <v>385.38982947356999</v>
      </c>
      <c r="F1785">
        <v>0.940032353937023</v>
      </c>
      <c r="G1785">
        <v>0.93292201196343205</v>
      </c>
      <c r="H1785" t="str">
        <f t="shared" si="27"/>
        <v>Q4</v>
      </c>
    </row>
    <row r="1786" spans="1:8">
      <c r="A1786">
        <v>766441</v>
      </c>
      <c r="B1786" t="s">
        <v>3370</v>
      </c>
      <c r="C1786">
        <v>86</v>
      </c>
      <c r="D1786">
        <v>4.4805873791838797</v>
      </c>
      <c r="E1786">
        <v>385.33051460981397</v>
      </c>
      <c r="F1786">
        <v>0.89864941123358799</v>
      </c>
      <c r="G1786">
        <v>0.93288439110642896</v>
      </c>
      <c r="H1786" t="str">
        <f t="shared" si="27"/>
        <v>Q4</v>
      </c>
    </row>
    <row r="1787" spans="1:8">
      <c r="A1787">
        <v>772551</v>
      </c>
      <c r="B1787" t="s">
        <v>4879</v>
      </c>
      <c r="C1787">
        <v>160</v>
      </c>
      <c r="D1787">
        <v>2.4077860155375701</v>
      </c>
      <c r="E1787">
        <v>385.24576248601102</v>
      </c>
      <c r="F1787">
        <v>0.94646552048455701</v>
      </c>
      <c r="G1787">
        <v>0.93284677024942597</v>
      </c>
      <c r="H1787" t="str">
        <f t="shared" si="27"/>
        <v>Q4</v>
      </c>
    </row>
    <row r="1788" spans="1:8">
      <c r="A1788">
        <v>751788</v>
      </c>
      <c r="B1788" t="s">
        <v>686</v>
      </c>
      <c r="C1788">
        <v>81</v>
      </c>
      <c r="D1788">
        <v>4.7548441814235698</v>
      </c>
      <c r="E1788">
        <v>385.14237869530899</v>
      </c>
      <c r="F1788">
        <v>0.89293104096911302</v>
      </c>
      <c r="G1788">
        <v>0.93280914939242299</v>
      </c>
      <c r="H1788" t="str">
        <f t="shared" si="27"/>
        <v>Q4</v>
      </c>
    </row>
    <row r="1789" spans="1:8">
      <c r="A1789">
        <v>670485</v>
      </c>
      <c r="B1789" t="s">
        <v>3703</v>
      </c>
      <c r="C1789">
        <v>16</v>
      </c>
      <c r="D1789">
        <v>24.056991562247301</v>
      </c>
      <c r="E1789">
        <v>384.91186499595602</v>
      </c>
      <c r="F1789">
        <v>0.64756781159474797</v>
      </c>
      <c r="G1789">
        <v>0.93277152853542</v>
      </c>
      <c r="H1789" t="str">
        <f t="shared" si="27"/>
        <v>Q3</v>
      </c>
    </row>
    <row r="1790" spans="1:8">
      <c r="A1790">
        <v>497640</v>
      </c>
      <c r="B1790" t="s">
        <v>1210</v>
      </c>
      <c r="C1790">
        <v>63</v>
      </c>
      <c r="D1790">
        <v>6.1078019410608304</v>
      </c>
      <c r="E1790">
        <v>384.79152228683199</v>
      </c>
      <c r="F1790">
        <v>0.86445205221775001</v>
      </c>
      <c r="G1790">
        <v>0.93273390767841702</v>
      </c>
      <c r="H1790" t="str">
        <f t="shared" si="27"/>
        <v>Q3</v>
      </c>
    </row>
    <row r="1791" spans="1:8">
      <c r="A1791">
        <v>741862</v>
      </c>
      <c r="B1791" t="s">
        <v>4717</v>
      </c>
      <c r="C1791">
        <v>131</v>
      </c>
      <c r="D1791">
        <v>2.9355931650306899</v>
      </c>
      <c r="E1791">
        <v>384.56270461902</v>
      </c>
      <c r="F1791">
        <v>0.93374967081750104</v>
      </c>
      <c r="G1791">
        <v>0.93269628682141403</v>
      </c>
      <c r="H1791" t="str">
        <f t="shared" si="27"/>
        <v>Q4</v>
      </c>
    </row>
    <row r="1792" spans="1:8">
      <c r="A1792">
        <v>625179</v>
      </c>
      <c r="B1792" t="s">
        <v>1913</v>
      </c>
      <c r="C1792">
        <v>58</v>
      </c>
      <c r="D1792">
        <v>6.6250729984764396</v>
      </c>
      <c r="E1792">
        <v>384.25423391163298</v>
      </c>
      <c r="F1792">
        <v>0.853993453970881</v>
      </c>
      <c r="G1792">
        <v>0.93265866596441105</v>
      </c>
      <c r="H1792" t="str">
        <f t="shared" si="27"/>
        <v>Q3</v>
      </c>
    </row>
    <row r="1793" spans="1:8">
      <c r="A1793">
        <v>473954</v>
      </c>
      <c r="B1793" t="s">
        <v>3564</v>
      </c>
      <c r="C1793">
        <v>242</v>
      </c>
      <c r="D1793">
        <v>1.58618847889564</v>
      </c>
      <c r="E1793">
        <v>383.85761189274501</v>
      </c>
      <c r="F1793">
        <v>0.96760844212031105</v>
      </c>
      <c r="G1793">
        <v>0.93262104510740795</v>
      </c>
      <c r="H1793" t="str">
        <f t="shared" si="27"/>
        <v>Q2</v>
      </c>
    </row>
    <row r="1794" spans="1:8">
      <c r="A1794">
        <v>791152</v>
      </c>
      <c r="B1794" t="s">
        <v>1254</v>
      </c>
      <c r="C1794">
        <v>78</v>
      </c>
      <c r="D1794">
        <v>4.9202304142407902</v>
      </c>
      <c r="E1794">
        <v>383.77797231078102</v>
      </c>
      <c r="F1794">
        <v>0.88867988412776</v>
      </c>
      <c r="G1794">
        <v>0.93258342425040397</v>
      </c>
      <c r="H1794" t="str">
        <f t="shared" si="27"/>
        <v>Q3</v>
      </c>
    </row>
    <row r="1795" spans="1:8">
      <c r="A1795">
        <v>576897</v>
      </c>
      <c r="B1795" t="s">
        <v>3546</v>
      </c>
      <c r="C1795">
        <v>343</v>
      </c>
      <c r="D1795">
        <v>1.11787813300207</v>
      </c>
      <c r="E1795">
        <v>383.43219961970999</v>
      </c>
      <c r="F1795">
        <v>0.97994808321733595</v>
      </c>
      <c r="G1795">
        <v>0.93254580339340098</v>
      </c>
      <c r="H1795" t="str">
        <f t="shared" ref="H1795:H1858" si="28">IF(C1795&gt;$J$2,
   IF(D1795&gt;$J$3,"Q1","Q2"),
   IF(D1795&gt;$J$3,"Q3","Q4"))</f>
        <v>Q2</v>
      </c>
    </row>
    <row r="1796" spans="1:8">
      <c r="A1796">
        <v>806269</v>
      </c>
      <c r="B1796" t="s">
        <v>1461</v>
      </c>
      <c r="C1796">
        <v>168</v>
      </c>
      <c r="D1796">
        <v>2.2815173566674001</v>
      </c>
      <c r="E1796">
        <v>383.294915920123</v>
      </c>
      <c r="F1796">
        <v>0.94936232647379704</v>
      </c>
      <c r="G1796">
        <v>0.932508182536398</v>
      </c>
      <c r="H1796" t="str">
        <f t="shared" si="28"/>
        <v>Q4</v>
      </c>
    </row>
    <row r="1797" spans="1:8">
      <c r="A1797">
        <v>510465</v>
      </c>
      <c r="B1797" t="s">
        <v>3281</v>
      </c>
      <c r="C1797">
        <v>157</v>
      </c>
      <c r="D1797">
        <v>2.43922055574359</v>
      </c>
      <c r="E1797">
        <v>382.95762725174399</v>
      </c>
      <c r="F1797">
        <v>0.94518641134644998</v>
      </c>
      <c r="G1797">
        <v>0.93247056167939502</v>
      </c>
      <c r="H1797" t="str">
        <f t="shared" si="28"/>
        <v>Q4</v>
      </c>
    </row>
    <row r="1798" spans="1:8">
      <c r="A1798">
        <v>789303</v>
      </c>
      <c r="B1798" t="s">
        <v>2420</v>
      </c>
      <c r="C1798">
        <v>123</v>
      </c>
      <c r="D1798">
        <v>3.1134214873115198</v>
      </c>
      <c r="E1798">
        <v>382.950842939317</v>
      </c>
      <c r="F1798">
        <v>0.92893420112110203</v>
      </c>
      <c r="G1798">
        <v>0.93243294082239203</v>
      </c>
      <c r="H1798" t="str">
        <f t="shared" si="28"/>
        <v>Q4</v>
      </c>
    </row>
    <row r="1799" spans="1:8">
      <c r="A1799">
        <v>722475</v>
      </c>
      <c r="B1799" t="s">
        <v>1801</v>
      </c>
      <c r="C1799">
        <v>159</v>
      </c>
      <c r="D1799">
        <v>2.4066517510269798</v>
      </c>
      <c r="E1799">
        <v>382.65762841329001</v>
      </c>
      <c r="F1799">
        <v>0.94597644934351599</v>
      </c>
      <c r="G1799">
        <v>0.93239531996538905</v>
      </c>
      <c r="H1799" t="str">
        <f t="shared" si="28"/>
        <v>Q4</v>
      </c>
    </row>
    <row r="1800" spans="1:8">
      <c r="A1800">
        <v>698774</v>
      </c>
      <c r="B1800" t="s">
        <v>1996</v>
      </c>
      <c r="C1800">
        <v>49</v>
      </c>
      <c r="D1800">
        <v>7.8069526550112904</v>
      </c>
      <c r="E1800">
        <v>382.540680095553</v>
      </c>
      <c r="F1800">
        <v>0.83258718633610496</v>
      </c>
      <c r="G1800">
        <v>0.93235769910838595</v>
      </c>
      <c r="H1800" t="str">
        <f t="shared" si="28"/>
        <v>Q3</v>
      </c>
    </row>
    <row r="1801" spans="1:8">
      <c r="A1801">
        <v>676900</v>
      </c>
      <c r="B1801" t="s">
        <v>1315</v>
      </c>
      <c r="C1801">
        <v>56</v>
      </c>
      <c r="D1801">
        <v>6.83068985651646</v>
      </c>
      <c r="E1801">
        <v>382.51863196492201</v>
      </c>
      <c r="F1801">
        <v>0.85004326398555397</v>
      </c>
      <c r="G1801">
        <v>0.93232007825138297</v>
      </c>
      <c r="H1801" t="str">
        <f t="shared" si="28"/>
        <v>Q3</v>
      </c>
    </row>
    <row r="1802" spans="1:8">
      <c r="A1802">
        <v>607983</v>
      </c>
      <c r="B1802" t="s">
        <v>2756</v>
      </c>
      <c r="C1802">
        <v>169</v>
      </c>
      <c r="D1802">
        <v>2.2622906360444599</v>
      </c>
      <c r="E1802">
        <v>382.32711749151298</v>
      </c>
      <c r="F1802">
        <v>0.94973853504382799</v>
      </c>
      <c r="G1802">
        <v>0.93228245739437898</v>
      </c>
      <c r="H1802" t="str">
        <f t="shared" si="28"/>
        <v>Q2</v>
      </c>
    </row>
    <row r="1803" spans="1:8">
      <c r="A1803">
        <v>733097</v>
      </c>
      <c r="B1803" t="s">
        <v>4204</v>
      </c>
      <c r="C1803">
        <v>266</v>
      </c>
      <c r="D1803">
        <v>1.4363450519880601</v>
      </c>
      <c r="E1803">
        <v>382.06778382882499</v>
      </c>
      <c r="F1803">
        <v>0.97125766524961399</v>
      </c>
      <c r="G1803">
        <v>0.932244836537376</v>
      </c>
      <c r="H1803" t="str">
        <f t="shared" si="28"/>
        <v>Q2</v>
      </c>
    </row>
    <row r="1804" spans="1:8">
      <c r="A1804">
        <v>742423</v>
      </c>
      <c r="B1804" t="s">
        <v>3965</v>
      </c>
      <c r="C1804">
        <v>124</v>
      </c>
      <c r="D1804">
        <v>3.0808911365907501</v>
      </c>
      <c r="E1804">
        <v>382.03050093725301</v>
      </c>
      <c r="F1804">
        <v>0.92957375569015499</v>
      </c>
      <c r="G1804">
        <v>0.93220721568037301</v>
      </c>
      <c r="H1804" t="str">
        <f t="shared" si="28"/>
        <v>Q4</v>
      </c>
    </row>
    <row r="1805" spans="1:8">
      <c r="A1805">
        <v>751551</v>
      </c>
      <c r="B1805" t="s">
        <v>2121</v>
      </c>
      <c r="C1805">
        <v>154</v>
      </c>
      <c r="D1805">
        <v>2.4798811407300199</v>
      </c>
      <c r="E1805">
        <v>381.90169567242299</v>
      </c>
      <c r="F1805">
        <v>0.94424588992137204</v>
      </c>
      <c r="G1805">
        <v>0.93216959482337003</v>
      </c>
      <c r="H1805" t="str">
        <f t="shared" si="28"/>
        <v>Q4</v>
      </c>
    </row>
    <row r="1806" spans="1:8">
      <c r="A1806">
        <v>747785</v>
      </c>
      <c r="B1806" t="s">
        <v>3322</v>
      </c>
      <c r="C1806">
        <v>92</v>
      </c>
      <c r="D1806">
        <v>4.1505343260486498</v>
      </c>
      <c r="E1806">
        <v>381.84915799647598</v>
      </c>
      <c r="F1806">
        <v>0.90429253978405599</v>
      </c>
      <c r="G1806">
        <v>0.93213197396636704</v>
      </c>
      <c r="H1806" t="str">
        <f t="shared" si="28"/>
        <v>Q4</v>
      </c>
    </row>
    <row r="1807" spans="1:8">
      <c r="A1807">
        <v>534164</v>
      </c>
      <c r="B1807" t="s">
        <v>3485</v>
      </c>
      <c r="C1807">
        <v>115</v>
      </c>
      <c r="D1807">
        <v>3.3192187952606602</v>
      </c>
      <c r="E1807">
        <v>381.710161454976</v>
      </c>
      <c r="F1807">
        <v>0.92370490199766797</v>
      </c>
      <c r="G1807">
        <v>0.93209435310936395</v>
      </c>
      <c r="H1807" t="str">
        <f t="shared" si="28"/>
        <v>Q4</v>
      </c>
    </row>
    <row r="1808" spans="1:8">
      <c r="A1808">
        <v>698286</v>
      </c>
      <c r="B1808" t="s">
        <v>409</v>
      </c>
      <c r="C1808">
        <v>166</v>
      </c>
      <c r="D1808">
        <v>2.2990606388593302</v>
      </c>
      <c r="E1808">
        <v>381.64406605064897</v>
      </c>
      <c r="F1808">
        <v>0.94860990933373501</v>
      </c>
      <c r="G1808">
        <v>0.93205673225236096</v>
      </c>
      <c r="H1808" t="str">
        <f t="shared" si="28"/>
        <v>Q4</v>
      </c>
    </row>
    <row r="1809" spans="1:8">
      <c r="A1809">
        <v>734319</v>
      </c>
      <c r="B1809" t="s">
        <v>1194</v>
      </c>
      <c r="C1809">
        <v>61</v>
      </c>
      <c r="D1809">
        <v>6.2373714490992098</v>
      </c>
      <c r="E1809">
        <v>380.47965839505201</v>
      </c>
      <c r="F1809">
        <v>0.86035137880440904</v>
      </c>
      <c r="G1809">
        <v>0.93201911139535798</v>
      </c>
      <c r="H1809" t="str">
        <f t="shared" si="28"/>
        <v>Q3</v>
      </c>
    </row>
    <row r="1810" spans="1:8">
      <c r="A1810">
        <v>787235</v>
      </c>
      <c r="B1810" t="s">
        <v>282</v>
      </c>
      <c r="C1810">
        <v>74</v>
      </c>
      <c r="D1810">
        <v>5.1390516999605502</v>
      </c>
      <c r="E1810">
        <v>380.28982579708099</v>
      </c>
      <c r="F1810">
        <v>0.88307437643429498</v>
      </c>
      <c r="G1810">
        <v>0.931981490538354</v>
      </c>
      <c r="H1810" t="str">
        <f t="shared" si="28"/>
        <v>Q3</v>
      </c>
    </row>
    <row r="1811" spans="1:8">
      <c r="A1811">
        <v>745737</v>
      </c>
      <c r="B1811" t="s">
        <v>3800</v>
      </c>
      <c r="C1811">
        <v>53</v>
      </c>
      <c r="D1811">
        <v>7.1742245119135299</v>
      </c>
      <c r="E1811">
        <v>380.23389913141699</v>
      </c>
      <c r="F1811">
        <v>0.84218050487190099</v>
      </c>
      <c r="G1811">
        <v>0.93194386968135101</v>
      </c>
      <c r="H1811" t="str">
        <f t="shared" si="28"/>
        <v>Q3</v>
      </c>
    </row>
    <row r="1812" spans="1:8">
      <c r="A1812">
        <v>798381</v>
      </c>
      <c r="B1812" t="s">
        <v>275</v>
      </c>
      <c r="C1812">
        <v>50</v>
      </c>
      <c r="D1812">
        <v>7.5973898842930803</v>
      </c>
      <c r="E1812">
        <v>379.86949421465403</v>
      </c>
      <c r="F1812">
        <v>0.83559685489635405</v>
      </c>
      <c r="G1812">
        <v>0.93190624882434803</v>
      </c>
      <c r="H1812" t="str">
        <f t="shared" si="28"/>
        <v>Q3</v>
      </c>
    </row>
    <row r="1813" spans="1:8">
      <c r="A1813">
        <v>698255</v>
      </c>
      <c r="B1813" t="s">
        <v>5050</v>
      </c>
      <c r="C1813">
        <v>187</v>
      </c>
      <c r="D1813">
        <v>2.0303815787528601</v>
      </c>
      <c r="E1813">
        <v>379.681355226785</v>
      </c>
      <c r="F1813">
        <v>0.95553214702230904</v>
      </c>
      <c r="G1813">
        <v>0.93186862796734504</v>
      </c>
      <c r="H1813" t="str">
        <f t="shared" si="28"/>
        <v>Q2</v>
      </c>
    </row>
    <row r="1814" spans="1:8">
      <c r="A1814">
        <v>481347</v>
      </c>
      <c r="B1814" t="s">
        <v>3891</v>
      </c>
      <c r="C1814">
        <v>62</v>
      </c>
      <c r="D1814">
        <v>6.1133952420805704</v>
      </c>
      <c r="E1814">
        <v>379.03050500899599</v>
      </c>
      <c r="F1814">
        <v>0.86238290508257798</v>
      </c>
      <c r="G1814">
        <v>0.93183100711034195</v>
      </c>
      <c r="H1814" t="str">
        <f t="shared" si="28"/>
        <v>Q3</v>
      </c>
    </row>
    <row r="1815" spans="1:8">
      <c r="A1815">
        <v>637055</v>
      </c>
      <c r="B1815" t="s">
        <v>4989</v>
      </c>
      <c r="C1815">
        <v>84</v>
      </c>
      <c r="D1815">
        <v>4.5096045382143499</v>
      </c>
      <c r="E1815">
        <v>378.806781210005</v>
      </c>
      <c r="F1815">
        <v>0.89639215981340103</v>
      </c>
      <c r="G1815">
        <v>0.93179338625333896</v>
      </c>
      <c r="H1815" t="str">
        <f t="shared" si="28"/>
        <v>Q4</v>
      </c>
    </row>
    <row r="1816" spans="1:8">
      <c r="A1816">
        <v>316657</v>
      </c>
      <c r="B1816" t="s">
        <v>2471</v>
      </c>
      <c r="C1816">
        <v>78</v>
      </c>
      <c r="D1816">
        <v>4.8542373145046902</v>
      </c>
      <c r="E1816">
        <v>378.63051053136599</v>
      </c>
      <c r="F1816">
        <v>0.88867988412776</v>
      </c>
      <c r="G1816">
        <v>0.93175576539633598</v>
      </c>
      <c r="H1816" t="str">
        <f t="shared" si="28"/>
        <v>Q4</v>
      </c>
    </row>
    <row r="1817" spans="1:8">
      <c r="A1817">
        <v>741827</v>
      </c>
      <c r="B1817" t="s">
        <v>1785</v>
      </c>
      <c r="C1817">
        <v>189</v>
      </c>
      <c r="D1817">
        <v>2.0032642761531201</v>
      </c>
      <c r="E1817">
        <v>378.61694819293899</v>
      </c>
      <c r="F1817">
        <v>0.95605883902035305</v>
      </c>
      <c r="G1817">
        <v>0.93171814453933299</v>
      </c>
      <c r="H1817" t="str">
        <f t="shared" si="28"/>
        <v>Q2</v>
      </c>
    </row>
    <row r="1818" spans="1:8">
      <c r="A1818">
        <v>687176</v>
      </c>
      <c r="B1818" t="s">
        <v>3051</v>
      </c>
      <c r="C1818">
        <v>394</v>
      </c>
      <c r="D1818">
        <v>0.96066847519220999</v>
      </c>
      <c r="E1818">
        <v>378.50337922573101</v>
      </c>
      <c r="F1818">
        <v>0.98325871863361003</v>
      </c>
      <c r="G1818">
        <v>0.93168052368232901</v>
      </c>
      <c r="H1818" t="str">
        <f t="shared" si="28"/>
        <v>Q2</v>
      </c>
    </row>
    <row r="1819" spans="1:8">
      <c r="A1819">
        <v>716950</v>
      </c>
      <c r="B1819" t="s">
        <v>2594</v>
      </c>
      <c r="C1819">
        <v>26</v>
      </c>
      <c r="D1819">
        <v>14.546088788371801</v>
      </c>
      <c r="E1819">
        <v>378.19830849766703</v>
      </c>
      <c r="F1819">
        <v>0.73706783040517698</v>
      </c>
      <c r="G1819">
        <v>0.93164290282532602</v>
      </c>
      <c r="H1819" t="str">
        <f t="shared" si="28"/>
        <v>Q3</v>
      </c>
    </row>
    <row r="1820" spans="1:8">
      <c r="A1820">
        <v>707186</v>
      </c>
      <c r="B1820" t="s">
        <v>3523</v>
      </c>
      <c r="C1820">
        <v>46</v>
      </c>
      <c r="D1820">
        <v>8.2175756116276197</v>
      </c>
      <c r="E1820">
        <v>378.00847813487098</v>
      </c>
      <c r="F1820">
        <v>0.82378390579737404</v>
      </c>
      <c r="G1820">
        <v>0.93160528196832304</v>
      </c>
      <c r="H1820" t="str">
        <f t="shared" si="28"/>
        <v>Q3</v>
      </c>
    </row>
    <row r="1821" spans="1:8">
      <c r="A1821">
        <v>781400</v>
      </c>
      <c r="B1821" t="s">
        <v>2313</v>
      </c>
      <c r="C1821">
        <v>48</v>
      </c>
      <c r="D1821">
        <v>7.8708334127441004</v>
      </c>
      <c r="E1821">
        <v>377.80000381171698</v>
      </c>
      <c r="F1821">
        <v>0.82957751777585498</v>
      </c>
      <c r="G1821">
        <v>0.93156766111131994</v>
      </c>
      <c r="H1821" t="str">
        <f t="shared" si="28"/>
        <v>Q3</v>
      </c>
    </row>
    <row r="1822" spans="1:8">
      <c r="A1822">
        <v>815046</v>
      </c>
      <c r="B1822" t="s">
        <v>3172</v>
      </c>
      <c r="C1822">
        <v>58</v>
      </c>
      <c r="D1822">
        <v>6.5137053647174898</v>
      </c>
      <c r="E1822">
        <v>377.79491115361498</v>
      </c>
      <c r="F1822">
        <v>0.853993453970881</v>
      </c>
      <c r="G1822">
        <v>0.93153004025431696</v>
      </c>
      <c r="H1822" t="str">
        <f t="shared" si="28"/>
        <v>Q3</v>
      </c>
    </row>
    <row r="1823" spans="1:8">
      <c r="A1823">
        <v>727642</v>
      </c>
      <c r="B1823" t="s">
        <v>250</v>
      </c>
      <c r="C1823">
        <v>77</v>
      </c>
      <c r="D1823">
        <v>4.9060313369740101</v>
      </c>
      <c r="E1823">
        <v>377.76441294699902</v>
      </c>
      <c r="F1823">
        <v>0.88740077498965397</v>
      </c>
      <c r="G1823">
        <v>0.93149241939731398</v>
      </c>
      <c r="H1823" t="str">
        <f t="shared" si="28"/>
        <v>Q3</v>
      </c>
    </row>
    <row r="1824" spans="1:8">
      <c r="A1824">
        <v>628813</v>
      </c>
      <c r="B1824" t="s">
        <v>1048</v>
      </c>
      <c r="C1824">
        <v>292</v>
      </c>
      <c r="D1824">
        <v>1.2935976151772499</v>
      </c>
      <c r="E1824">
        <v>377.73050363175599</v>
      </c>
      <c r="F1824">
        <v>0.97501975094992699</v>
      </c>
      <c r="G1824">
        <v>0.93145479854031099</v>
      </c>
      <c r="H1824" t="str">
        <f t="shared" si="28"/>
        <v>Q2</v>
      </c>
    </row>
    <row r="1825" spans="1:8">
      <c r="A1825">
        <v>784485</v>
      </c>
      <c r="B1825" t="s">
        <v>2991</v>
      </c>
      <c r="C1825">
        <v>148</v>
      </c>
      <c r="D1825">
        <v>2.5517521457545298</v>
      </c>
      <c r="E1825">
        <v>377.65931757166999</v>
      </c>
      <c r="F1825">
        <v>0.94236484707121604</v>
      </c>
      <c r="G1825">
        <v>0.93141717768330801</v>
      </c>
      <c r="H1825" t="str">
        <f t="shared" si="28"/>
        <v>Q4</v>
      </c>
    </row>
    <row r="1826" spans="1:8">
      <c r="A1826">
        <v>786304</v>
      </c>
      <c r="B1826" t="s">
        <v>4321</v>
      </c>
      <c r="C1826">
        <v>158</v>
      </c>
      <c r="D1826">
        <v>2.3878352362898299</v>
      </c>
      <c r="E1826">
        <v>377.27796733379398</v>
      </c>
      <c r="F1826">
        <v>0.94563786163048802</v>
      </c>
      <c r="G1826">
        <v>0.93137955682630402</v>
      </c>
      <c r="H1826" t="str">
        <f t="shared" si="28"/>
        <v>Q4</v>
      </c>
    </row>
    <row r="1827" spans="1:8">
      <c r="A1827">
        <v>742981</v>
      </c>
      <c r="B1827" t="s">
        <v>2929</v>
      </c>
      <c r="C1827">
        <v>160</v>
      </c>
      <c r="D1827">
        <v>2.3571080464171201</v>
      </c>
      <c r="E1827">
        <v>377.13728742673999</v>
      </c>
      <c r="F1827">
        <v>0.94646552048455701</v>
      </c>
      <c r="G1827">
        <v>0.93134193596930104</v>
      </c>
      <c r="H1827" t="str">
        <f t="shared" si="28"/>
        <v>Q4</v>
      </c>
    </row>
    <row r="1828" spans="1:8">
      <c r="A1828">
        <v>827698</v>
      </c>
      <c r="B1828" t="s">
        <v>3198</v>
      </c>
      <c r="C1828">
        <v>117</v>
      </c>
      <c r="D1828">
        <v>3.22277265099379</v>
      </c>
      <c r="E1828">
        <v>377.064400166273</v>
      </c>
      <c r="F1828">
        <v>0.925247357134796</v>
      </c>
      <c r="G1828">
        <v>0.93130431511229805</v>
      </c>
      <c r="H1828" t="str">
        <f t="shared" si="28"/>
        <v>Q4</v>
      </c>
    </row>
    <row r="1829" spans="1:8">
      <c r="A1829">
        <v>740696</v>
      </c>
      <c r="B1829" t="s">
        <v>277</v>
      </c>
      <c r="C1829">
        <v>124</v>
      </c>
      <c r="D1829">
        <v>3.0404182045810599</v>
      </c>
      <c r="E1829">
        <v>377.01185736805201</v>
      </c>
      <c r="F1829">
        <v>0.92957375569015499</v>
      </c>
      <c r="G1829">
        <v>0.93126669425529496</v>
      </c>
      <c r="H1829" t="str">
        <f t="shared" si="28"/>
        <v>Q4</v>
      </c>
    </row>
    <row r="1830" spans="1:8">
      <c r="A1830">
        <v>772773</v>
      </c>
      <c r="B1830" t="s">
        <v>732</v>
      </c>
      <c r="C1830">
        <v>468</v>
      </c>
      <c r="D1830">
        <v>0.80553382544571295</v>
      </c>
      <c r="E1830">
        <v>376.98983030859398</v>
      </c>
      <c r="F1830">
        <v>0.98743463376095697</v>
      </c>
      <c r="G1830">
        <v>0.93122907339829197</v>
      </c>
      <c r="H1830" t="str">
        <f t="shared" si="28"/>
        <v>Q2</v>
      </c>
    </row>
    <row r="1831" spans="1:8">
      <c r="A1831">
        <v>679284</v>
      </c>
      <c r="B1831" t="s">
        <v>968</v>
      </c>
      <c r="C1831">
        <v>124</v>
      </c>
      <c r="D1831">
        <v>3.0399397931872798</v>
      </c>
      <c r="E1831">
        <v>376.95253435522301</v>
      </c>
      <c r="F1831">
        <v>0.92957375569015499</v>
      </c>
      <c r="G1831">
        <v>0.93119145254128899</v>
      </c>
      <c r="H1831" t="str">
        <f t="shared" si="28"/>
        <v>Q4</v>
      </c>
    </row>
    <row r="1832" spans="1:8">
      <c r="A1832">
        <v>501620</v>
      </c>
      <c r="B1832" t="s">
        <v>669</v>
      </c>
      <c r="C1832">
        <v>200</v>
      </c>
      <c r="D1832">
        <v>1.8826185727957601</v>
      </c>
      <c r="E1832">
        <v>376.52371455915301</v>
      </c>
      <c r="F1832">
        <v>0.95903088672360004</v>
      </c>
      <c r="G1832">
        <v>0.931153831684286</v>
      </c>
      <c r="H1832" t="str">
        <f t="shared" si="28"/>
        <v>Q2</v>
      </c>
    </row>
    <row r="1833" spans="1:8">
      <c r="A1833">
        <v>710917</v>
      </c>
      <c r="B1833" t="s">
        <v>1960</v>
      </c>
      <c r="C1833">
        <v>69</v>
      </c>
      <c r="D1833">
        <v>5.44947202222935</v>
      </c>
      <c r="E1833">
        <v>376.01356953382498</v>
      </c>
      <c r="F1833">
        <v>0.87393250818253598</v>
      </c>
      <c r="G1833">
        <v>0.93111621082728302</v>
      </c>
      <c r="H1833" t="str">
        <f t="shared" si="28"/>
        <v>Q3</v>
      </c>
    </row>
    <row r="1834" spans="1:8">
      <c r="A1834">
        <v>719203</v>
      </c>
      <c r="B1834" t="s">
        <v>1469</v>
      </c>
      <c r="C1834">
        <v>114</v>
      </c>
      <c r="D1834">
        <v>3.2982306849015401</v>
      </c>
      <c r="E1834">
        <v>375.99829807877501</v>
      </c>
      <c r="F1834">
        <v>0.92306534742861401</v>
      </c>
      <c r="G1834">
        <v>0.93107858997027904</v>
      </c>
      <c r="H1834" t="str">
        <f t="shared" si="28"/>
        <v>Q4</v>
      </c>
    </row>
    <row r="1835" spans="1:8">
      <c r="A1835">
        <v>757264</v>
      </c>
      <c r="B1835" t="s">
        <v>4895</v>
      </c>
      <c r="C1835">
        <v>234</v>
      </c>
      <c r="D1835">
        <v>1.60630878944619</v>
      </c>
      <c r="E1835">
        <v>375.87625673040702</v>
      </c>
      <c r="F1835">
        <v>0.96632933298220502</v>
      </c>
      <c r="G1835">
        <v>0.93104096911327605</v>
      </c>
      <c r="H1835" t="str">
        <f t="shared" si="28"/>
        <v>Q2</v>
      </c>
    </row>
    <row r="1836" spans="1:8">
      <c r="A1836">
        <v>768229</v>
      </c>
      <c r="B1836" t="s">
        <v>3106</v>
      </c>
      <c r="C1836">
        <v>199</v>
      </c>
      <c r="D1836">
        <v>1.8850523688311001</v>
      </c>
      <c r="E1836">
        <v>375.12542139738798</v>
      </c>
      <c r="F1836">
        <v>0.95872991986757505</v>
      </c>
      <c r="G1836">
        <v>0.93100334825627296</v>
      </c>
      <c r="H1836" t="str">
        <f t="shared" si="28"/>
        <v>Q2</v>
      </c>
    </row>
    <row r="1837" spans="1:8">
      <c r="A1837">
        <v>643193</v>
      </c>
      <c r="B1837" t="s">
        <v>2730</v>
      </c>
      <c r="C1837">
        <v>92</v>
      </c>
      <c r="D1837">
        <v>4.0765475380517904</v>
      </c>
      <c r="E1837">
        <v>375.04237350076397</v>
      </c>
      <c r="F1837">
        <v>0.90429253978405599</v>
      </c>
      <c r="G1837">
        <v>0.93096572739926997</v>
      </c>
      <c r="H1837" t="str">
        <f t="shared" si="28"/>
        <v>Q4</v>
      </c>
    </row>
    <row r="1838" spans="1:8">
      <c r="A1838">
        <v>574752</v>
      </c>
      <c r="B1838" t="s">
        <v>5081</v>
      </c>
      <c r="C1838">
        <v>122</v>
      </c>
      <c r="D1838">
        <v>3.0739927152935098</v>
      </c>
      <c r="E1838">
        <v>375.027111265808</v>
      </c>
      <c r="F1838">
        <v>0.92855799255106997</v>
      </c>
      <c r="G1838">
        <v>0.93092810654226699</v>
      </c>
      <c r="H1838" t="str">
        <f t="shared" si="28"/>
        <v>Q4</v>
      </c>
    </row>
    <row r="1839" spans="1:8">
      <c r="A1839">
        <v>767605</v>
      </c>
      <c r="B1839" t="s">
        <v>3423</v>
      </c>
      <c r="C1839">
        <v>127</v>
      </c>
      <c r="D1839">
        <v>2.95127451815826</v>
      </c>
      <c r="E1839">
        <v>374.81186380609898</v>
      </c>
      <c r="F1839">
        <v>0.93141717768330801</v>
      </c>
      <c r="G1839">
        <v>0.930890485685264</v>
      </c>
      <c r="H1839" t="str">
        <f t="shared" si="28"/>
        <v>Q4</v>
      </c>
    </row>
    <row r="1840" spans="1:8">
      <c r="A1840">
        <v>569997</v>
      </c>
      <c r="B1840" t="s">
        <v>4090</v>
      </c>
      <c r="C1840">
        <v>328</v>
      </c>
      <c r="D1840">
        <v>1.14225402570943</v>
      </c>
      <c r="E1840">
        <v>374.65932043269299</v>
      </c>
      <c r="F1840">
        <v>0.97859373236522296</v>
      </c>
      <c r="G1840">
        <v>0.93085286482826102</v>
      </c>
      <c r="H1840" t="str">
        <f t="shared" si="28"/>
        <v>Q2</v>
      </c>
    </row>
    <row r="1841" spans="1:8">
      <c r="A1841">
        <v>758840</v>
      </c>
      <c r="B1841" t="s">
        <v>4936</v>
      </c>
      <c r="C1841">
        <v>241</v>
      </c>
      <c r="D1841">
        <v>1.5542372301823699</v>
      </c>
      <c r="E1841">
        <v>374.571172473952</v>
      </c>
      <c r="F1841">
        <v>0.96742033783529602</v>
      </c>
      <c r="G1841">
        <v>0.93081524397125803</v>
      </c>
      <c r="H1841" t="str">
        <f t="shared" si="28"/>
        <v>Q2</v>
      </c>
    </row>
    <row r="1842" spans="1:8">
      <c r="A1842">
        <v>730012</v>
      </c>
      <c r="B1842" t="s">
        <v>4394</v>
      </c>
      <c r="C1842">
        <v>138</v>
      </c>
      <c r="D1842">
        <v>2.71289605323387</v>
      </c>
      <c r="E1842">
        <v>374.37965534627398</v>
      </c>
      <c r="F1842">
        <v>0.93747413566080995</v>
      </c>
      <c r="G1842">
        <v>0.93077762311425405</v>
      </c>
      <c r="H1842" t="str">
        <f t="shared" si="28"/>
        <v>Q4</v>
      </c>
    </row>
    <row r="1843" spans="1:8">
      <c r="A1843">
        <v>790448</v>
      </c>
      <c r="B1843" t="s">
        <v>168</v>
      </c>
      <c r="C1843">
        <v>118</v>
      </c>
      <c r="D1843">
        <v>3.1726515015303098</v>
      </c>
      <c r="E1843">
        <v>374.37287718057598</v>
      </c>
      <c r="F1843">
        <v>0.92592453256085205</v>
      </c>
      <c r="G1843">
        <v>0.93074000225725095</v>
      </c>
      <c r="H1843" t="str">
        <f t="shared" si="28"/>
        <v>Q4</v>
      </c>
    </row>
    <row r="1844" spans="1:8">
      <c r="A1844">
        <v>713991</v>
      </c>
      <c r="B1844" t="s">
        <v>3418</v>
      </c>
      <c r="C1844">
        <v>41</v>
      </c>
      <c r="D1844">
        <v>9.1287724219444293</v>
      </c>
      <c r="E1844">
        <v>374.279669299722</v>
      </c>
      <c r="F1844">
        <v>0.80787028328505295</v>
      </c>
      <c r="G1844">
        <v>0.93070238140024797</v>
      </c>
      <c r="H1844" t="str">
        <f t="shared" si="28"/>
        <v>Q3</v>
      </c>
    </row>
    <row r="1845" spans="1:8">
      <c r="A1845">
        <v>769826</v>
      </c>
      <c r="B1845" t="s">
        <v>417</v>
      </c>
      <c r="C1845">
        <v>60</v>
      </c>
      <c r="D1845">
        <v>6.2378813046961996</v>
      </c>
      <c r="E1845">
        <v>374.27287828177202</v>
      </c>
      <c r="F1845">
        <v>0.85805650652721899</v>
      </c>
      <c r="G1845">
        <v>0.93066476054324498</v>
      </c>
      <c r="H1845" t="str">
        <f t="shared" si="28"/>
        <v>Q3</v>
      </c>
    </row>
    <row r="1846" spans="1:8">
      <c r="A1846">
        <v>811455</v>
      </c>
      <c r="B1846" t="s">
        <v>3907</v>
      </c>
      <c r="C1846">
        <v>17</v>
      </c>
      <c r="D1846">
        <v>21.9933199531892</v>
      </c>
      <c r="E1846">
        <v>373.886439204216</v>
      </c>
      <c r="F1846">
        <v>0.65926789812271902</v>
      </c>
      <c r="G1846">
        <v>0.930627139686242</v>
      </c>
      <c r="H1846" t="str">
        <f t="shared" si="28"/>
        <v>Q3</v>
      </c>
    </row>
    <row r="1847" spans="1:8">
      <c r="A1847">
        <v>609355</v>
      </c>
      <c r="B1847" t="s">
        <v>954</v>
      </c>
      <c r="C1847">
        <v>74</v>
      </c>
      <c r="D1847">
        <v>5.0495420305712804</v>
      </c>
      <c r="E1847">
        <v>373.66611026227503</v>
      </c>
      <c r="F1847">
        <v>0.88307437643429498</v>
      </c>
      <c r="G1847">
        <v>0.93058951882923902</v>
      </c>
      <c r="H1847" t="str">
        <f t="shared" si="28"/>
        <v>Q3</v>
      </c>
    </row>
    <row r="1848" spans="1:8">
      <c r="A1848">
        <v>797942</v>
      </c>
      <c r="B1848" t="s">
        <v>1661</v>
      </c>
      <c r="C1848">
        <v>78</v>
      </c>
      <c r="D1848">
        <v>4.7878314788715999</v>
      </c>
      <c r="E1848">
        <v>373.45085535198501</v>
      </c>
      <c r="F1848">
        <v>0.88867988412776</v>
      </c>
      <c r="G1848">
        <v>0.93055189797223603</v>
      </c>
      <c r="H1848" t="str">
        <f t="shared" si="28"/>
        <v>Q4</v>
      </c>
    </row>
    <row r="1849" spans="1:8">
      <c r="A1849">
        <v>545258</v>
      </c>
      <c r="B1849" t="s">
        <v>3511</v>
      </c>
      <c r="C1849">
        <v>91</v>
      </c>
      <c r="D1849">
        <v>4.1009127090756703</v>
      </c>
      <c r="E1849">
        <v>373.183056525886</v>
      </c>
      <c r="F1849">
        <v>0.90350250178699099</v>
      </c>
      <c r="G1849">
        <v>0.93051427711523305</v>
      </c>
      <c r="H1849" t="str">
        <f t="shared" si="28"/>
        <v>Q4</v>
      </c>
    </row>
    <row r="1850" spans="1:8">
      <c r="A1850">
        <v>544627</v>
      </c>
      <c r="B1850" t="s">
        <v>4348</v>
      </c>
      <c r="C1850">
        <v>93</v>
      </c>
      <c r="D1850">
        <v>4.0120284493652099</v>
      </c>
      <c r="E1850">
        <v>373.11864579096402</v>
      </c>
      <c r="F1850">
        <v>0.90587261577818701</v>
      </c>
      <c r="G1850">
        <v>0.93047665625822995</v>
      </c>
      <c r="H1850" t="str">
        <f t="shared" si="28"/>
        <v>Q4</v>
      </c>
    </row>
    <row r="1851" spans="1:8">
      <c r="A1851">
        <v>787884</v>
      </c>
      <c r="B1851" t="s">
        <v>2551</v>
      </c>
      <c r="C1851">
        <v>57</v>
      </c>
      <c r="D1851">
        <v>6.5404401275149597</v>
      </c>
      <c r="E1851">
        <v>372.80508726835302</v>
      </c>
      <c r="F1851">
        <v>0.851849065121703</v>
      </c>
      <c r="G1851">
        <v>0.93043903540122597</v>
      </c>
      <c r="H1851" t="str">
        <f t="shared" si="28"/>
        <v>Q3</v>
      </c>
    </row>
    <row r="1852" spans="1:8">
      <c r="A1852">
        <v>751593</v>
      </c>
      <c r="B1852" t="s">
        <v>2826</v>
      </c>
      <c r="C1852">
        <v>138</v>
      </c>
      <c r="D1852">
        <v>2.7014737820549701</v>
      </c>
      <c r="E1852">
        <v>372.80338192358602</v>
      </c>
      <c r="F1852">
        <v>0.93747413566080995</v>
      </c>
      <c r="G1852">
        <v>0.93040141454422298</v>
      </c>
      <c r="H1852" t="str">
        <f t="shared" si="28"/>
        <v>Q4</v>
      </c>
    </row>
    <row r="1853" spans="1:8">
      <c r="A1853">
        <v>782060</v>
      </c>
      <c r="B1853" t="s">
        <v>4195</v>
      </c>
      <c r="C1853">
        <v>40</v>
      </c>
      <c r="D1853">
        <v>9.3062289850786293</v>
      </c>
      <c r="E1853">
        <v>372.24915940314497</v>
      </c>
      <c r="F1853">
        <v>0.804522027011775</v>
      </c>
      <c r="G1853">
        <v>0.93036379368722</v>
      </c>
      <c r="H1853" t="str">
        <f t="shared" si="28"/>
        <v>Q3</v>
      </c>
    </row>
    <row r="1854" spans="1:8">
      <c r="A1854">
        <v>767625</v>
      </c>
      <c r="B1854" t="s">
        <v>4144</v>
      </c>
      <c r="C1854">
        <v>47</v>
      </c>
      <c r="D1854">
        <v>7.9197980820181497</v>
      </c>
      <c r="E1854">
        <v>372.23050985485298</v>
      </c>
      <c r="F1854">
        <v>0.82641736578759295</v>
      </c>
      <c r="G1854">
        <v>0.93032617283021701</v>
      </c>
      <c r="H1854" t="str">
        <f t="shared" si="28"/>
        <v>Q3</v>
      </c>
    </row>
    <row r="1855" spans="1:8">
      <c r="A1855">
        <v>802771</v>
      </c>
      <c r="B1855" t="s">
        <v>805</v>
      </c>
      <c r="C1855">
        <v>46</v>
      </c>
      <c r="D1855">
        <v>8.0907885633085108</v>
      </c>
      <c r="E1855">
        <v>372.17627391219099</v>
      </c>
      <c r="F1855">
        <v>0.82378390579737404</v>
      </c>
      <c r="G1855">
        <v>0.93028855197321403</v>
      </c>
      <c r="H1855" t="str">
        <f t="shared" si="28"/>
        <v>Q3</v>
      </c>
    </row>
    <row r="1856" spans="1:8">
      <c r="A1856">
        <v>761621</v>
      </c>
      <c r="B1856" t="s">
        <v>895</v>
      </c>
      <c r="C1856">
        <v>145</v>
      </c>
      <c r="D1856">
        <v>2.56611338399094</v>
      </c>
      <c r="E1856">
        <v>372.08644067868602</v>
      </c>
      <c r="F1856">
        <v>0.94082239193408801</v>
      </c>
      <c r="G1856">
        <v>0.93025093111621104</v>
      </c>
      <c r="H1856" t="str">
        <f t="shared" si="28"/>
        <v>Q4</v>
      </c>
    </row>
    <row r="1857" spans="1:8">
      <c r="A1857">
        <v>815549</v>
      </c>
      <c r="B1857" t="s">
        <v>3755</v>
      </c>
      <c r="C1857">
        <v>78</v>
      </c>
      <c r="D1857">
        <v>4.7689266264056496</v>
      </c>
      <c r="E1857">
        <v>371.97627685964102</v>
      </c>
      <c r="F1857">
        <v>0.88867988412776</v>
      </c>
      <c r="G1857">
        <v>0.93021331025920795</v>
      </c>
      <c r="H1857" t="str">
        <f t="shared" si="28"/>
        <v>Q4</v>
      </c>
    </row>
    <row r="1858" spans="1:8">
      <c r="A1858">
        <v>689040</v>
      </c>
      <c r="B1858" t="s">
        <v>3791</v>
      </c>
      <c r="C1858">
        <v>174</v>
      </c>
      <c r="D1858">
        <v>2.1374244087686098</v>
      </c>
      <c r="E1858">
        <v>371.91184712573897</v>
      </c>
      <c r="F1858">
        <v>0.95150671532297504</v>
      </c>
      <c r="G1858">
        <v>0.93017568940220496</v>
      </c>
      <c r="H1858" t="str">
        <f t="shared" si="28"/>
        <v>Q2</v>
      </c>
    </row>
    <row r="1859" spans="1:8">
      <c r="A1859">
        <v>746509</v>
      </c>
      <c r="B1859" t="s">
        <v>4818</v>
      </c>
      <c r="C1859">
        <v>230</v>
      </c>
      <c r="D1859">
        <v>1.6161753221050601</v>
      </c>
      <c r="E1859">
        <v>371.720324084163</v>
      </c>
      <c r="F1859">
        <v>0.96538881155712697</v>
      </c>
      <c r="G1859">
        <v>0.93013806854520098</v>
      </c>
      <c r="H1859" t="str">
        <f t="shared" ref="H1859:H1922" si="29">IF(C1859&gt;$J$2,
   IF(D1859&gt;$J$3,"Q1","Q2"),
   IF(D1859&gt;$J$3,"Q3","Q4"))</f>
        <v>Q2</v>
      </c>
    </row>
    <row r="1860" spans="1:8">
      <c r="A1860">
        <v>775482</v>
      </c>
      <c r="B1860" t="s">
        <v>4034</v>
      </c>
      <c r="C1860">
        <v>117</v>
      </c>
      <c r="D1860">
        <v>3.1768071305993799</v>
      </c>
      <c r="E1860">
        <v>371.686434280127</v>
      </c>
      <c r="F1860">
        <v>0.925247357134796</v>
      </c>
      <c r="G1860">
        <v>0.930100447688198</v>
      </c>
      <c r="H1860" t="str">
        <f t="shared" si="29"/>
        <v>Q4</v>
      </c>
    </row>
    <row r="1861" spans="1:8">
      <c r="A1861">
        <v>742092</v>
      </c>
      <c r="B1861" t="s">
        <v>178</v>
      </c>
      <c r="C1861">
        <v>155</v>
      </c>
      <c r="D1861">
        <v>2.3963258703870198</v>
      </c>
      <c r="E1861">
        <v>371.43050990998699</v>
      </c>
      <c r="F1861">
        <v>0.94454685677739703</v>
      </c>
      <c r="G1861">
        <v>0.93006282683119501</v>
      </c>
      <c r="H1861" t="str">
        <f t="shared" si="29"/>
        <v>Q4</v>
      </c>
    </row>
    <row r="1862" spans="1:8">
      <c r="A1862">
        <v>701046</v>
      </c>
      <c r="B1862" t="s">
        <v>952</v>
      </c>
      <c r="C1862">
        <v>125</v>
      </c>
      <c r="D1862">
        <v>2.9705084666609798</v>
      </c>
      <c r="E1862">
        <v>371.31355833262199</v>
      </c>
      <c r="F1862">
        <v>0.93028855197321403</v>
      </c>
      <c r="G1862">
        <v>0.93002520597419203</v>
      </c>
      <c r="H1862" t="str">
        <f t="shared" si="29"/>
        <v>Q4</v>
      </c>
    </row>
    <row r="1863" spans="1:8">
      <c r="A1863">
        <v>748755</v>
      </c>
      <c r="B1863" t="s">
        <v>1597</v>
      </c>
      <c r="C1863">
        <v>36</v>
      </c>
      <c r="D1863">
        <v>10.3081452142861</v>
      </c>
      <c r="E1863">
        <v>371.09322771429999</v>
      </c>
      <c r="F1863">
        <v>0.78890937135547901</v>
      </c>
      <c r="G1863">
        <v>0.92998758511718904</v>
      </c>
      <c r="H1863" t="str">
        <f t="shared" si="29"/>
        <v>Q3</v>
      </c>
    </row>
    <row r="1864" spans="1:8">
      <c r="A1864">
        <v>807055</v>
      </c>
      <c r="B1864" t="s">
        <v>1066</v>
      </c>
      <c r="C1864">
        <v>67</v>
      </c>
      <c r="D1864">
        <v>5.5382495329006396</v>
      </c>
      <c r="E1864">
        <v>371.06271870434301</v>
      </c>
      <c r="F1864">
        <v>0.87118618562130801</v>
      </c>
      <c r="G1864">
        <v>0.92994996426018595</v>
      </c>
      <c r="H1864" t="str">
        <f t="shared" si="29"/>
        <v>Q3</v>
      </c>
    </row>
    <row r="1865" spans="1:8">
      <c r="A1865">
        <v>738202</v>
      </c>
      <c r="B1865" t="s">
        <v>1440</v>
      </c>
      <c r="C1865">
        <v>61</v>
      </c>
      <c r="D1865">
        <v>6.0788274147227197</v>
      </c>
      <c r="E1865">
        <v>370.80847229808597</v>
      </c>
      <c r="F1865">
        <v>0.86035137880440904</v>
      </c>
      <c r="G1865">
        <v>0.92991234340318296</v>
      </c>
      <c r="H1865" t="str">
        <f t="shared" si="29"/>
        <v>Q3</v>
      </c>
    </row>
    <row r="1866" spans="1:8">
      <c r="A1866">
        <v>787260</v>
      </c>
      <c r="B1866" t="s">
        <v>3063</v>
      </c>
      <c r="C1866">
        <v>125</v>
      </c>
      <c r="D1866">
        <v>2.96311859637499</v>
      </c>
      <c r="E1866">
        <v>370.38982454687402</v>
      </c>
      <c r="F1866">
        <v>0.93028855197321403</v>
      </c>
      <c r="G1866">
        <v>0.92987472254617998</v>
      </c>
      <c r="H1866" t="str">
        <f t="shared" si="29"/>
        <v>Q4</v>
      </c>
    </row>
    <row r="1867" spans="1:8">
      <c r="A1867">
        <v>730482</v>
      </c>
      <c r="B1867" t="s">
        <v>2683</v>
      </c>
      <c r="C1867">
        <v>140</v>
      </c>
      <c r="D1867">
        <v>2.6451452628576302</v>
      </c>
      <c r="E1867">
        <v>370.32033680006901</v>
      </c>
      <c r="F1867">
        <v>0.93852751965689796</v>
      </c>
      <c r="G1867">
        <v>0.92983710168917599</v>
      </c>
      <c r="H1867" t="str">
        <f t="shared" si="29"/>
        <v>Q4</v>
      </c>
    </row>
    <row r="1868" spans="1:8">
      <c r="A1868">
        <v>768551</v>
      </c>
      <c r="B1868" t="s">
        <v>449</v>
      </c>
      <c r="C1868">
        <v>119</v>
      </c>
      <c r="D1868">
        <v>3.11157955326328</v>
      </c>
      <c r="E1868">
        <v>370.27796683832997</v>
      </c>
      <c r="F1868">
        <v>0.92667694970091397</v>
      </c>
      <c r="G1868">
        <v>0.92979948083217301</v>
      </c>
      <c r="H1868" t="str">
        <f t="shared" si="29"/>
        <v>Q4</v>
      </c>
    </row>
    <row r="1869" spans="1:8">
      <c r="A1869">
        <v>835801</v>
      </c>
      <c r="B1869" t="s">
        <v>305</v>
      </c>
      <c r="C1869">
        <v>83</v>
      </c>
      <c r="D1869">
        <v>4.4592404334121403</v>
      </c>
      <c r="E1869">
        <v>370.11695597320801</v>
      </c>
      <c r="F1869">
        <v>0.89530115496031004</v>
      </c>
      <c r="G1869">
        <v>0.92976185997517002</v>
      </c>
      <c r="H1869" t="str">
        <f t="shared" si="29"/>
        <v>Q4</v>
      </c>
    </row>
    <row r="1870" spans="1:8">
      <c r="A1870">
        <v>731028</v>
      </c>
      <c r="B1870" t="s">
        <v>995</v>
      </c>
      <c r="C1870">
        <v>76</v>
      </c>
      <c r="D1870">
        <v>4.8698261649788996</v>
      </c>
      <c r="E1870">
        <v>370.10678853839602</v>
      </c>
      <c r="F1870">
        <v>0.88612166585154795</v>
      </c>
      <c r="G1870">
        <v>0.92972423911816704</v>
      </c>
      <c r="H1870" t="str">
        <f t="shared" si="29"/>
        <v>Q4</v>
      </c>
    </row>
    <row r="1871" spans="1:8">
      <c r="A1871">
        <v>737543</v>
      </c>
      <c r="B1871" t="s">
        <v>2913</v>
      </c>
      <c r="C1871">
        <v>135</v>
      </c>
      <c r="D1871">
        <v>2.7404268713737001</v>
      </c>
      <c r="E1871">
        <v>369.957627635449</v>
      </c>
      <c r="F1871">
        <v>0.93615740566570105</v>
      </c>
      <c r="G1871">
        <v>0.92968661826116405</v>
      </c>
      <c r="H1871" t="str">
        <f t="shared" si="29"/>
        <v>Q4</v>
      </c>
    </row>
    <row r="1872" spans="1:8">
      <c r="A1872">
        <v>674651</v>
      </c>
      <c r="B1872" t="s">
        <v>897</v>
      </c>
      <c r="C1872">
        <v>201</v>
      </c>
      <c r="D1872">
        <v>1.8404333622875899</v>
      </c>
      <c r="E1872">
        <v>369.927105819806</v>
      </c>
      <c r="F1872">
        <v>0.95936947443662801</v>
      </c>
      <c r="G1872">
        <v>0.92964899740416096</v>
      </c>
      <c r="H1872" t="str">
        <f t="shared" si="29"/>
        <v>Q2</v>
      </c>
    </row>
    <row r="1873" spans="1:8">
      <c r="A1873">
        <v>717066</v>
      </c>
      <c r="B1873" t="s">
        <v>1717</v>
      </c>
      <c r="C1873">
        <v>163</v>
      </c>
      <c r="D1873">
        <v>2.2692003804458998</v>
      </c>
      <c r="E1873">
        <v>369.87966201268102</v>
      </c>
      <c r="F1873">
        <v>0.94751890448064402</v>
      </c>
      <c r="G1873">
        <v>0.92961137654715797</v>
      </c>
      <c r="H1873" t="str">
        <f t="shared" si="29"/>
        <v>Q4</v>
      </c>
    </row>
    <row r="1874" spans="1:8">
      <c r="A1874">
        <v>715903</v>
      </c>
      <c r="B1874" t="s">
        <v>2654</v>
      </c>
      <c r="C1874">
        <v>114</v>
      </c>
      <c r="D1874">
        <v>3.2441123388707598</v>
      </c>
      <c r="E1874">
        <v>369.82880663126701</v>
      </c>
      <c r="F1874">
        <v>0.92306534742861401</v>
      </c>
      <c r="G1874">
        <v>0.92957375569015499</v>
      </c>
      <c r="H1874" t="str">
        <f t="shared" si="29"/>
        <v>Q4</v>
      </c>
    </row>
    <row r="1875" spans="1:8">
      <c r="A1875">
        <v>713019</v>
      </c>
      <c r="B1875" t="s">
        <v>3950</v>
      </c>
      <c r="C1875">
        <v>236</v>
      </c>
      <c r="D1875">
        <v>1.5667120886619299</v>
      </c>
      <c r="E1875">
        <v>369.74405292421602</v>
      </c>
      <c r="F1875">
        <v>0.96670554155223698</v>
      </c>
      <c r="G1875">
        <v>0.92953613483315101</v>
      </c>
      <c r="H1875" t="str">
        <f t="shared" si="29"/>
        <v>Q2</v>
      </c>
    </row>
    <row r="1876" spans="1:8">
      <c r="A1876">
        <v>717570</v>
      </c>
      <c r="B1876" t="s">
        <v>3133</v>
      </c>
      <c r="C1876">
        <v>97</v>
      </c>
      <c r="D1876">
        <v>3.80929586256749</v>
      </c>
      <c r="E1876">
        <v>369.50169866904599</v>
      </c>
      <c r="F1876">
        <v>0.909108009480456</v>
      </c>
      <c r="G1876">
        <v>0.92949851397614802</v>
      </c>
      <c r="H1876" t="str">
        <f t="shared" si="29"/>
        <v>Q4</v>
      </c>
    </row>
    <row r="1877" spans="1:8">
      <c r="A1877">
        <v>590919</v>
      </c>
      <c r="B1877" t="s">
        <v>3648</v>
      </c>
      <c r="C1877">
        <v>134</v>
      </c>
      <c r="D1877">
        <v>2.7532253515169902</v>
      </c>
      <c r="E1877">
        <v>368.93219710327702</v>
      </c>
      <c r="F1877">
        <v>0.93551785109664798</v>
      </c>
      <c r="G1877">
        <v>0.92946089311914504</v>
      </c>
      <c r="H1877" t="str">
        <f t="shared" si="29"/>
        <v>Q4</v>
      </c>
    </row>
    <row r="1878" spans="1:8">
      <c r="A1878">
        <v>827219</v>
      </c>
      <c r="B1878" t="s">
        <v>4657</v>
      </c>
      <c r="C1878">
        <v>47</v>
      </c>
      <c r="D1878">
        <v>7.8431662964694002</v>
      </c>
      <c r="E1878">
        <v>368.628815934062</v>
      </c>
      <c r="F1878">
        <v>0.82641736578759295</v>
      </c>
      <c r="G1878">
        <v>0.92942327226214205</v>
      </c>
      <c r="H1878" t="str">
        <f t="shared" si="29"/>
        <v>Q3</v>
      </c>
    </row>
    <row r="1879" spans="1:8">
      <c r="A1879">
        <v>674100</v>
      </c>
      <c r="B1879" t="s">
        <v>3538</v>
      </c>
      <c r="C1879">
        <v>41</v>
      </c>
      <c r="D1879">
        <v>8.9634560048580205</v>
      </c>
      <c r="E1879">
        <v>367.50169619917898</v>
      </c>
      <c r="F1879">
        <v>0.80787028328505295</v>
      </c>
      <c r="G1879">
        <v>0.92938565140513896</v>
      </c>
      <c r="H1879" t="str">
        <f t="shared" si="29"/>
        <v>Q3</v>
      </c>
    </row>
    <row r="1880" spans="1:8">
      <c r="A1880">
        <v>709987</v>
      </c>
      <c r="B1880" t="s">
        <v>2687</v>
      </c>
      <c r="C1880">
        <v>77</v>
      </c>
      <c r="D1880">
        <v>4.7717588481964999</v>
      </c>
      <c r="E1880">
        <v>367.42543131113098</v>
      </c>
      <c r="F1880">
        <v>0.88740077498965397</v>
      </c>
      <c r="G1880">
        <v>0.92934803054813597</v>
      </c>
      <c r="H1880" t="str">
        <f t="shared" si="29"/>
        <v>Q4</v>
      </c>
    </row>
    <row r="1881" spans="1:8">
      <c r="A1881">
        <v>826674</v>
      </c>
      <c r="B1881" t="s">
        <v>2585</v>
      </c>
      <c r="C1881">
        <v>113</v>
      </c>
      <c r="D1881">
        <v>3.2478925467064901</v>
      </c>
      <c r="E1881">
        <v>367.011857777834</v>
      </c>
      <c r="F1881">
        <v>0.92257627628757399</v>
      </c>
      <c r="G1881">
        <v>0.92931040969113299</v>
      </c>
      <c r="H1881" t="str">
        <f t="shared" si="29"/>
        <v>Q4</v>
      </c>
    </row>
    <row r="1882" spans="1:8">
      <c r="A1882">
        <v>715828</v>
      </c>
      <c r="B1882" t="s">
        <v>901</v>
      </c>
      <c r="C1882">
        <v>119</v>
      </c>
      <c r="D1882">
        <v>3.0828514198983901</v>
      </c>
      <c r="E1882">
        <v>366.85931896790902</v>
      </c>
      <c r="F1882">
        <v>0.92667694970091397</v>
      </c>
      <c r="G1882">
        <v>0.92927278883413</v>
      </c>
      <c r="H1882" t="str">
        <f t="shared" si="29"/>
        <v>Q4</v>
      </c>
    </row>
    <row r="1883" spans="1:8">
      <c r="A1883">
        <v>710317</v>
      </c>
      <c r="B1883" t="s">
        <v>3500</v>
      </c>
      <c r="C1883">
        <v>50</v>
      </c>
      <c r="D1883">
        <v>7.3327454999089197</v>
      </c>
      <c r="E1883">
        <v>366.63727499544598</v>
      </c>
      <c r="F1883">
        <v>0.83559685489635405</v>
      </c>
      <c r="G1883">
        <v>0.92923516797712602</v>
      </c>
      <c r="H1883" t="str">
        <f t="shared" si="29"/>
        <v>Q3</v>
      </c>
    </row>
    <row r="1884" spans="1:8">
      <c r="A1884">
        <v>700753</v>
      </c>
      <c r="B1884" t="s">
        <v>3059</v>
      </c>
      <c r="C1884">
        <v>149</v>
      </c>
      <c r="D1884">
        <v>2.4598908023096202</v>
      </c>
      <c r="E1884">
        <v>366.523729544133</v>
      </c>
      <c r="F1884">
        <v>0.94266581392724103</v>
      </c>
      <c r="G1884">
        <v>0.92919754712012304</v>
      </c>
      <c r="H1884" t="str">
        <f t="shared" si="29"/>
        <v>Q4</v>
      </c>
    </row>
    <row r="1885" spans="1:8">
      <c r="A1885">
        <v>798699</v>
      </c>
      <c r="B1885" t="s">
        <v>541</v>
      </c>
      <c r="C1885">
        <v>26</v>
      </c>
      <c r="D1885">
        <v>14.0966755266373</v>
      </c>
      <c r="E1885">
        <v>366.51356369257002</v>
      </c>
      <c r="F1885">
        <v>0.73706783040517698</v>
      </c>
      <c r="G1885">
        <v>0.92915992626312005</v>
      </c>
      <c r="H1885" t="str">
        <f t="shared" si="29"/>
        <v>Q3</v>
      </c>
    </row>
    <row r="1886" spans="1:8">
      <c r="A1886">
        <v>598755</v>
      </c>
      <c r="B1886" t="s">
        <v>4810</v>
      </c>
      <c r="C1886">
        <v>279</v>
      </c>
      <c r="D1886">
        <v>1.3134195848191199</v>
      </c>
      <c r="E1886">
        <v>366.44406416453398</v>
      </c>
      <c r="F1886">
        <v>0.97313870809977099</v>
      </c>
      <c r="G1886">
        <v>0.92912230540611696</v>
      </c>
      <c r="H1886" t="str">
        <f t="shared" si="29"/>
        <v>Q2</v>
      </c>
    </row>
    <row r="1887" spans="1:8">
      <c r="A1887">
        <v>395575</v>
      </c>
      <c r="B1887" t="s">
        <v>1606</v>
      </c>
      <c r="C1887">
        <v>152</v>
      </c>
      <c r="D1887">
        <v>2.4106155247672598</v>
      </c>
      <c r="E1887">
        <v>366.41355976462398</v>
      </c>
      <c r="F1887">
        <v>0.94371919792332903</v>
      </c>
      <c r="G1887">
        <v>0.92908468454911397</v>
      </c>
      <c r="H1887" t="str">
        <f t="shared" si="29"/>
        <v>Q4</v>
      </c>
    </row>
    <row r="1888" spans="1:8">
      <c r="A1888">
        <v>713784</v>
      </c>
      <c r="B1888" t="s">
        <v>1303</v>
      </c>
      <c r="C1888">
        <v>162</v>
      </c>
      <c r="D1888">
        <v>2.2610378802328599</v>
      </c>
      <c r="E1888">
        <v>366.288136597723</v>
      </c>
      <c r="F1888">
        <v>0.94714269591061295</v>
      </c>
      <c r="G1888">
        <v>0.92904706369211099</v>
      </c>
      <c r="H1888" t="str">
        <f t="shared" si="29"/>
        <v>Q4</v>
      </c>
    </row>
    <row r="1889" spans="1:8">
      <c r="A1889">
        <v>786197</v>
      </c>
      <c r="B1889" t="s">
        <v>1083</v>
      </c>
      <c r="C1889">
        <v>65</v>
      </c>
      <c r="D1889">
        <v>5.6280835746572597</v>
      </c>
      <c r="E1889">
        <v>365.82543235272198</v>
      </c>
      <c r="F1889">
        <v>0.86802603363304598</v>
      </c>
      <c r="G1889">
        <v>0.929009442835108</v>
      </c>
      <c r="H1889" t="str">
        <f t="shared" si="29"/>
        <v>Q3</v>
      </c>
    </row>
    <row r="1890" spans="1:8">
      <c r="A1890">
        <v>764085</v>
      </c>
      <c r="B1890" t="s">
        <v>583</v>
      </c>
      <c r="C1890">
        <v>147</v>
      </c>
      <c r="D1890">
        <v>2.4872247281731399</v>
      </c>
      <c r="E1890">
        <v>365.622035041451</v>
      </c>
      <c r="F1890">
        <v>0.94195101764418199</v>
      </c>
      <c r="G1890">
        <v>0.92897182197810502</v>
      </c>
      <c r="H1890" t="str">
        <f t="shared" si="29"/>
        <v>Q4</v>
      </c>
    </row>
    <row r="1891" spans="1:8">
      <c r="A1891">
        <v>744393</v>
      </c>
      <c r="B1891" t="s">
        <v>560</v>
      </c>
      <c r="C1891">
        <v>151</v>
      </c>
      <c r="D1891">
        <v>2.4192502012858701</v>
      </c>
      <c r="E1891">
        <v>365.30678039416699</v>
      </c>
      <c r="F1891">
        <v>0.94323012678228801</v>
      </c>
      <c r="G1891">
        <v>0.92893420112110203</v>
      </c>
      <c r="H1891" t="str">
        <f t="shared" si="29"/>
        <v>Q4</v>
      </c>
    </row>
    <row r="1892" spans="1:8">
      <c r="A1892">
        <v>760214</v>
      </c>
      <c r="B1892" t="s">
        <v>4334</v>
      </c>
      <c r="C1892">
        <v>66</v>
      </c>
      <c r="D1892">
        <v>5.5309965275227997</v>
      </c>
      <c r="E1892">
        <v>365.04577081650501</v>
      </c>
      <c r="F1892">
        <v>0.86968135134118396</v>
      </c>
      <c r="G1892">
        <v>0.92889658026409805</v>
      </c>
      <c r="H1892" t="str">
        <f t="shared" si="29"/>
        <v>Q3</v>
      </c>
    </row>
    <row r="1893" spans="1:8">
      <c r="A1893">
        <v>617736</v>
      </c>
      <c r="B1893" t="s">
        <v>1354</v>
      </c>
      <c r="C1893">
        <v>66</v>
      </c>
      <c r="D1893">
        <v>5.5151001493813396</v>
      </c>
      <c r="E1893">
        <v>363.99660985916898</v>
      </c>
      <c r="F1893">
        <v>0.86968135134118396</v>
      </c>
      <c r="G1893">
        <v>0.92885895940709495</v>
      </c>
      <c r="H1893" t="str">
        <f t="shared" si="29"/>
        <v>Q3</v>
      </c>
    </row>
    <row r="1894" spans="1:8">
      <c r="A1894">
        <v>821643</v>
      </c>
      <c r="B1894" t="s">
        <v>1604</v>
      </c>
      <c r="C1894">
        <v>107</v>
      </c>
      <c r="D1894">
        <v>3.4008237263448899</v>
      </c>
      <c r="E1894">
        <v>363.88813871890301</v>
      </c>
      <c r="F1894">
        <v>0.91791129001918703</v>
      </c>
      <c r="G1894">
        <v>0.92882133855009197</v>
      </c>
      <c r="H1894" t="str">
        <f t="shared" si="29"/>
        <v>Q4</v>
      </c>
    </row>
    <row r="1895" spans="1:8">
      <c r="A1895">
        <v>523642</v>
      </c>
      <c r="B1895" t="s">
        <v>1380</v>
      </c>
      <c r="C1895">
        <v>97</v>
      </c>
      <c r="D1895">
        <v>3.75140663428405</v>
      </c>
      <c r="E1895">
        <v>363.88644352555298</v>
      </c>
      <c r="F1895">
        <v>0.909108009480456</v>
      </c>
      <c r="G1895">
        <v>0.92878371769308898</v>
      </c>
      <c r="H1895" t="str">
        <f t="shared" si="29"/>
        <v>Q4</v>
      </c>
    </row>
    <row r="1896" spans="1:8">
      <c r="A1896">
        <v>789119</v>
      </c>
      <c r="B1896" t="s">
        <v>3368</v>
      </c>
      <c r="C1896">
        <v>43</v>
      </c>
      <c r="D1896">
        <v>8.4546316068532796</v>
      </c>
      <c r="E1896">
        <v>363.54915909469099</v>
      </c>
      <c r="F1896">
        <v>0.81437869154659304</v>
      </c>
      <c r="G1896">
        <v>0.928746096836086</v>
      </c>
      <c r="H1896" t="str">
        <f t="shared" si="29"/>
        <v>Q3</v>
      </c>
    </row>
    <row r="1897" spans="1:8">
      <c r="A1897">
        <v>762261</v>
      </c>
      <c r="B1897" t="s">
        <v>3613</v>
      </c>
      <c r="C1897">
        <v>130</v>
      </c>
      <c r="D1897">
        <v>2.79419813878261</v>
      </c>
      <c r="E1897">
        <v>363.24575804173901</v>
      </c>
      <c r="F1897">
        <v>0.93307249539144499</v>
      </c>
      <c r="G1897">
        <v>0.92870847597908301</v>
      </c>
      <c r="H1897" t="str">
        <f t="shared" si="29"/>
        <v>Q4</v>
      </c>
    </row>
    <row r="1898" spans="1:8">
      <c r="A1898">
        <v>684021</v>
      </c>
      <c r="B1898" t="s">
        <v>5211</v>
      </c>
      <c r="C1898">
        <v>330</v>
      </c>
      <c r="D1898">
        <v>1.1007190710215899</v>
      </c>
      <c r="E1898">
        <v>363.23729343712301</v>
      </c>
      <c r="F1898">
        <v>0.97878183665023899</v>
      </c>
      <c r="G1898">
        <v>0.92867085512208003</v>
      </c>
      <c r="H1898" t="str">
        <f t="shared" si="29"/>
        <v>Q2</v>
      </c>
    </row>
    <row r="1899" spans="1:8">
      <c r="A1899">
        <v>820360</v>
      </c>
      <c r="B1899" t="s">
        <v>4727</v>
      </c>
      <c r="C1899">
        <v>62</v>
      </c>
      <c r="D1899">
        <v>5.8531984085998197</v>
      </c>
      <c r="E1899">
        <v>362.89830133318901</v>
      </c>
      <c r="F1899">
        <v>0.86238290508257798</v>
      </c>
      <c r="G1899">
        <v>0.92863323426507705</v>
      </c>
      <c r="H1899" t="str">
        <f t="shared" si="29"/>
        <v>Q3</v>
      </c>
    </row>
    <row r="1900" spans="1:8">
      <c r="A1900">
        <v>717673</v>
      </c>
      <c r="B1900" t="s">
        <v>3086</v>
      </c>
      <c r="C1900">
        <v>88</v>
      </c>
      <c r="D1900">
        <v>4.1202619502490201</v>
      </c>
      <c r="E1900">
        <v>362.58305162191402</v>
      </c>
      <c r="F1900">
        <v>0.90045521236973802</v>
      </c>
      <c r="G1900">
        <v>0.92859561340807295</v>
      </c>
      <c r="H1900" t="str">
        <f t="shared" si="29"/>
        <v>Q4</v>
      </c>
    </row>
    <row r="1901" spans="1:8">
      <c r="A1901">
        <v>794396</v>
      </c>
      <c r="B1901" t="s">
        <v>4216</v>
      </c>
      <c r="C1901">
        <v>61</v>
      </c>
      <c r="D1901">
        <v>5.93751037768165</v>
      </c>
      <c r="E1901">
        <v>362.18813303858002</v>
      </c>
      <c r="F1901">
        <v>0.86035137880440904</v>
      </c>
      <c r="G1901">
        <v>0.92855799255106997</v>
      </c>
      <c r="H1901" t="str">
        <f t="shared" si="29"/>
        <v>Q3</v>
      </c>
    </row>
    <row r="1902" spans="1:8">
      <c r="A1902">
        <v>734077</v>
      </c>
      <c r="B1902" t="s">
        <v>3147</v>
      </c>
      <c r="C1902">
        <v>90</v>
      </c>
      <c r="D1902">
        <v>4.0231262375083201</v>
      </c>
      <c r="E1902">
        <v>362.081361375749</v>
      </c>
      <c r="F1902">
        <v>0.90267484293292199</v>
      </c>
      <c r="G1902">
        <v>0.92852037169406698</v>
      </c>
      <c r="H1902" t="str">
        <f t="shared" si="29"/>
        <v>Q4</v>
      </c>
    </row>
    <row r="1903" spans="1:8">
      <c r="A1903">
        <v>808276</v>
      </c>
      <c r="B1903" t="s">
        <v>4049</v>
      </c>
      <c r="C1903">
        <v>105</v>
      </c>
      <c r="D1903">
        <v>3.44676351440804</v>
      </c>
      <c r="E1903">
        <v>361.91016901284502</v>
      </c>
      <c r="F1903">
        <v>0.91618073059704297</v>
      </c>
      <c r="G1903">
        <v>0.928482750837064</v>
      </c>
      <c r="H1903" t="str">
        <f t="shared" si="29"/>
        <v>Q4</v>
      </c>
    </row>
    <row r="1904" spans="1:8">
      <c r="A1904">
        <v>711957</v>
      </c>
      <c r="B1904" t="s">
        <v>4261</v>
      </c>
      <c r="C1904">
        <v>112</v>
      </c>
      <c r="D1904">
        <v>3.2278903843169799</v>
      </c>
      <c r="E1904">
        <v>361.52372304350098</v>
      </c>
      <c r="F1904">
        <v>0.92156051314848997</v>
      </c>
      <c r="G1904">
        <v>0.92844512998006101</v>
      </c>
      <c r="H1904" t="str">
        <f t="shared" si="29"/>
        <v>Q4</v>
      </c>
    </row>
    <row r="1905" spans="1:8">
      <c r="A1905">
        <v>504155</v>
      </c>
      <c r="B1905" t="s">
        <v>2576</v>
      </c>
      <c r="C1905">
        <v>195</v>
      </c>
      <c r="D1905">
        <v>1.8539156411320701</v>
      </c>
      <c r="E1905">
        <v>361.513550020754</v>
      </c>
      <c r="F1905">
        <v>0.95767653587148704</v>
      </c>
      <c r="G1905">
        <v>0.92840750912305803</v>
      </c>
      <c r="H1905" t="str">
        <f t="shared" si="29"/>
        <v>Q2</v>
      </c>
    </row>
    <row r="1906" spans="1:8">
      <c r="A1906">
        <v>800804</v>
      </c>
      <c r="B1906" t="s">
        <v>3594</v>
      </c>
      <c r="C1906">
        <v>75</v>
      </c>
      <c r="D1906">
        <v>4.8197062909603101</v>
      </c>
      <c r="E1906">
        <v>361.47797182202299</v>
      </c>
      <c r="F1906">
        <v>0.88420300214438896</v>
      </c>
      <c r="G1906">
        <v>0.92836988826605504</v>
      </c>
      <c r="H1906" t="str">
        <f t="shared" si="29"/>
        <v>Q4</v>
      </c>
    </row>
    <row r="1907" spans="1:8">
      <c r="A1907">
        <v>587026</v>
      </c>
      <c r="B1907" t="s">
        <v>5151</v>
      </c>
      <c r="C1907">
        <v>112</v>
      </c>
      <c r="D1907">
        <v>3.2267706040459299</v>
      </c>
      <c r="E1907">
        <v>361.398307653144</v>
      </c>
      <c r="F1907">
        <v>0.92156051314848997</v>
      </c>
      <c r="G1907">
        <v>0.92833226740905195</v>
      </c>
      <c r="H1907" t="str">
        <f t="shared" si="29"/>
        <v>Q4</v>
      </c>
    </row>
    <row r="1908" spans="1:8">
      <c r="A1908">
        <v>813898</v>
      </c>
      <c r="B1908" t="s">
        <v>2279</v>
      </c>
      <c r="C1908">
        <v>84</v>
      </c>
      <c r="D1908">
        <v>4.3021792301996804</v>
      </c>
      <c r="E1908">
        <v>361.383055336773</v>
      </c>
      <c r="F1908">
        <v>0.89639215981340103</v>
      </c>
      <c r="G1908">
        <v>0.92829464655204796</v>
      </c>
      <c r="H1908" t="str">
        <f t="shared" si="29"/>
        <v>Q4</v>
      </c>
    </row>
    <row r="1909" spans="1:8">
      <c r="A1909">
        <v>767862</v>
      </c>
      <c r="B1909" t="s">
        <v>632</v>
      </c>
      <c r="C1909">
        <v>229</v>
      </c>
      <c r="D1909">
        <v>1.5778698254880901</v>
      </c>
      <c r="E1909">
        <v>361.33219003677402</v>
      </c>
      <c r="F1909">
        <v>0.96512546555810497</v>
      </c>
      <c r="G1909">
        <v>0.92825702569504498</v>
      </c>
      <c r="H1909" t="str">
        <f t="shared" si="29"/>
        <v>Q2</v>
      </c>
    </row>
    <row r="1910" spans="1:8">
      <c r="A1910">
        <v>751091</v>
      </c>
      <c r="B1910" t="s">
        <v>1510</v>
      </c>
      <c r="C1910">
        <v>118</v>
      </c>
      <c r="D1910">
        <v>3.0612610785637902</v>
      </c>
      <c r="E1910">
        <v>361.228807270527</v>
      </c>
      <c r="F1910">
        <v>0.92592453256085205</v>
      </c>
      <c r="G1910">
        <v>0.92821940483804199</v>
      </c>
      <c r="H1910" t="str">
        <f t="shared" si="29"/>
        <v>Q4</v>
      </c>
    </row>
    <row r="1911" spans="1:8">
      <c r="A1911">
        <v>735064</v>
      </c>
      <c r="B1911" t="s">
        <v>2076</v>
      </c>
      <c r="C1911">
        <v>74</v>
      </c>
      <c r="D1911">
        <v>4.8814247374901099</v>
      </c>
      <c r="E1911">
        <v>361.22543057426799</v>
      </c>
      <c r="F1911">
        <v>0.88307437643429498</v>
      </c>
      <c r="G1911">
        <v>0.92818178398103901</v>
      </c>
      <c r="H1911" t="str">
        <f t="shared" si="29"/>
        <v>Q4</v>
      </c>
    </row>
    <row r="1912" spans="1:8">
      <c r="A1912">
        <v>713156</v>
      </c>
      <c r="B1912" t="s">
        <v>2791</v>
      </c>
      <c r="C1912">
        <v>73</v>
      </c>
      <c r="D1912">
        <v>4.9481542423775799</v>
      </c>
      <c r="E1912">
        <v>361.21525969356298</v>
      </c>
      <c r="F1912">
        <v>0.88111809187013301</v>
      </c>
      <c r="G1912">
        <v>0.92814416312403603</v>
      </c>
      <c r="H1912" t="str">
        <f t="shared" si="29"/>
        <v>Q3</v>
      </c>
    </row>
    <row r="1913" spans="1:8">
      <c r="A1913">
        <v>683159</v>
      </c>
      <c r="B1913" t="s">
        <v>5114</v>
      </c>
      <c r="C1913">
        <v>75</v>
      </c>
      <c r="D1913">
        <v>4.8157515029112501</v>
      </c>
      <c r="E1913">
        <v>361.18136271834402</v>
      </c>
      <c r="F1913">
        <v>0.88420300214438896</v>
      </c>
      <c r="G1913">
        <v>0.92810654226703304</v>
      </c>
      <c r="H1913" t="str">
        <f t="shared" si="29"/>
        <v>Q4</v>
      </c>
    </row>
    <row r="1914" spans="1:8">
      <c r="A1914">
        <v>726923</v>
      </c>
      <c r="B1914" t="s">
        <v>5225</v>
      </c>
      <c r="C1914">
        <v>185</v>
      </c>
      <c r="D1914">
        <v>1.94929912919179</v>
      </c>
      <c r="E1914">
        <v>360.62033890048002</v>
      </c>
      <c r="F1914">
        <v>0.95515593845227797</v>
      </c>
      <c r="G1914">
        <v>0.92806892141002995</v>
      </c>
      <c r="H1914" t="str">
        <f t="shared" si="29"/>
        <v>Q2</v>
      </c>
    </row>
    <row r="1915" spans="1:8">
      <c r="A1915">
        <v>751992</v>
      </c>
      <c r="B1915" t="s">
        <v>752</v>
      </c>
      <c r="C1915">
        <v>75</v>
      </c>
      <c r="D1915">
        <v>4.8068249573310204</v>
      </c>
      <c r="E1915">
        <v>360.51187179982702</v>
      </c>
      <c r="F1915">
        <v>0.88420300214438896</v>
      </c>
      <c r="G1915">
        <v>0.92803130055302696</v>
      </c>
      <c r="H1915" t="str">
        <f t="shared" si="29"/>
        <v>Q4</v>
      </c>
    </row>
    <row r="1916" spans="1:8">
      <c r="A1916">
        <v>753816</v>
      </c>
      <c r="B1916" t="s">
        <v>5269</v>
      </c>
      <c r="C1916">
        <v>173</v>
      </c>
      <c r="D1916">
        <v>2.0791613549327801</v>
      </c>
      <c r="E1916">
        <v>359.69491440337202</v>
      </c>
      <c r="F1916">
        <v>0.95116812760994696</v>
      </c>
      <c r="G1916">
        <v>0.92799367969602298</v>
      </c>
      <c r="H1916" t="str">
        <f t="shared" si="29"/>
        <v>Q2</v>
      </c>
    </row>
    <row r="1917" spans="1:8">
      <c r="A1917">
        <v>779656</v>
      </c>
      <c r="B1917" t="s">
        <v>649</v>
      </c>
      <c r="C1917">
        <v>57</v>
      </c>
      <c r="D1917">
        <v>6.3099017987648596</v>
      </c>
      <c r="E1917">
        <v>359.664402529597</v>
      </c>
      <c r="F1917">
        <v>0.851849065121703</v>
      </c>
      <c r="G1917">
        <v>0.92795605883901999</v>
      </c>
      <c r="H1917" t="str">
        <f t="shared" si="29"/>
        <v>Q3</v>
      </c>
    </row>
    <row r="1918" spans="1:8">
      <c r="A1918">
        <v>732874</v>
      </c>
      <c r="B1918" t="s">
        <v>2125</v>
      </c>
      <c r="C1918">
        <v>70</v>
      </c>
      <c r="D1918">
        <v>5.1370703442288299</v>
      </c>
      <c r="E1918">
        <v>359.59492409601802</v>
      </c>
      <c r="F1918">
        <v>0.87555020503367098</v>
      </c>
      <c r="G1918">
        <v>0.92791843798201701</v>
      </c>
      <c r="H1918" t="str">
        <f t="shared" si="29"/>
        <v>Q3</v>
      </c>
    </row>
    <row r="1919" spans="1:8">
      <c r="A1919">
        <v>750213</v>
      </c>
      <c r="B1919" t="s">
        <v>3817</v>
      </c>
      <c r="C1919">
        <v>112</v>
      </c>
      <c r="D1919">
        <v>3.2089436368551101</v>
      </c>
      <c r="E1919">
        <v>359.40168732777198</v>
      </c>
      <c r="F1919">
        <v>0.92156051314848997</v>
      </c>
      <c r="G1919">
        <v>0.92788081712501402</v>
      </c>
      <c r="H1919" t="str">
        <f t="shared" si="29"/>
        <v>Q4</v>
      </c>
    </row>
    <row r="1920" spans="1:8">
      <c r="A1920">
        <v>696542</v>
      </c>
      <c r="B1920" t="s">
        <v>5258</v>
      </c>
      <c r="C1920">
        <v>180</v>
      </c>
      <c r="D1920">
        <v>1.99561201294677</v>
      </c>
      <c r="E1920">
        <v>359.210162330419</v>
      </c>
      <c r="F1920">
        <v>0.95346299988713701</v>
      </c>
      <c r="G1920">
        <v>0.92784319626801104</v>
      </c>
      <c r="H1920" t="str">
        <f t="shared" si="29"/>
        <v>Q2</v>
      </c>
    </row>
    <row r="1921" spans="1:8">
      <c r="A1921">
        <v>765948</v>
      </c>
      <c r="B1921" t="s">
        <v>1857</v>
      </c>
      <c r="C1921">
        <v>87</v>
      </c>
      <c r="D1921">
        <v>4.1233976425110601</v>
      </c>
      <c r="E1921">
        <v>358.73559489846201</v>
      </c>
      <c r="F1921">
        <v>0.89955231180166295</v>
      </c>
      <c r="G1921">
        <v>0.92780557541100805</v>
      </c>
      <c r="H1921" t="str">
        <f t="shared" si="29"/>
        <v>Q4</v>
      </c>
    </row>
    <row r="1922" spans="1:8">
      <c r="A1922">
        <v>700746</v>
      </c>
      <c r="B1922" t="s">
        <v>4235</v>
      </c>
      <c r="C1922">
        <v>163</v>
      </c>
      <c r="D1922">
        <v>2.1993033256541699</v>
      </c>
      <c r="E1922">
        <v>358.48644208163</v>
      </c>
      <c r="F1922">
        <v>0.94751890448064402</v>
      </c>
      <c r="G1922">
        <v>0.92776795455400496</v>
      </c>
      <c r="H1922" t="str">
        <f t="shared" si="29"/>
        <v>Q4</v>
      </c>
    </row>
    <row r="1923" spans="1:8">
      <c r="A1923">
        <v>734178</v>
      </c>
      <c r="B1923" t="s">
        <v>3529</v>
      </c>
      <c r="C1923">
        <v>56</v>
      </c>
      <c r="D1923">
        <v>6.40127112024597</v>
      </c>
      <c r="E1923">
        <v>358.47118273377401</v>
      </c>
      <c r="F1923">
        <v>0.85004326398555397</v>
      </c>
      <c r="G1923">
        <v>0.92773033369700197</v>
      </c>
      <c r="H1923" t="str">
        <f t="shared" ref="H1923:H1986" si="30">IF(C1923&gt;$J$2,
   IF(D1923&gt;$J$3,"Q1","Q2"),
   IF(D1923&gt;$J$3,"Q3","Q4"))</f>
        <v>Q3</v>
      </c>
    </row>
    <row r="1924" spans="1:8">
      <c r="A1924">
        <v>581781</v>
      </c>
      <c r="B1924" t="s">
        <v>5092</v>
      </c>
      <c r="C1924">
        <v>108</v>
      </c>
      <c r="D1924">
        <v>3.3191148950545899</v>
      </c>
      <c r="E1924">
        <v>358.46440866589501</v>
      </c>
      <c r="F1924">
        <v>0.91866370715924905</v>
      </c>
      <c r="G1924">
        <v>0.92769271283999899</v>
      </c>
      <c r="H1924" t="str">
        <f t="shared" si="30"/>
        <v>Q4</v>
      </c>
    </row>
    <row r="1925" spans="1:8">
      <c r="A1925">
        <v>711714</v>
      </c>
      <c r="B1925" t="s">
        <v>3319</v>
      </c>
      <c r="C1925">
        <v>93</v>
      </c>
      <c r="D1925">
        <v>3.8485876224454398</v>
      </c>
      <c r="E1925">
        <v>357.918648887426</v>
      </c>
      <c r="F1925">
        <v>0.90587261577818701</v>
      </c>
      <c r="G1925">
        <v>0.92765509198299501</v>
      </c>
      <c r="H1925" t="str">
        <f t="shared" si="30"/>
        <v>Q4</v>
      </c>
    </row>
    <row r="1926" spans="1:8">
      <c r="A1926">
        <v>823793</v>
      </c>
      <c r="B1926" t="s">
        <v>2967</v>
      </c>
      <c r="C1926">
        <v>64</v>
      </c>
      <c r="D1926">
        <v>5.5899895349284598</v>
      </c>
      <c r="E1926">
        <v>357.759330235422</v>
      </c>
      <c r="F1926">
        <v>0.86633309506790601</v>
      </c>
      <c r="G1926">
        <v>0.92761747112599202</v>
      </c>
      <c r="H1926" t="str">
        <f t="shared" si="30"/>
        <v>Q3</v>
      </c>
    </row>
    <row r="1927" spans="1:8">
      <c r="A1927">
        <v>677845</v>
      </c>
      <c r="B1927" t="s">
        <v>2750</v>
      </c>
      <c r="C1927">
        <v>87</v>
      </c>
      <c r="D1927">
        <v>4.1079290810672697</v>
      </c>
      <c r="E1927">
        <v>357.38983005285297</v>
      </c>
      <c r="F1927">
        <v>0.89955231180166295</v>
      </c>
      <c r="G1927">
        <v>0.92757985026898904</v>
      </c>
      <c r="H1927" t="str">
        <f t="shared" si="30"/>
        <v>Q4</v>
      </c>
    </row>
    <row r="1928" spans="1:8">
      <c r="A1928">
        <v>772843</v>
      </c>
      <c r="B1928" t="s">
        <v>842</v>
      </c>
      <c r="C1928">
        <v>57</v>
      </c>
      <c r="D1928">
        <v>6.2691048996751801</v>
      </c>
      <c r="E1928">
        <v>357.33897928148502</v>
      </c>
      <c r="F1928">
        <v>0.851849065121703</v>
      </c>
      <c r="G1928">
        <v>0.92754222941198605</v>
      </c>
      <c r="H1928" t="str">
        <f t="shared" si="30"/>
        <v>Q3</v>
      </c>
    </row>
    <row r="1929" spans="1:8">
      <c r="A1929">
        <v>743113</v>
      </c>
      <c r="B1929" t="s">
        <v>1084</v>
      </c>
      <c r="C1929">
        <v>200</v>
      </c>
      <c r="D1929">
        <v>1.78431355254725</v>
      </c>
      <c r="E1929">
        <v>356.86271050944902</v>
      </c>
      <c r="F1929">
        <v>0.95903088672360004</v>
      </c>
      <c r="G1929">
        <v>0.92750460855498296</v>
      </c>
      <c r="H1929" t="str">
        <f t="shared" si="30"/>
        <v>Q2</v>
      </c>
    </row>
    <row r="1930" spans="1:8">
      <c r="A1930">
        <v>786336</v>
      </c>
      <c r="B1930" t="s">
        <v>4908</v>
      </c>
      <c r="C1930">
        <v>90</v>
      </c>
      <c r="D1930">
        <v>3.96293786043922</v>
      </c>
      <c r="E1930">
        <v>356.66440743953001</v>
      </c>
      <c r="F1930">
        <v>0.90267484293292199</v>
      </c>
      <c r="G1930">
        <v>0.92746698769797997</v>
      </c>
      <c r="H1930" t="str">
        <f t="shared" si="30"/>
        <v>Q4</v>
      </c>
    </row>
    <row r="1931" spans="1:8">
      <c r="A1931">
        <v>584298</v>
      </c>
      <c r="B1931" t="s">
        <v>3556</v>
      </c>
      <c r="C1931">
        <v>110</v>
      </c>
      <c r="D1931">
        <v>3.2405392343009098</v>
      </c>
      <c r="E1931">
        <v>356.4593157731</v>
      </c>
      <c r="F1931">
        <v>0.92001805801136105</v>
      </c>
      <c r="G1931">
        <v>0.92742936684097699</v>
      </c>
      <c r="H1931" t="str">
        <f t="shared" si="30"/>
        <v>Q4</v>
      </c>
    </row>
    <row r="1932" spans="1:8">
      <c r="A1932">
        <v>758513</v>
      </c>
      <c r="B1932" t="s">
        <v>2627</v>
      </c>
      <c r="C1932">
        <v>77</v>
      </c>
      <c r="D1932">
        <v>4.6274489178866496</v>
      </c>
      <c r="E1932">
        <v>356.31356667727198</v>
      </c>
      <c r="F1932">
        <v>0.88740077498965397</v>
      </c>
      <c r="G1932">
        <v>0.927391745983974</v>
      </c>
      <c r="H1932" t="str">
        <f t="shared" si="30"/>
        <v>Q4</v>
      </c>
    </row>
    <row r="1933" spans="1:8">
      <c r="A1933">
        <v>803544</v>
      </c>
      <c r="B1933" t="s">
        <v>265</v>
      </c>
      <c r="C1933">
        <v>77</v>
      </c>
      <c r="D1933">
        <v>4.6264802371817</v>
      </c>
      <c r="E1933">
        <v>356.238978262991</v>
      </c>
      <c r="F1933">
        <v>0.88740077498965397</v>
      </c>
      <c r="G1933">
        <v>0.92735412512697002</v>
      </c>
      <c r="H1933" t="str">
        <f t="shared" si="30"/>
        <v>Q4</v>
      </c>
    </row>
    <row r="1934" spans="1:8">
      <c r="A1934">
        <v>775313</v>
      </c>
      <c r="B1934" t="s">
        <v>3789</v>
      </c>
      <c r="C1934">
        <v>220</v>
      </c>
      <c r="D1934">
        <v>1.6186285984109701</v>
      </c>
      <c r="E1934">
        <v>356.09829165041401</v>
      </c>
      <c r="F1934">
        <v>0.96365825213498402</v>
      </c>
      <c r="G1934">
        <v>0.92731650426996703</v>
      </c>
      <c r="H1934" t="str">
        <f t="shared" si="30"/>
        <v>Q2</v>
      </c>
    </row>
    <row r="1935" spans="1:8">
      <c r="A1935">
        <v>612109</v>
      </c>
      <c r="B1935" t="s">
        <v>1001</v>
      </c>
      <c r="C1935">
        <v>36</v>
      </c>
      <c r="D1935">
        <v>9.8784842011001395</v>
      </c>
      <c r="E1935">
        <v>355.62543123960501</v>
      </c>
      <c r="F1935">
        <v>0.78890937135547901</v>
      </c>
      <c r="G1935">
        <v>0.92727888341296405</v>
      </c>
      <c r="H1935" t="str">
        <f t="shared" si="30"/>
        <v>Q3</v>
      </c>
    </row>
    <row r="1936" spans="1:8">
      <c r="A1936">
        <v>628631</v>
      </c>
      <c r="B1936" t="s">
        <v>609</v>
      </c>
      <c r="C1936">
        <v>34</v>
      </c>
      <c r="D1936">
        <v>10.456829381120601</v>
      </c>
      <c r="E1936">
        <v>355.532198958099</v>
      </c>
      <c r="F1936">
        <v>0.77969226138971404</v>
      </c>
      <c r="G1936">
        <v>0.92724126255596095</v>
      </c>
      <c r="H1936" t="str">
        <f t="shared" si="30"/>
        <v>Q3</v>
      </c>
    </row>
    <row r="1937" spans="1:8">
      <c r="A1937">
        <v>699620</v>
      </c>
      <c r="B1937" t="s">
        <v>2555</v>
      </c>
      <c r="C1937">
        <v>71</v>
      </c>
      <c r="D1937">
        <v>5.0052517736461803</v>
      </c>
      <c r="E1937">
        <v>355.37287592887901</v>
      </c>
      <c r="F1937">
        <v>0.87799556073887397</v>
      </c>
      <c r="G1937">
        <v>0.92720364169895797</v>
      </c>
      <c r="H1937" t="str">
        <f t="shared" si="30"/>
        <v>Q3</v>
      </c>
    </row>
    <row r="1938" spans="1:8">
      <c r="A1938">
        <v>464679</v>
      </c>
      <c r="B1938" t="s">
        <v>2116</v>
      </c>
      <c r="C1938">
        <v>73</v>
      </c>
      <c r="D1938">
        <v>4.8650337549003</v>
      </c>
      <c r="E1938">
        <v>355.14746410772199</v>
      </c>
      <c r="F1938">
        <v>0.88111809187013301</v>
      </c>
      <c r="G1938">
        <v>0.92716602084195499</v>
      </c>
      <c r="H1938" t="str">
        <f t="shared" si="30"/>
        <v>Q4</v>
      </c>
    </row>
    <row r="1939" spans="1:8">
      <c r="A1939">
        <v>772934</v>
      </c>
      <c r="B1939" t="s">
        <v>2705</v>
      </c>
      <c r="C1939">
        <v>72</v>
      </c>
      <c r="D1939">
        <v>4.9315443158977601</v>
      </c>
      <c r="E1939">
        <v>355.07119074463799</v>
      </c>
      <c r="F1939">
        <v>0.87957563673300498</v>
      </c>
      <c r="G1939">
        <v>0.927128399984952</v>
      </c>
      <c r="H1939" t="str">
        <f t="shared" si="30"/>
        <v>Q3</v>
      </c>
    </row>
    <row r="1940" spans="1:8">
      <c r="A1940">
        <v>784460</v>
      </c>
      <c r="B1940" t="s">
        <v>3722</v>
      </c>
      <c r="C1940">
        <v>108</v>
      </c>
      <c r="D1940">
        <v>3.2868329608054099</v>
      </c>
      <c r="E1940">
        <v>354.97795976698399</v>
      </c>
      <c r="F1940">
        <v>0.91866370715924905</v>
      </c>
      <c r="G1940">
        <v>0.92709077912794902</v>
      </c>
      <c r="H1940" t="str">
        <f t="shared" si="30"/>
        <v>Q4</v>
      </c>
    </row>
    <row r="1941" spans="1:8">
      <c r="A1941">
        <v>786844</v>
      </c>
      <c r="B1941" t="s">
        <v>3924</v>
      </c>
      <c r="C1941">
        <v>18</v>
      </c>
      <c r="D1941">
        <v>19.719114858243199</v>
      </c>
      <c r="E1941">
        <v>354.94406744837801</v>
      </c>
      <c r="F1941">
        <v>0.67044129265264696</v>
      </c>
      <c r="G1941">
        <v>0.92705315827094503</v>
      </c>
      <c r="H1941" t="str">
        <f t="shared" si="30"/>
        <v>Q3</v>
      </c>
    </row>
    <row r="1942" spans="1:8">
      <c r="A1942">
        <v>738883</v>
      </c>
      <c r="B1942" t="s">
        <v>884</v>
      </c>
      <c r="C1942">
        <v>86</v>
      </c>
      <c r="D1942">
        <v>4.1271384134022302</v>
      </c>
      <c r="E1942">
        <v>354.93390355259203</v>
      </c>
      <c r="F1942">
        <v>0.89864941123358799</v>
      </c>
      <c r="G1942">
        <v>0.92701553741394205</v>
      </c>
      <c r="H1942" t="str">
        <f t="shared" si="30"/>
        <v>Q4</v>
      </c>
    </row>
    <row r="1943" spans="1:8">
      <c r="A1943">
        <v>786524</v>
      </c>
      <c r="B1943" t="s">
        <v>1564</v>
      </c>
      <c r="C1943">
        <v>24</v>
      </c>
      <c r="D1943">
        <v>14.788488857448099</v>
      </c>
      <c r="E1943">
        <v>354.92373257875403</v>
      </c>
      <c r="F1943">
        <v>0.72284714645799597</v>
      </c>
      <c r="G1943">
        <v>0.92697791655693895</v>
      </c>
      <c r="H1943" t="str">
        <f t="shared" si="30"/>
        <v>Q3</v>
      </c>
    </row>
    <row r="1944" spans="1:8">
      <c r="A1944">
        <v>625345</v>
      </c>
      <c r="B1944" t="s">
        <v>4311</v>
      </c>
      <c r="C1944">
        <v>63</v>
      </c>
      <c r="D1944">
        <v>5.6328492091288602</v>
      </c>
      <c r="E1944">
        <v>354.86950017511799</v>
      </c>
      <c r="F1944">
        <v>0.86445205221775001</v>
      </c>
      <c r="G1944">
        <v>0.92694029569993597</v>
      </c>
      <c r="H1944" t="str">
        <f t="shared" si="30"/>
        <v>Q3</v>
      </c>
    </row>
    <row r="1945" spans="1:8">
      <c r="A1945">
        <v>616598</v>
      </c>
      <c r="B1945" t="s">
        <v>4522</v>
      </c>
      <c r="C1945">
        <v>80</v>
      </c>
      <c r="D1945">
        <v>4.4350636377930597</v>
      </c>
      <c r="E1945">
        <v>354.80509102344502</v>
      </c>
      <c r="F1945">
        <v>0.89150144840299494</v>
      </c>
      <c r="G1945">
        <v>0.92690267484293298</v>
      </c>
      <c r="H1945" t="str">
        <f t="shared" si="30"/>
        <v>Q4</v>
      </c>
    </row>
    <row r="1946" spans="1:8">
      <c r="A1946">
        <v>713349</v>
      </c>
      <c r="B1946" t="s">
        <v>2175</v>
      </c>
      <c r="C1946">
        <v>119</v>
      </c>
      <c r="D1946">
        <v>2.9792622076112698</v>
      </c>
      <c r="E1946">
        <v>354.53220270574099</v>
      </c>
      <c r="F1946">
        <v>0.92667694970091397</v>
      </c>
      <c r="G1946">
        <v>0.92686505398593</v>
      </c>
      <c r="H1946" t="str">
        <f t="shared" si="30"/>
        <v>Q4</v>
      </c>
    </row>
    <row r="1947" spans="1:8">
      <c r="A1947">
        <v>694127</v>
      </c>
      <c r="B1947" t="s">
        <v>3090</v>
      </c>
      <c r="C1947">
        <v>133</v>
      </c>
      <c r="D1947">
        <v>2.6645214219850701</v>
      </c>
      <c r="E1947">
        <v>354.38134912401398</v>
      </c>
      <c r="F1947">
        <v>0.93476543395658596</v>
      </c>
      <c r="G1947">
        <v>0.92682743312892701</v>
      </c>
      <c r="H1947" t="str">
        <f t="shared" si="30"/>
        <v>Q4</v>
      </c>
    </row>
    <row r="1948" spans="1:8">
      <c r="A1948">
        <v>772764</v>
      </c>
      <c r="B1948" t="s">
        <v>2087</v>
      </c>
      <c r="C1948">
        <v>44</v>
      </c>
      <c r="D1948">
        <v>8.0491525883024408</v>
      </c>
      <c r="E1948">
        <v>354.16271388530703</v>
      </c>
      <c r="F1948">
        <v>0.817689326962868</v>
      </c>
      <c r="G1948">
        <v>0.92678981227192403</v>
      </c>
      <c r="H1948" t="str">
        <f t="shared" si="30"/>
        <v>Q3</v>
      </c>
    </row>
    <row r="1949" spans="1:8">
      <c r="A1949">
        <v>642498</v>
      </c>
      <c r="B1949" t="s">
        <v>749</v>
      </c>
      <c r="C1949">
        <v>235</v>
      </c>
      <c r="D1949">
        <v>1.50398120066111</v>
      </c>
      <c r="E1949">
        <v>353.435582155362</v>
      </c>
      <c r="F1949">
        <v>0.96655505812422404</v>
      </c>
      <c r="G1949">
        <v>0.92675219141492005</v>
      </c>
      <c r="H1949" t="str">
        <f t="shared" si="30"/>
        <v>Q2</v>
      </c>
    </row>
    <row r="1950" spans="1:8">
      <c r="A1950">
        <v>639151</v>
      </c>
      <c r="B1950" t="s">
        <v>4325</v>
      </c>
      <c r="C1950">
        <v>77</v>
      </c>
      <c r="D1950">
        <v>4.5862645926800596</v>
      </c>
      <c r="E1950">
        <v>353.14237363636499</v>
      </c>
      <c r="F1950">
        <v>0.88740077498965397</v>
      </c>
      <c r="G1950">
        <v>0.92671457055791695</v>
      </c>
      <c r="H1950" t="str">
        <f t="shared" si="30"/>
        <v>Q4</v>
      </c>
    </row>
    <row r="1951" spans="1:8">
      <c r="A1951">
        <v>771368</v>
      </c>
      <c r="B1951" t="s">
        <v>3650</v>
      </c>
      <c r="C1951">
        <v>39</v>
      </c>
      <c r="D1951">
        <v>9.05023897305513</v>
      </c>
      <c r="E1951">
        <v>352.95931994914997</v>
      </c>
      <c r="F1951">
        <v>0.80087280388247195</v>
      </c>
      <c r="G1951">
        <v>0.92667694970091397</v>
      </c>
      <c r="H1951" t="str">
        <f t="shared" si="30"/>
        <v>Q3</v>
      </c>
    </row>
    <row r="1952" spans="1:8">
      <c r="A1952">
        <v>694848</v>
      </c>
      <c r="B1952" t="s">
        <v>1574</v>
      </c>
      <c r="C1952">
        <v>123</v>
      </c>
      <c r="D1952">
        <v>2.86894033367677</v>
      </c>
      <c r="E1952">
        <v>352.87966104224301</v>
      </c>
      <c r="F1952">
        <v>0.92893420112110203</v>
      </c>
      <c r="G1952">
        <v>0.92663932884391098</v>
      </c>
      <c r="H1952" t="str">
        <f t="shared" si="30"/>
        <v>Q4</v>
      </c>
    </row>
    <row r="1953" spans="1:8">
      <c r="A1953">
        <v>807473</v>
      </c>
      <c r="B1953" t="s">
        <v>1431</v>
      </c>
      <c r="C1953">
        <v>79</v>
      </c>
      <c r="D1953">
        <v>4.4650504813541296</v>
      </c>
      <c r="E1953">
        <v>352.73898802697698</v>
      </c>
      <c r="F1953">
        <v>0.89022233926488803</v>
      </c>
      <c r="G1953">
        <v>0.926601707986908</v>
      </c>
      <c r="H1953" t="str">
        <f t="shared" si="30"/>
        <v>Q4</v>
      </c>
    </row>
    <row r="1954" spans="1:8">
      <c r="A1954">
        <v>756132</v>
      </c>
      <c r="B1954" t="s">
        <v>1932</v>
      </c>
      <c r="C1954">
        <v>112</v>
      </c>
      <c r="D1954">
        <v>3.1477148769356802</v>
      </c>
      <c r="E1954">
        <v>352.54406621679698</v>
      </c>
      <c r="F1954">
        <v>0.92156051314848997</v>
      </c>
      <c r="G1954">
        <v>0.92656408712990501</v>
      </c>
      <c r="H1954" t="str">
        <f t="shared" si="30"/>
        <v>Q4</v>
      </c>
    </row>
    <row r="1955" spans="1:8">
      <c r="A1955">
        <v>552716</v>
      </c>
      <c r="B1955" t="s">
        <v>4753</v>
      </c>
      <c r="C1955">
        <v>111</v>
      </c>
      <c r="D1955">
        <v>3.1754618544165099</v>
      </c>
      <c r="E1955">
        <v>352.47626584023197</v>
      </c>
      <c r="F1955">
        <v>0.92084571686543004</v>
      </c>
      <c r="G1955">
        <v>0.92652646627290203</v>
      </c>
      <c r="H1955" t="str">
        <f t="shared" si="30"/>
        <v>Q4</v>
      </c>
    </row>
    <row r="1956" spans="1:8">
      <c r="A1956">
        <v>704630</v>
      </c>
      <c r="B1956" t="s">
        <v>3002</v>
      </c>
      <c r="C1956">
        <v>62</v>
      </c>
      <c r="D1956">
        <v>5.6838164346352702</v>
      </c>
      <c r="E1956">
        <v>352.39661894738703</v>
      </c>
      <c r="F1956">
        <v>0.86238290508257798</v>
      </c>
      <c r="G1956">
        <v>0.92648884541589904</v>
      </c>
      <c r="H1956" t="str">
        <f t="shared" si="30"/>
        <v>Q3</v>
      </c>
    </row>
    <row r="1957" spans="1:8">
      <c r="A1957">
        <v>760565</v>
      </c>
      <c r="B1957" t="s">
        <v>3492</v>
      </c>
      <c r="C1957">
        <v>126</v>
      </c>
      <c r="D1957">
        <v>2.7953860135601198</v>
      </c>
      <c r="E1957">
        <v>352.21863770857499</v>
      </c>
      <c r="F1957">
        <v>0.93096572739926997</v>
      </c>
      <c r="G1957">
        <v>0.92645122455889595</v>
      </c>
      <c r="H1957" t="str">
        <f t="shared" si="30"/>
        <v>Q4</v>
      </c>
    </row>
    <row r="1958" spans="1:8">
      <c r="A1958">
        <v>603584</v>
      </c>
      <c r="B1958" t="s">
        <v>1468</v>
      </c>
      <c r="C1958">
        <v>155</v>
      </c>
      <c r="D1958">
        <v>2.2719846751480799</v>
      </c>
      <c r="E1958">
        <v>352.15762464795301</v>
      </c>
      <c r="F1958">
        <v>0.94454685677739703</v>
      </c>
      <c r="G1958">
        <v>0.92641360370189196</v>
      </c>
      <c r="H1958" t="str">
        <f t="shared" si="30"/>
        <v>Q4</v>
      </c>
    </row>
    <row r="1959" spans="1:8">
      <c r="A1959">
        <v>733044</v>
      </c>
      <c r="B1959" t="s">
        <v>421</v>
      </c>
      <c r="C1959">
        <v>118</v>
      </c>
      <c r="D1959">
        <v>2.9842861217715</v>
      </c>
      <c r="E1959">
        <v>352.14576236903702</v>
      </c>
      <c r="F1959">
        <v>0.92592453256085205</v>
      </c>
      <c r="G1959">
        <v>0.92637598284488898</v>
      </c>
      <c r="H1959" t="str">
        <f t="shared" si="30"/>
        <v>Q4</v>
      </c>
    </row>
    <row r="1960" spans="1:8">
      <c r="A1960">
        <v>750422</v>
      </c>
      <c r="B1960" t="s">
        <v>4554</v>
      </c>
      <c r="C1960">
        <v>109</v>
      </c>
      <c r="D1960">
        <v>3.22666765968187</v>
      </c>
      <c r="E1960">
        <v>351.70677490532398</v>
      </c>
      <c r="F1960">
        <v>0.91922802001429604</v>
      </c>
      <c r="G1960">
        <v>0.92633836198788599</v>
      </c>
      <c r="H1960" t="str">
        <f t="shared" si="30"/>
        <v>Q4</v>
      </c>
    </row>
    <row r="1961" spans="1:8">
      <c r="A1961">
        <v>724773</v>
      </c>
      <c r="B1961" t="s">
        <v>2716</v>
      </c>
      <c r="C1961">
        <v>62</v>
      </c>
      <c r="D1961">
        <v>5.6711318992799296</v>
      </c>
      <c r="E1961">
        <v>351.61017775535601</v>
      </c>
      <c r="F1961">
        <v>0.86238290508257798</v>
      </c>
      <c r="G1961">
        <v>0.92630074113088301</v>
      </c>
      <c r="H1961" t="str">
        <f t="shared" si="30"/>
        <v>Q3</v>
      </c>
    </row>
    <row r="1962" spans="1:8">
      <c r="A1962">
        <v>589599</v>
      </c>
      <c r="B1962" t="s">
        <v>95</v>
      </c>
      <c r="C1962">
        <v>214</v>
      </c>
      <c r="D1962">
        <v>1.6427530491480899</v>
      </c>
      <c r="E1962">
        <v>351.54915251769103</v>
      </c>
      <c r="F1962">
        <v>0.96256724728189302</v>
      </c>
      <c r="G1962">
        <v>0.92626312027388003</v>
      </c>
      <c r="H1962" t="str">
        <f t="shared" si="30"/>
        <v>Q2</v>
      </c>
    </row>
    <row r="1963" spans="1:8">
      <c r="A1963">
        <v>726229</v>
      </c>
      <c r="B1963" t="s">
        <v>286</v>
      </c>
      <c r="C1963">
        <v>117</v>
      </c>
      <c r="D1963">
        <v>3.0003041610058001</v>
      </c>
      <c r="E1963">
        <v>351.03558683767898</v>
      </c>
      <c r="F1963">
        <v>0.925247357134796</v>
      </c>
      <c r="G1963">
        <v>0.92622549941687704</v>
      </c>
      <c r="H1963" t="str">
        <f t="shared" si="30"/>
        <v>Q4</v>
      </c>
    </row>
    <row r="1964" spans="1:8">
      <c r="A1964">
        <v>673281</v>
      </c>
      <c r="B1964" t="s">
        <v>2593</v>
      </c>
      <c r="C1964">
        <v>82</v>
      </c>
      <c r="D1964">
        <v>4.2769120142954096</v>
      </c>
      <c r="E1964">
        <v>350.70678517222399</v>
      </c>
      <c r="F1964">
        <v>0.894323012678229</v>
      </c>
      <c r="G1964">
        <v>0.92618787855987394</v>
      </c>
      <c r="H1964" t="str">
        <f t="shared" si="30"/>
        <v>Q4</v>
      </c>
    </row>
    <row r="1965" spans="1:8">
      <c r="A1965">
        <v>678968</v>
      </c>
      <c r="B1965" t="s">
        <v>4906</v>
      </c>
      <c r="C1965">
        <v>61</v>
      </c>
      <c r="D1965">
        <v>5.7490415504721302</v>
      </c>
      <c r="E1965">
        <v>350.69153457879997</v>
      </c>
      <c r="F1965">
        <v>0.86035137880440904</v>
      </c>
      <c r="G1965">
        <v>0.92615025770287096</v>
      </c>
      <c r="H1965" t="str">
        <f t="shared" si="30"/>
        <v>Q3</v>
      </c>
    </row>
    <row r="1966" spans="1:8">
      <c r="A1966">
        <v>589924</v>
      </c>
      <c r="B1966" t="s">
        <v>3465</v>
      </c>
      <c r="C1966">
        <v>148</v>
      </c>
      <c r="D1966">
        <v>2.36864402210592</v>
      </c>
      <c r="E1966">
        <v>350.55931527167598</v>
      </c>
      <c r="F1966">
        <v>0.94236484707121604</v>
      </c>
      <c r="G1966">
        <v>0.92611263684586698</v>
      </c>
      <c r="H1966" t="str">
        <f t="shared" si="30"/>
        <v>Q4</v>
      </c>
    </row>
    <row r="1967" spans="1:8">
      <c r="A1967">
        <v>682238</v>
      </c>
      <c r="B1967" t="s">
        <v>3386</v>
      </c>
      <c r="C1967">
        <v>112</v>
      </c>
      <c r="D1967">
        <v>3.1288286525523299</v>
      </c>
      <c r="E1967">
        <v>350.42880908586102</v>
      </c>
      <c r="F1967">
        <v>0.92156051314848997</v>
      </c>
      <c r="G1967">
        <v>0.92607501598886399</v>
      </c>
      <c r="H1967" t="str">
        <f t="shared" si="30"/>
        <v>Q4</v>
      </c>
    </row>
    <row r="1968" spans="1:8">
      <c r="A1968">
        <v>713578</v>
      </c>
      <c r="B1968" t="s">
        <v>1555</v>
      </c>
      <c r="C1968">
        <v>44</v>
      </c>
      <c r="D1968">
        <v>7.9593992622738501</v>
      </c>
      <c r="E1968">
        <v>350.21356754005001</v>
      </c>
      <c r="F1968">
        <v>0.817689326962868</v>
      </c>
      <c r="G1968">
        <v>0.92603739513186101</v>
      </c>
      <c r="H1968" t="str">
        <f t="shared" si="30"/>
        <v>Q3</v>
      </c>
    </row>
    <row r="1969" spans="1:8">
      <c r="A1969">
        <v>700722</v>
      </c>
      <c r="B1969" t="s">
        <v>2059</v>
      </c>
      <c r="C1969">
        <v>121</v>
      </c>
      <c r="D1969">
        <v>2.8938786296004602</v>
      </c>
      <c r="E1969">
        <v>350.15931418165599</v>
      </c>
      <c r="F1969">
        <v>0.92788081712501402</v>
      </c>
      <c r="G1969">
        <v>0.92599977427485802</v>
      </c>
      <c r="H1969" t="str">
        <f t="shared" si="30"/>
        <v>Q4</v>
      </c>
    </row>
    <row r="1970" spans="1:8">
      <c r="A1970">
        <v>562613</v>
      </c>
      <c r="B1970" t="s">
        <v>2316</v>
      </c>
      <c r="C1970">
        <v>169</v>
      </c>
      <c r="D1970">
        <v>2.0713066989445701</v>
      </c>
      <c r="E1970">
        <v>350.05083212163299</v>
      </c>
      <c r="F1970">
        <v>0.94973853504382799</v>
      </c>
      <c r="G1970">
        <v>0.92596215341785504</v>
      </c>
      <c r="H1970" t="str">
        <f t="shared" si="30"/>
        <v>Q2</v>
      </c>
    </row>
    <row r="1971" spans="1:8">
      <c r="A1971">
        <v>278811</v>
      </c>
      <c r="B1971" t="s">
        <v>2099</v>
      </c>
      <c r="C1971">
        <v>110</v>
      </c>
      <c r="D1971">
        <v>3.1813558796420698</v>
      </c>
      <c r="E1971">
        <v>349.94914676062803</v>
      </c>
      <c r="F1971">
        <v>0.92001805801136105</v>
      </c>
      <c r="G1971">
        <v>0.92592453256085205</v>
      </c>
      <c r="H1971" t="str">
        <f t="shared" si="30"/>
        <v>Q4</v>
      </c>
    </row>
    <row r="1972" spans="1:8">
      <c r="A1972">
        <v>740329</v>
      </c>
      <c r="B1972" t="s">
        <v>3750</v>
      </c>
      <c r="C1972">
        <v>42</v>
      </c>
      <c r="D1972">
        <v>8.3261501753614091</v>
      </c>
      <c r="E1972">
        <v>349.69830736517901</v>
      </c>
      <c r="F1972">
        <v>0.81103043527331597</v>
      </c>
      <c r="G1972">
        <v>0.92588691170384896</v>
      </c>
      <c r="H1972" t="str">
        <f t="shared" si="30"/>
        <v>Q3</v>
      </c>
    </row>
    <row r="1973" spans="1:8">
      <c r="A1973">
        <v>765225</v>
      </c>
      <c r="B1973" t="s">
        <v>5189</v>
      </c>
      <c r="C1973">
        <v>115</v>
      </c>
      <c r="D1973">
        <v>3.04008838761112</v>
      </c>
      <c r="E1973">
        <v>349.61016457527899</v>
      </c>
      <c r="F1973">
        <v>0.92370490199766797</v>
      </c>
      <c r="G1973">
        <v>0.92584929084684597</v>
      </c>
      <c r="H1973" t="str">
        <f t="shared" si="30"/>
        <v>Q4</v>
      </c>
    </row>
    <row r="1974" spans="1:8">
      <c r="A1974">
        <v>694153</v>
      </c>
      <c r="B1974" t="s">
        <v>2364</v>
      </c>
      <c r="C1974">
        <v>133</v>
      </c>
      <c r="D1974">
        <v>2.62718231319205</v>
      </c>
      <c r="E1974">
        <v>349.41524765454199</v>
      </c>
      <c r="F1974">
        <v>0.93476543395658596</v>
      </c>
      <c r="G1974">
        <v>0.92581166998984199</v>
      </c>
      <c r="H1974" t="str">
        <f t="shared" si="30"/>
        <v>Q4</v>
      </c>
    </row>
    <row r="1975" spans="1:8">
      <c r="A1975">
        <v>695420</v>
      </c>
      <c r="B1975" t="s">
        <v>852</v>
      </c>
      <c r="C1975">
        <v>70</v>
      </c>
      <c r="D1975">
        <v>4.9911621745143604</v>
      </c>
      <c r="E1975">
        <v>349.38135221600498</v>
      </c>
      <c r="F1975">
        <v>0.87555020503367098</v>
      </c>
      <c r="G1975">
        <v>0.92577404913283901</v>
      </c>
      <c r="H1975" t="str">
        <f t="shared" si="30"/>
        <v>Q3</v>
      </c>
    </row>
    <row r="1976" spans="1:8">
      <c r="A1976">
        <v>570002</v>
      </c>
      <c r="B1976" t="s">
        <v>4150</v>
      </c>
      <c r="C1976">
        <v>271</v>
      </c>
      <c r="D1976">
        <v>1.28836699201282</v>
      </c>
      <c r="E1976">
        <v>349.14745483547398</v>
      </c>
      <c r="F1976">
        <v>0.97193484067567104</v>
      </c>
      <c r="G1976">
        <v>0.92573642827583602</v>
      </c>
      <c r="H1976" t="str">
        <f t="shared" si="30"/>
        <v>Q2</v>
      </c>
    </row>
    <row r="1977" spans="1:8">
      <c r="A1977">
        <v>739300</v>
      </c>
      <c r="B1977" t="s">
        <v>1644</v>
      </c>
      <c r="C1977">
        <v>36</v>
      </c>
      <c r="D1977">
        <v>9.6966574589411394</v>
      </c>
      <c r="E1977">
        <v>349.07966852188099</v>
      </c>
      <c r="F1977">
        <v>0.78890937135547901</v>
      </c>
      <c r="G1977">
        <v>0.92569880741883304</v>
      </c>
      <c r="H1977" t="str">
        <f t="shared" si="30"/>
        <v>Q3</v>
      </c>
    </row>
    <row r="1978" spans="1:8">
      <c r="A1978">
        <v>699454</v>
      </c>
      <c r="B1978" t="s">
        <v>5181</v>
      </c>
      <c r="C1978">
        <v>212</v>
      </c>
      <c r="D1978">
        <v>1.6459625117691601</v>
      </c>
      <c r="E1978">
        <v>348.94405249506201</v>
      </c>
      <c r="F1978">
        <v>0.96200293442684603</v>
      </c>
      <c r="G1978">
        <v>0.92566118656183005</v>
      </c>
      <c r="H1978" t="str">
        <f t="shared" si="30"/>
        <v>Q2</v>
      </c>
    </row>
    <row r="1979" spans="1:8">
      <c r="A1979">
        <v>720810</v>
      </c>
      <c r="B1979" t="s">
        <v>1077</v>
      </c>
      <c r="C1979">
        <v>67</v>
      </c>
      <c r="D1979">
        <v>5.2077410548035798</v>
      </c>
      <c r="E1979">
        <v>348.91865067184</v>
      </c>
      <c r="F1979">
        <v>0.87118618562130801</v>
      </c>
      <c r="G1979">
        <v>0.92562356570482696</v>
      </c>
      <c r="H1979" t="str">
        <f t="shared" si="30"/>
        <v>Q3</v>
      </c>
    </row>
    <row r="1980" spans="1:8">
      <c r="A1980">
        <v>726199</v>
      </c>
      <c r="B1980" t="s">
        <v>5189</v>
      </c>
      <c r="C1980">
        <v>75</v>
      </c>
      <c r="D1980">
        <v>4.65102832888563</v>
      </c>
      <c r="E1980">
        <v>348.827124666423</v>
      </c>
      <c r="F1980">
        <v>0.88420300214438896</v>
      </c>
      <c r="G1980">
        <v>0.92558594484782397</v>
      </c>
      <c r="H1980" t="str">
        <f t="shared" si="30"/>
        <v>Q4</v>
      </c>
    </row>
    <row r="1981" spans="1:8">
      <c r="A1981">
        <v>505882</v>
      </c>
      <c r="B1981" t="s">
        <v>2519</v>
      </c>
      <c r="C1981">
        <v>128</v>
      </c>
      <c r="D1981">
        <v>2.7245630257311899</v>
      </c>
      <c r="E1981">
        <v>348.74406729359202</v>
      </c>
      <c r="F1981">
        <v>0.93201911139535798</v>
      </c>
      <c r="G1981">
        <v>0.92554832399082099</v>
      </c>
      <c r="H1981" t="str">
        <f t="shared" si="30"/>
        <v>Q4</v>
      </c>
    </row>
    <row r="1982" spans="1:8">
      <c r="A1982">
        <v>732017</v>
      </c>
      <c r="B1982" t="s">
        <v>824</v>
      </c>
      <c r="C1982">
        <v>195</v>
      </c>
      <c r="D1982">
        <v>1.7862233080160901</v>
      </c>
      <c r="E1982">
        <v>348.31354506313801</v>
      </c>
      <c r="F1982">
        <v>0.95767653587148704</v>
      </c>
      <c r="G1982">
        <v>0.925510703133817</v>
      </c>
      <c r="H1982" t="str">
        <f t="shared" si="30"/>
        <v>Q2</v>
      </c>
    </row>
    <row r="1983" spans="1:8">
      <c r="A1983">
        <v>531615</v>
      </c>
      <c r="B1983" t="s">
        <v>5261</v>
      </c>
      <c r="C1983">
        <v>124</v>
      </c>
      <c r="D1983">
        <v>2.8082421477583601</v>
      </c>
      <c r="E1983">
        <v>348.22202632203698</v>
      </c>
      <c r="F1983">
        <v>0.92957375569015499</v>
      </c>
      <c r="G1983">
        <v>0.92547308227681402</v>
      </c>
      <c r="H1983" t="str">
        <f t="shared" si="30"/>
        <v>Q4</v>
      </c>
    </row>
    <row r="1984" spans="1:8">
      <c r="A1984">
        <v>716590</v>
      </c>
      <c r="B1984" t="s">
        <v>2340</v>
      </c>
      <c r="C1984">
        <v>316</v>
      </c>
      <c r="D1984">
        <v>1.1018182982873399</v>
      </c>
      <c r="E1984">
        <v>348.17458225879801</v>
      </c>
      <c r="F1984">
        <v>0.97765321094014501</v>
      </c>
      <c r="G1984">
        <v>0.92543546141981103</v>
      </c>
      <c r="H1984" t="str">
        <f t="shared" si="30"/>
        <v>Q2</v>
      </c>
    </row>
    <row r="1985" spans="1:8">
      <c r="A1985">
        <v>707782</v>
      </c>
      <c r="B1985" t="s">
        <v>2254</v>
      </c>
      <c r="C1985">
        <v>72</v>
      </c>
      <c r="D1985">
        <v>4.8355462314147104</v>
      </c>
      <c r="E1985">
        <v>348.15932866185898</v>
      </c>
      <c r="F1985">
        <v>0.87957563673300498</v>
      </c>
      <c r="G1985">
        <v>0.92539784056280805</v>
      </c>
      <c r="H1985" t="str">
        <f t="shared" si="30"/>
        <v>Q4</v>
      </c>
    </row>
    <row r="1986" spans="1:8">
      <c r="A1986">
        <v>778517</v>
      </c>
      <c r="B1986" t="s">
        <v>4491</v>
      </c>
      <c r="C1986">
        <v>70</v>
      </c>
      <c r="D1986">
        <v>4.9719129023807396</v>
      </c>
      <c r="E1986">
        <v>348.03390316665201</v>
      </c>
      <c r="F1986">
        <v>0.87555020503367098</v>
      </c>
      <c r="G1986">
        <v>0.92536021970580495</v>
      </c>
      <c r="H1986" t="str">
        <f t="shared" si="30"/>
        <v>Q3</v>
      </c>
    </row>
    <row r="1987" spans="1:8">
      <c r="A1987">
        <v>726925</v>
      </c>
      <c r="B1987" t="s">
        <v>5226</v>
      </c>
      <c r="C1987">
        <v>263</v>
      </c>
      <c r="D1987">
        <v>1.32184052014787</v>
      </c>
      <c r="E1987">
        <v>347.64405679889001</v>
      </c>
      <c r="F1987">
        <v>0.97084383582258005</v>
      </c>
      <c r="G1987">
        <v>0.92532259884880197</v>
      </c>
      <c r="H1987" t="str">
        <f t="shared" ref="H1987:H2050" si="31">IF(C1987&gt;$J$2,
   IF(D1987&gt;$J$3,"Q1","Q2"),
   IF(D1987&gt;$J$3,"Q3","Q4"))</f>
        <v>Q2</v>
      </c>
    </row>
    <row r="1988" spans="1:8">
      <c r="A1988">
        <v>754238</v>
      </c>
      <c r="B1988" t="s">
        <v>2477</v>
      </c>
      <c r="C1988">
        <v>110</v>
      </c>
      <c r="D1988">
        <v>3.1593990249728598</v>
      </c>
      <c r="E1988">
        <v>347.53389274701499</v>
      </c>
      <c r="F1988">
        <v>0.92001805801136105</v>
      </c>
      <c r="G1988">
        <v>0.92528497799179898</v>
      </c>
      <c r="H1988" t="str">
        <f t="shared" si="31"/>
        <v>Q4</v>
      </c>
    </row>
    <row r="1989" spans="1:8">
      <c r="A1989">
        <v>685689</v>
      </c>
      <c r="B1989" t="s">
        <v>5135</v>
      </c>
      <c r="C1989">
        <v>198</v>
      </c>
      <c r="D1989">
        <v>1.75484499677715</v>
      </c>
      <c r="E1989">
        <v>347.459309361875</v>
      </c>
      <c r="F1989">
        <v>0.95846657386855305</v>
      </c>
      <c r="G1989">
        <v>0.925247357134796</v>
      </c>
      <c r="H1989" t="str">
        <f t="shared" si="31"/>
        <v>Q2</v>
      </c>
    </row>
    <row r="1990" spans="1:8">
      <c r="A1990">
        <v>733404</v>
      </c>
      <c r="B1990" t="s">
        <v>4506</v>
      </c>
      <c r="C1990">
        <v>89</v>
      </c>
      <c r="D1990">
        <v>3.9039040005274002</v>
      </c>
      <c r="E1990">
        <v>347.44745604693901</v>
      </c>
      <c r="F1990">
        <v>0.90135811293781298</v>
      </c>
      <c r="G1990">
        <v>0.92520973627779202</v>
      </c>
      <c r="H1990" t="str">
        <f t="shared" si="31"/>
        <v>Q4</v>
      </c>
    </row>
    <row r="1991" spans="1:8">
      <c r="A1991">
        <v>669682</v>
      </c>
      <c r="B1991" t="s">
        <v>2193</v>
      </c>
      <c r="C1991">
        <v>146</v>
      </c>
      <c r="D1991">
        <v>2.3785581129717901</v>
      </c>
      <c r="E1991">
        <v>347.26948449388101</v>
      </c>
      <c r="F1991">
        <v>0.94127384221812604</v>
      </c>
      <c r="G1991">
        <v>0.92517211542078903</v>
      </c>
      <c r="H1991" t="str">
        <f t="shared" si="31"/>
        <v>Q4</v>
      </c>
    </row>
    <row r="1992" spans="1:8">
      <c r="A1992">
        <v>765362</v>
      </c>
      <c r="B1992" t="s">
        <v>3088</v>
      </c>
      <c r="C1992">
        <v>101</v>
      </c>
      <c r="D1992">
        <v>3.43572745320968</v>
      </c>
      <c r="E1992">
        <v>347.00847277417802</v>
      </c>
      <c r="F1992">
        <v>0.91245626575373395</v>
      </c>
      <c r="G1992">
        <v>0.92513449456378605</v>
      </c>
      <c r="H1992" t="str">
        <f t="shared" si="31"/>
        <v>Q4</v>
      </c>
    </row>
    <row r="1993" spans="1:8">
      <c r="A1993">
        <v>693508</v>
      </c>
      <c r="B1993" t="s">
        <v>2124</v>
      </c>
      <c r="C1993">
        <v>58</v>
      </c>
      <c r="D1993">
        <v>5.9827293718940204</v>
      </c>
      <c r="E1993">
        <v>346.99830356985302</v>
      </c>
      <c r="F1993">
        <v>0.853993453970881</v>
      </c>
      <c r="G1993">
        <v>0.92509687370678295</v>
      </c>
      <c r="H1993" t="str">
        <f t="shared" si="31"/>
        <v>Q3</v>
      </c>
    </row>
    <row r="1994" spans="1:8">
      <c r="A1994">
        <v>685010</v>
      </c>
      <c r="B1994" t="s">
        <v>1202</v>
      </c>
      <c r="C1994">
        <v>44</v>
      </c>
      <c r="D1994">
        <v>7.8806627160784899</v>
      </c>
      <c r="E1994">
        <v>346.74915950745299</v>
      </c>
      <c r="F1994">
        <v>0.817689326962868</v>
      </c>
      <c r="G1994">
        <v>0.92505925284977997</v>
      </c>
      <c r="H1994" t="str">
        <f t="shared" si="31"/>
        <v>Q3</v>
      </c>
    </row>
    <row r="1995" spans="1:8">
      <c r="A1995">
        <v>763276</v>
      </c>
      <c r="B1995" t="s">
        <v>3583</v>
      </c>
      <c r="C1995">
        <v>71</v>
      </c>
      <c r="D1995">
        <v>4.8768203023453802</v>
      </c>
      <c r="E1995">
        <v>346.25424146652199</v>
      </c>
      <c r="F1995">
        <v>0.87799556073887397</v>
      </c>
      <c r="G1995">
        <v>0.92502163199277698</v>
      </c>
      <c r="H1995" t="str">
        <f t="shared" si="31"/>
        <v>Q4</v>
      </c>
    </row>
    <row r="1996" spans="1:8">
      <c r="A1996">
        <v>799487</v>
      </c>
      <c r="B1996" t="s">
        <v>236</v>
      </c>
      <c r="C1996">
        <v>108</v>
      </c>
      <c r="D1996">
        <v>3.20553981388609</v>
      </c>
      <c r="E1996">
        <v>346.19829989969702</v>
      </c>
      <c r="F1996">
        <v>0.91866370715924905</v>
      </c>
      <c r="G1996">
        <v>0.924984011135774</v>
      </c>
      <c r="H1996" t="str">
        <f t="shared" si="31"/>
        <v>Q4</v>
      </c>
    </row>
    <row r="1997" spans="1:8">
      <c r="A1997">
        <v>704029</v>
      </c>
      <c r="B1997" t="s">
        <v>2738</v>
      </c>
      <c r="C1997">
        <v>87</v>
      </c>
      <c r="D1997">
        <v>3.97853108615368</v>
      </c>
      <c r="E1997">
        <v>346.13220449536999</v>
      </c>
      <c r="F1997">
        <v>0.89955231180166295</v>
      </c>
      <c r="G1997">
        <v>0.92494639027877101</v>
      </c>
      <c r="H1997" t="str">
        <f t="shared" si="31"/>
        <v>Q4</v>
      </c>
    </row>
    <row r="1998" spans="1:8">
      <c r="A1998">
        <v>780813</v>
      </c>
      <c r="B1998" t="s">
        <v>1697</v>
      </c>
      <c r="C1998">
        <v>85</v>
      </c>
      <c r="D1998">
        <v>4.0714257407714296</v>
      </c>
      <c r="E1998">
        <v>346.07118796557199</v>
      </c>
      <c r="F1998">
        <v>0.89721981866746903</v>
      </c>
      <c r="G1998">
        <v>0.92490876942176703</v>
      </c>
      <c r="H1998" t="str">
        <f t="shared" si="31"/>
        <v>Q4</v>
      </c>
    </row>
    <row r="1999" spans="1:8">
      <c r="A1999">
        <v>779889</v>
      </c>
      <c r="B1999" t="s">
        <v>1707</v>
      </c>
      <c r="C1999">
        <v>55</v>
      </c>
      <c r="D1999">
        <v>6.28979960625822</v>
      </c>
      <c r="E1999">
        <v>345.93897834420198</v>
      </c>
      <c r="F1999">
        <v>0.84763552913735396</v>
      </c>
      <c r="G1999">
        <v>0.92487114856476405</v>
      </c>
      <c r="H1999" t="str">
        <f t="shared" si="31"/>
        <v>Q3</v>
      </c>
    </row>
    <row r="2000" spans="1:8">
      <c r="A2000">
        <v>694344</v>
      </c>
      <c r="B2000" t="s">
        <v>2259</v>
      </c>
      <c r="C2000">
        <v>118</v>
      </c>
      <c r="D2000">
        <v>2.9301637404803502</v>
      </c>
      <c r="E2000">
        <v>345.75932137668099</v>
      </c>
      <c r="F2000">
        <v>0.92592453256085205</v>
      </c>
      <c r="G2000">
        <v>0.92483352770776095</v>
      </c>
      <c r="H2000" t="str">
        <f t="shared" si="31"/>
        <v>Q4</v>
      </c>
    </row>
    <row r="2001" spans="1:8">
      <c r="A2001">
        <v>516859</v>
      </c>
      <c r="B2001" t="s">
        <v>2288</v>
      </c>
      <c r="C2001">
        <v>269</v>
      </c>
      <c r="D2001">
        <v>1.2848150592685099</v>
      </c>
      <c r="E2001">
        <v>345.615250943229</v>
      </c>
      <c r="F2001">
        <v>0.97152101124863599</v>
      </c>
      <c r="G2001">
        <v>0.92479590685075796</v>
      </c>
      <c r="H2001" t="str">
        <f t="shared" si="31"/>
        <v>Q2</v>
      </c>
    </row>
    <row r="2002" spans="1:8">
      <c r="A2002">
        <v>708464</v>
      </c>
      <c r="B2002" t="s">
        <v>4682</v>
      </c>
      <c r="C2002">
        <v>218</v>
      </c>
      <c r="D2002">
        <v>1.5853522037830901</v>
      </c>
      <c r="E2002">
        <v>345.60678042471397</v>
      </c>
      <c r="F2002">
        <v>0.96335728527895903</v>
      </c>
      <c r="G2002">
        <v>0.92475828599375498</v>
      </c>
      <c r="H2002" t="str">
        <f t="shared" si="31"/>
        <v>Q2</v>
      </c>
    </row>
    <row r="2003" spans="1:8">
      <c r="A2003">
        <v>739533</v>
      </c>
      <c r="B2003" t="s">
        <v>123</v>
      </c>
      <c r="C2003">
        <v>53</v>
      </c>
      <c r="D2003">
        <v>6.5200511225551896</v>
      </c>
      <c r="E2003">
        <v>345.562709495425</v>
      </c>
      <c r="F2003">
        <v>0.84218050487190099</v>
      </c>
      <c r="G2003">
        <v>0.924720665136752</v>
      </c>
      <c r="H2003" t="str">
        <f t="shared" si="31"/>
        <v>Q3</v>
      </c>
    </row>
    <row r="2004" spans="1:8">
      <c r="A2004">
        <v>784650</v>
      </c>
      <c r="B2004" t="s">
        <v>1649</v>
      </c>
      <c r="C2004">
        <v>158</v>
      </c>
      <c r="D2004">
        <v>2.1849603091567</v>
      </c>
      <c r="E2004">
        <v>345.223728846759</v>
      </c>
      <c r="F2004">
        <v>0.94563786163048802</v>
      </c>
      <c r="G2004">
        <v>0.92468304427974901</v>
      </c>
      <c r="H2004" t="str">
        <f t="shared" si="31"/>
        <v>Q4</v>
      </c>
    </row>
    <row r="2005" spans="1:8">
      <c r="A2005">
        <v>693944</v>
      </c>
      <c r="B2005" t="s">
        <v>3382</v>
      </c>
      <c r="C2005">
        <v>63</v>
      </c>
      <c r="D2005">
        <v>5.4760560097675501</v>
      </c>
      <c r="E2005">
        <v>344.99152861535498</v>
      </c>
      <c r="F2005">
        <v>0.86445205221775001</v>
      </c>
      <c r="G2005">
        <v>0.92464542342274603</v>
      </c>
      <c r="H2005" t="str">
        <f t="shared" si="31"/>
        <v>Q3</v>
      </c>
    </row>
    <row r="2006" spans="1:8">
      <c r="A2006">
        <v>570003</v>
      </c>
      <c r="B2006" t="s">
        <v>5076</v>
      </c>
      <c r="C2006">
        <v>265</v>
      </c>
      <c r="D2006">
        <v>1.3009465835496501</v>
      </c>
      <c r="E2006">
        <v>344.75084464065702</v>
      </c>
      <c r="F2006">
        <v>0.97114480267860503</v>
      </c>
      <c r="G2006">
        <v>0.92460780256574204</v>
      </c>
      <c r="H2006" t="str">
        <f t="shared" si="31"/>
        <v>Q2</v>
      </c>
    </row>
    <row r="2007" spans="1:8">
      <c r="A2007">
        <v>812888</v>
      </c>
      <c r="B2007" t="s">
        <v>3660</v>
      </c>
      <c r="C2007">
        <v>54</v>
      </c>
      <c r="D2007">
        <v>6.3824858240507298</v>
      </c>
      <c r="E2007">
        <v>344.65423449873902</v>
      </c>
      <c r="F2007">
        <v>0.84515255257514799</v>
      </c>
      <c r="G2007">
        <v>0.92457018170873895</v>
      </c>
      <c r="H2007" t="str">
        <f t="shared" si="31"/>
        <v>Q3</v>
      </c>
    </row>
    <row r="2008" spans="1:8">
      <c r="A2008">
        <v>751342</v>
      </c>
      <c r="B2008" t="s">
        <v>4722</v>
      </c>
      <c r="C2008">
        <v>88</v>
      </c>
      <c r="D2008">
        <v>3.91598615202714</v>
      </c>
      <c r="E2008">
        <v>344.60678137838801</v>
      </c>
      <c r="F2008">
        <v>0.90045521236973802</v>
      </c>
      <c r="G2008">
        <v>0.92453256085173596</v>
      </c>
      <c r="H2008" t="str">
        <f t="shared" si="31"/>
        <v>Q4</v>
      </c>
    </row>
    <row r="2009" spans="1:8">
      <c r="A2009">
        <v>559129</v>
      </c>
      <c r="B2009" t="s">
        <v>4473</v>
      </c>
      <c r="C2009">
        <v>94</v>
      </c>
      <c r="D2009">
        <v>3.6648214873956899</v>
      </c>
      <c r="E2009">
        <v>344.493219815195</v>
      </c>
      <c r="F2009">
        <v>0.906700274632256</v>
      </c>
      <c r="G2009">
        <v>0.92449493999473298</v>
      </c>
      <c r="H2009" t="str">
        <f t="shared" si="31"/>
        <v>Q4</v>
      </c>
    </row>
    <row r="2010" spans="1:8">
      <c r="A2010">
        <v>801166</v>
      </c>
      <c r="B2010" t="s">
        <v>2246</v>
      </c>
      <c r="C2010">
        <v>73</v>
      </c>
      <c r="D2010">
        <v>4.7180172668336198</v>
      </c>
      <c r="E2010">
        <v>344.41526047885401</v>
      </c>
      <c r="F2010">
        <v>0.88111809187013301</v>
      </c>
      <c r="G2010">
        <v>0.92445731913772999</v>
      </c>
      <c r="H2010" t="str">
        <f t="shared" si="31"/>
        <v>Q4</v>
      </c>
    </row>
    <row r="2011" spans="1:8">
      <c r="A2011">
        <v>758472</v>
      </c>
      <c r="B2011" t="s">
        <v>4857</v>
      </c>
      <c r="C2011">
        <v>84</v>
      </c>
      <c r="D2011">
        <v>4.0973769456502902</v>
      </c>
      <c r="E2011">
        <v>344.17966343462501</v>
      </c>
      <c r="F2011">
        <v>0.89639215981340103</v>
      </c>
      <c r="G2011">
        <v>0.92441969828072701</v>
      </c>
      <c r="H2011" t="str">
        <f t="shared" si="31"/>
        <v>Q4</v>
      </c>
    </row>
    <row r="2012" spans="1:8">
      <c r="A2012">
        <v>809521</v>
      </c>
      <c r="B2012" t="s">
        <v>3225</v>
      </c>
      <c r="C2012">
        <v>71</v>
      </c>
      <c r="D2012">
        <v>4.84576279848394</v>
      </c>
      <c r="E2012">
        <v>344.04915869235998</v>
      </c>
      <c r="F2012">
        <v>0.87799556073887397</v>
      </c>
      <c r="G2012">
        <v>0.92438207742372402</v>
      </c>
      <c r="H2012" t="str">
        <f t="shared" si="31"/>
        <v>Q4</v>
      </c>
    </row>
    <row r="2013" spans="1:8">
      <c r="A2013">
        <v>777714</v>
      </c>
      <c r="B2013" t="s">
        <v>1805</v>
      </c>
      <c r="C2013">
        <v>104</v>
      </c>
      <c r="D2013">
        <v>3.3078878777674801</v>
      </c>
      <c r="E2013">
        <v>344.02033928781702</v>
      </c>
      <c r="F2013">
        <v>0.91524020917196502</v>
      </c>
      <c r="G2013">
        <v>0.92434445656672104</v>
      </c>
      <c r="H2013" t="str">
        <f t="shared" si="31"/>
        <v>Q4</v>
      </c>
    </row>
    <row r="2014" spans="1:8">
      <c r="A2014">
        <v>639338</v>
      </c>
      <c r="B2014" t="s">
        <v>2676</v>
      </c>
      <c r="C2014">
        <v>10</v>
      </c>
      <c r="D2014">
        <v>34.3859323859215</v>
      </c>
      <c r="E2014">
        <v>343.85932385921501</v>
      </c>
      <c r="F2014">
        <v>0.54821112824950202</v>
      </c>
      <c r="G2014">
        <v>0.92430683570971806</v>
      </c>
      <c r="H2014" t="str">
        <f t="shared" si="31"/>
        <v>Q3</v>
      </c>
    </row>
    <row r="2015" spans="1:8">
      <c r="A2015">
        <v>827824</v>
      </c>
      <c r="B2015" t="s">
        <v>2230</v>
      </c>
      <c r="C2015">
        <v>54</v>
      </c>
      <c r="D2015">
        <v>6.3628687592292303</v>
      </c>
      <c r="E2015">
        <v>343.59491299837799</v>
      </c>
      <c r="F2015">
        <v>0.84515255257514799</v>
      </c>
      <c r="G2015">
        <v>0.92426921485271396</v>
      </c>
      <c r="H2015" t="str">
        <f t="shared" si="31"/>
        <v>Q3</v>
      </c>
    </row>
    <row r="2016" spans="1:8">
      <c r="A2016">
        <v>751664</v>
      </c>
      <c r="B2016" t="s">
        <v>4578</v>
      </c>
      <c r="C2016">
        <v>140</v>
      </c>
      <c r="D2016">
        <v>2.45050847929503</v>
      </c>
      <c r="E2016">
        <v>343.07118710130499</v>
      </c>
      <c r="F2016">
        <v>0.93852751965689796</v>
      </c>
      <c r="G2016">
        <v>0.92423159399571098</v>
      </c>
      <c r="H2016" t="str">
        <f t="shared" si="31"/>
        <v>Q4</v>
      </c>
    </row>
    <row r="2017" spans="1:8">
      <c r="A2017">
        <v>772899</v>
      </c>
      <c r="B2017" t="s">
        <v>2240</v>
      </c>
      <c r="C2017">
        <v>140</v>
      </c>
      <c r="D2017">
        <v>2.4498789358351898</v>
      </c>
      <c r="E2017">
        <v>342.98305101692699</v>
      </c>
      <c r="F2017">
        <v>0.93852751965689796</v>
      </c>
      <c r="G2017">
        <v>0.92419397313870799</v>
      </c>
      <c r="H2017" t="str">
        <f t="shared" si="31"/>
        <v>Q4</v>
      </c>
    </row>
    <row r="2018" spans="1:8">
      <c r="A2018">
        <v>747636</v>
      </c>
      <c r="B2018" t="s">
        <v>378</v>
      </c>
      <c r="C2018">
        <v>114</v>
      </c>
      <c r="D2018">
        <v>3.0077609004812298</v>
      </c>
      <c r="E2018">
        <v>342.88474265486002</v>
      </c>
      <c r="F2018">
        <v>0.92306534742861401</v>
      </c>
      <c r="G2018">
        <v>0.92415635228170501</v>
      </c>
      <c r="H2018" t="str">
        <f t="shared" si="31"/>
        <v>Q4</v>
      </c>
    </row>
    <row r="2019" spans="1:8">
      <c r="A2019">
        <v>757991</v>
      </c>
      <c r="B2019" t="s">
        <v>5233</v>
      </c>
      <c r="C2019">
        <v>119</v>
      </c>
      <c r="D2019">
        <v>2.88068645109399</v>
      </c>
      <c r="E2019">
        <v>342.80168768018501</v>
      </c>
      <c r="F2019">
        <v>0.92667694970091397</v>
      </c>
      <c r="G2019">
        <v>0.92411873142470202</v>
      </c>
      <c r="H2019" t="str">
        <f t="shared" si="31"/>
        <v>Q4</v>
      </c>
    </row>
    <row r="2020" spans="1:8">
      <c r="A2020">
        <v>699361</v>
      </c>
      <c r="B2020" t="s">
        <v>4239</v>
      </c>
      <c r="C2020">
        <v>442</v>
      </c>
      <c r="D2020">
        <v>0.77553493638704096</v>
      </c>
      <c r="E2020">
        <v>342.78644188307197</v>
      </c>
      <c r="F2020">
        <v>0.98630600805086299</v>
      </c>
      <c r="G2020">
        <v>0.92408111056769904</v>
      </c>
      <c r="H2020" t="str">
        <f t="shared" si="31"/>
        <v>Q2</v>
      </c>
    </row>
    <row r="2021" spans="1:8">
      <c r="A2021">
        <v>572797</v>
      </c>
      <c r="B2021" t="s">
        <v>1641</v>
      </c>
      <c r="C2021">
        <v>344</v>
      </c>
      <c r="D2021">
        <v>0.99586615173774196</v>
      </c>
      <c r="E2021">
        <v>342.57795619778301</v>
      </c>
      <c r="F2021">
        <v>0.98002332493134203</v>
      </c>
      <c r="G2021">
        <v>0.92404348971069605</v>
      </c>
      <c r="H2021" t="str">
        <f t="shared" si="31"/>
        <v>Q2</v>
      </c>
    </row>
    <row r="2022" spans="1:8">
      <c r="A2022">
        <v>819140</v>
      </c>
      <c r="B2022" t="s">
        <v>2006</v>
      </c>
      <c r="C2022">
        <v>53</v>
      </c>
      <c r="D2022">
        <v>6.4621681663787598</v>
      </c>
      <c r="E2022">
        <v>342.494912818074</v>
      </c>
      <c r="F2022">
        <v>0.84218050487190099</v>
      </c>
      <c r="G2022">
        <v>0.92400586885369296</v>
      </c>
      <c r="H2022" t="str">
        <f t="shared" si="31"/>
        <v>Q3</v>
      </c>
    </row>
    <row r="2023" spans="1:8">
      <c r="A2023">
        <v>675662</v>
      </c>
      <c r="B2023" t="s">
        <v>4102</v>
      </c>
      <c r="C2023">
        <v>86</v>
      </c>
      <c r="D2023">
        <v>3.98220338230563</v>
      </c>
      <c r="E2023">
        <v>342.46949087828398</v>
      </c>
      <c r="F2023">
        <v>0.89864941123358799</v>
      </c>
      <c r="G2023">
        <v>0.92396824799668897</v>
      </c>
      <c r="H2023" t="str">
        <f t="shared" si="31"/>
        <v>Q4</v>
      </c>
    </row>
    <row r="2024" spans="1:8">
      <c r="A2024">
        <v>703996</v>
      </c>
      <c r="B2024" t="s">
        <v>2965</v>
      </c>
      <c r="C2024">
        <v>83</v>
      </c>
      <c r="D2024">
        <v>4.12472948678825</v>
      </c>
      <c r="E2024">
        <v>342.35254740342498</v>
      </c>
      <c r="F2024">
        <v>0.89530115496031004</v>
      </c>
      <c r="G2024">
        <v>0.92393062713968599</v>
      </c>
      <c r="H2024" t="str">
        <f t="shared" si="31"/>
        <v>Q4</v>
      </c>
    </row>
    <row r="2025" spans="1:8">
      <c r="A2025">
        <v>733112</v>
      </c>
      <c r="B2025" t="s">
        <v>1700</v>
      </c>
      <c r="C2025">
        <v>147</v>
      </c>
      <c r="D2025">
        <v>2.3283062433051001</v>
      </c>
      <c r="E2025">
        <v>342.26101776585</v>
      </c>
      <c r="F2025">
        <v>0.94195101764418199</v>
      </c>
      <c r="G2025">
        <v>0.923893006282683</v>
      </c>
      <c r="H2025" t="str">
        <f t="shared" si="31"/>
        <v>Q4</v>
      </c>
    </row>
    <row r="2026" spans="1:8">
      <c r="A2026">
        <v>689816</v>
      </c>
      <c r="B2026" t="s">
        <v>801</v>
      </c>
      <c r="C2026">
        <v>224</v>
      </c>
      <c r="D2026">
        <v>1.5278147090742</v>
      </c>
      <c r="E2026">
        <v>342.23049483262002</v>
      </c>
      <c r="F2026">
        <v>0.96437304841804306</v>
      </c>
      <c r="G2026">
        <v>0.92385538542568002</v>
      </c>
      <c r="H2026" t="str">
        <f t="shared" si="31"/>
        <v>Q2</v>
      </c>
    </row>
    <row r="2027" spans="1:8">
      <c r="A2027">
        <v>840566</v>
      </c>
      <c r="B2027" t="s">
        <v>1154</v>
      </c>
      <c r="C2027">
        <v>78</v>
      </c>
      <c r="D2027">
        <v>4.3872229110163001</v>
      </c>
      <c r="E2027">
        <v>342.20338705927099</v>
      </c>
      <c r="F2027">
        <v>0.88867988412776</v>
      </c>
      <c r="G2027">
        <v>0.92381776456867704</v>
      </c>
      <c r="H2027" t="str">
        <f t="shared" si="31"/>
        <v>Q4</v>
      </c>
    </row>
    <row r="2028" spans="1:8">
      <c r="A2028">
        <v>600044</v>
      </c>
      <c r="B2028" t="s">
        <v>412</v>
      </c>
      <c r="C2028">
        <v>178</v>
      </c>
      <c r="D2028">
        <v>1.92031986701428</v>
      </c>
      <c r="E2028">
        <v>341.81693632854098</v>
      </c>
      <c r="F2028">
        <v>0.95274820360407797</v>
      </c>
      <c r="G2028">
        <v>0.92378014371167405</v>
      </c>
      <c r="H2028" t="str">
        <f t="shared" si="31"/>
        <v>Q2</v>
      </c>
    </row>
    <row r="2029" spans="1:8">
      <c r="A2029">
        <v>632803</v>
      </c>
      <c r="B2029" t="s">
        <v>4070</v>
      </c>
      <c r="C2029">
        <v>142</v>
      </c>
      <c r="D2029">
        <v>2.4044282114605502</v>
      </c>
      <c r="E2029">
        <v>341.42880602739802</v>
      </c>
      <c r="F2029">
        <v>0.93954328279598198</v>
      </c>
      <c r="G2029">
        <v>0.92374252285467096</v>
      </c>
      <c r="H2029" t="str">
        <f t="shared" si="31"/>
        <v>Q4</v>
      </c>
    </row>
    <row r="2030" spans="1:8">
      <c r="A2030">
        <v>752228</v>
      </c>
      <c r="B2030" t="s">
        <v>4409</v>
      </c>
      <c r="C2030">
        <v>27</v>
      </c>
      <c r="D2030">
        <v>12.6449471822491</v>
      </c>
      <c r="E2030">
        <v>341.413573920727</v>
      </c>
      <c r="F2030">
        <v>0.74312478838267904</v>
      </c>
      <c r="G2030">
        <v>0.92370490199766797</v>
      </c>
      <c r="H2030" t="str">
        <f t="shared" si="31"/>
        <v>Q3</v>
      </c>
    </row>
    <row r="2031" spans="1:8">
      <c r="A2031">
        <v>626587</v>
      </c>
      <c r="B2031" t="s">
        <v>3075</v>
      </c>
      <c r="C2031">
        <v>99</v>
      </c>
      <c r="D2031">
        <v>3.4477829180582602</v>
      </c>
      <c r="E2031">
        <v>341.33050888776802</v>
      </c>
      <c r="F2031">
        <v>0.91076332718859299</v>
      </c>
      <c r="G2031">
        <v>0.92366728114066399</v>
      </c>
      <c r="H2031" t="str">
        <f t="shared" si="31"/>
        <v>Q4</v>
      </c>
    </row>
    <row r="2032" spans="1:8">
      <c r="A2032">
        <v>787285</v>
      </c>
      <c r="B2032" t="s">
        <v>2964</v>
      </c>
      <c r="C2032">
        <v>66</v>
      </c>
      <c r="D2032">
        <v>5.1690035697185603</v>
      </c>
      <c r="E2032">
        <v>341.154235601425</v>
      </c>
      <c r="F2032">
        <v>0.86968135134118396</v>
      </c>
      <c r="G2032">
        <v>0.923629660283661</v>
      </c>
      <c r="H2032" t="str">
        <f t="shared" si="31"/>
        <v>Q3</v>
      </c>
    </row>
    <row r="2033" spans="1:8">
      <c r="A2033">
        <v>746091</v>
      </c>
      <c r="B2033" t="s">
        <v>603</v>
      </c>
      <c r="C2033">
        <v>43</v>
      </c>
      <c r="D2033">
        <v>7.9322034579723404</v>
      </c>
      <c r="E2033">
        <v>341.08474869281099</v>
      </c>
      <c r="F2033">
        <v>0.81437869154659304</v>
      </c>
      <c r="G2033">
        <v>0.92359203942665802</v>
      </c>
      <c r="H2033" t="str">
        <f t="shared" si="31"/>
        <v>Q3</v>
      </c>
    </row>
    <row r="2034" spans="1:8">
      <c r="A2034">
        <v>810831</v>
      </c>
      <c r="B2034" t="s">
        <v>2696</v>
      </c>
      <c r="C2034">
        <v>105</v>
      </c>
      <c r="D2034">
        <v>3.2477158503163399</v>
      </c>
      <c r="E2034">
        <v>341.010164283216</v>
      </c>
      <c r="F2034">
        <v>0.91618073059704297</v>
      </c>
      <c r="G2034">
        <v>0.92355441856965503</v>
      </c>
      <c r="H2034" t="str">
        <f t="shared" si="31"/>
        <v>Q4</v>
      </c>
    </row>
    <row r="2035" spans="1:8">
      <c r="A2035">
        <v>772927</v>
      </c>
      <c r="B2035" t="s">
        <v>2239</v>
      </c>
      <c r="C2035">
        <v>104</v>
      </c>
      <c r="D2035">
        <v>3.27700451732828</v>
      </c>
      <c r="E2035">
        <v>340.80846980214102</v>
      </c>
      <c r="F2035">
        <v>0.91524020917196502</v>
      </c>
      <c r="G2035">
        <v>0.92351679771265205</v>
      </c>
      <c r="H2035" t="str">
        <f t="shared" si="31"/>
        <v>Q4</v>
      </c>
    </row>
    <row r="2036" spans="1:8">
      <c r="A2036">
        <v>712398</v>
      </c>
      <c r="B2036" t="s">
        <v>1079</v>
      </c>
      <c r="C2036">
        <v>74</v>
      </c>
      <c r="D2036">
        <v>4.6046725474298</v>
      </c>
      <c r="E2036">
        <v>340.74576850980498</v>
      </c>
      <c r="F2036">
        <v>0.88307437643429498</v>
      </c>
      <c r="G2036">
        <v>0.92347917685564895</v>
      </c>
      <c r="H2036" t="str">
        <f t="shared" si="31"/>
        <v>Q4</v>
      </c>
    </row>
    <row r="2037" spans="1:8">
      <c r="A2037">
        <v>746170</v>
      </c>
      <c r="B2037" t="s">
        <v>2591</v>
      </c>
      <c r="C2037">
        <v>224</v>
      </c>
      <c r="D2037">
        <v>1.5201194974776799</v>
      </c>
      <c r="E2037">
        <v>340.50676743499901</v>
      </c>
      <c r="F2037">
        <v>0.96437304841804306</v>
      </c>
      <c r="G2037">
        <v>0.92344155599864597</v>
      </c>
      <c r="H2037" t="str">
        <f t="shared" si="31"/>
        <v>Q2</v>
      </c>
    </row>
    <row r="2038" spans="1:8">
      <c r="A2038">
        <v>380609</v>
      </c>
      <c r="B2038" t="s">
        <v>2766</v>
      </c>
      <c r="C2038">
        <v>176</v>
      </c>
      <c r="D2038">
        <v>1.9341198013121801</v>
      </c>
      <c r="E2038">
        <v>340.40508503094298</v>
      </c>
      <c r="F2038">
        <v>0.95199578646401595</v>
      </c>
      <c r="G2038">
        <v>0.92340393514164298</v>
      </c>
      <c r="H2038" t="str">
        <f t="shared" si="31"/>
        <v>Q2</v>
      </c>
    </row>
    <row r="2039" spans="1:8">
      <c r="A2039">
        <v>801295</v>
      </c>
      <c r="B2039" t="s">
        <v>439</v>
      </c>
      <c r="C2039">
        <v>96</v>
      </c>
      <c r="D2039">
        <v>3.5442090214928599</v>
      </c>
      <c r="E2039">
        <v>340.24406606331502</v>
      </c>
      <c r="F2039">
        <v>0.90812986719837496</v>
      </c>
      <c r="G2039">
        <v>0.923366314284639</v>
      </c>
      <c r="H2039" t="str">
        <f t="shared" si="31"/>
        <v>Q4</v>
      </c>
    </row>
    <row r="2040" spans="1:8">
      <c r="A2040">
        <v>660369</v>
      </c>
      <c r="B2040" t="s">
        <v>3601</v>
      </c>
      <c r="C2040">
        <v>112</v>
      </c>
      <c r="D2040">
        <v>3.0363800789928099</v>
      </c>
      <c r="E2040">
        <v>340.07456884719397</v>
      </c>
      <c r="F2040">
        <v>0.92156051314848997</v>
      </c>
      <c r="G2040">
        <v>0.92332869342763602</v>
      </c>
      <c r="H2040" t="str">
        <f t="shared" si="31"/>
        <v>Q4</v>
      </c>
    </row>
    <row r="2041" spans="1:8">
      <c r="A2041">
        <v>760417</v>
      </c>
      <c r="B2041" t="s">
        <v>3595</v>
      </c>
      <c r="C2041">
        <v>36</v>
      </c>
      <c r="D2041">
        <v>9.4431734540396306</v>
      </c>
      <c r="E2041">
        <v>339.95424434542701</v>
      </c>
      <c r="F2041">
        <v>0.78890937135547901</v>
      </c>
      <c r="G2041">
        <v>0.92329107257063303</v>
      </c>
      <c r="H2041" t="str">
        <f t="shared" si="31"/>
        <v>Q3</v>
      </c>
    </row>
    <row r="2042" spans="1:8">
      <c r="A2042">
        <v>665636</v>
      </c>
      <c r="B2042" t="s">
        <v>5132</v>
      </c>
      <c r="C2042">
        <v>105</v>
      </c>
      <c r="D2042">
        <v>3.2369652266303701</v>
      </c>
      <c r="E2042">
        <v>339.881348796189</v>
      </c>
      <c r="F2042">
        <v>0.91618073059704297</v>
      </c>
      <c r="G2042">
        <v>0.92325345171363005</v>
      </c>
      <c r="H2042" t="str">
        <f t="shared" si="31"/>
        <v>Q4</v>
      </c>
    </row>
    <row r="2043" spans="1:8">
      <c r="A2043">
        <v>717849</v>
      </c>
      <c r="B2043" t="s">
        <v>4083</v>
      </c>
      <c r="C2043">
        <v>31</v>
      </c>
      <c r="D2043">
        <v>10.9612905810918</v>
      </c>
      <c r="E2043">
        <v>339.80000801384398</v>
      </c>
      <c r="F2043">
        <v>0.766073511154584</v>
      </c>
      <c r="G2043">
        <v>0.92321583085662695</v>
      </c>
      <c r="H2043" t="str">
        <f t="shared" si="31"/>
        <v>Q3</v>
      </c>
    </row>
    <row r="2044" spans="1:8">
      <c r="A2044">
        <v>761696</v>
      </c>
      <c r="B2044" t="s">
        <v>830</v>
      </c>
      <c r="C2044">
        <v>71</v>
      </c>
      <c r="D2044">
        <v>4.7857245692694699</v>
      </c>
      <c r="E2044">
        <v>339.78644441813202</v>
      </c>
      <c r="F2044">
        <v>0.87799556073887397</v>
      </c>
      <c r="G2044">
        <v>0.92317820999962397</v>
      </c>
      <c r="H2044" t="str">
        <f t="shared" si="31"/>
        <v>Q4</v>
      </c>
    </row>
    <row r="2045" spans="1:8">
      <c r="A2045">
        <v>788574</v>
      </c>
      <c r="B2045" t="s">
        <v>2348</v>
      </c>
      <c r="C2045">
        <v>85</v>
      </c>
      <c r="D2045">
        <v>3.9967497547759701</v>
      </c>
      <c r="E2045">
        <v>339.72372915595798</v>
      </c>
      <c r="F2045">
        <v>0.89721981866746903</v>
      </c>
      <c r="G2045">
        <v>0.92314058914262098</v>
      </c>
      <c r="H2045" t="str">
        <f t="shared" si="31"/>
        <v>Q4</v>
      </c>
    </row>
    <row r="2046" spans="1:8">
      <c r="A2046">
        <v>737060</v>
      </c>
      <c r="B2046" t="s">
        <v>1336</v>
      </c>
      <c r="C2046">
        <v>117</v>
      </c>
      <c r="D2046">
        <v>2.9035926279094499</v>
      </c>
      <c r="E2046">
        <v>339.72033746540501</v>
      </c>
      <c r="F2046">
        <v>0.925247357134796</v>
      </c>
      <c r="G2046">
        <v>0.923102968285618</v>
      </c>
      <c r="H2046" t="str">
        <f t="shared" si="31"/>
        <v>Q4</v>
      </c>
    </row>
    <row r="2047" spans="1:8">
      <c r="A2047">
        <v>725334</v>
      </c>
      <c r="B2047" t="s">
        <v>2733</v>
      </c>
      <c r="C2047">
        <v>143</v>
      </c>
      <c r="D2047">
        <v>2.37542966029027</v>
      </c>
      <c r="E2047">
        <v>339.68644142150902</v>
      </c>
      <c r="F2047">
        <v>0.940032353937023</v>
      </c>
      <c r="G2047">
        <v>0.92306534742861401</v>
      </c>
      <c r="H2047" t="str">
        <f t="shared" si="31"/>
        <v>Q4</v>
      </c>
    </row>
    <row r="2048" spans="1:8">
      <c r="A2048">
        <v>767655</v>
      </c>
      <c r="B2048" t="s">
        <v>1231</v>
      </c>
      <c r="C2048">
        <v>147</v>
      </c>
      <c r="D2048">
        <v>2.31018102455403</v>
      </c>
      <c r="E2048">
        <v>339.596610609442</v>
      </c>
      <c r="F2048">
        <v>0.94195101764418199</v>
      </c>
      <c r="G2048">
        <v>0.92302772657161103</v>
      </c>
      <c r="H2048" t="str">
        <f t="shared" si="31"/>
        <v>Q4</v>
      </c>
    </row>
    <row r="2049" spans="1:8">
      <c r="A2049">
        <v>542533</v>
      </c>
      <c r="B2049" t="s">
        <v>5117</v>
      </c>
      <c r="C2049">
        <v>106</v>
      </c>
      <c r="D2049">
        <v>3.2033578000681602</v>
      </c>
      <c r="E2049">
        <v>339.55592680722498</v>
      </c>
      <c r="F2049">
        <v>0.91730935630713695</v>
      </c>
      <c r="G2049">
        <v>0.92299010571460804</v>
      </c>
      <c r="H2049" t="str">
        <f t="shared" si="31"/>
        <v>Q4</v>
      </c>
    </row>
    <row r="2050" spans="1:8">
      <c r="A2050">
        <v>635112</v>
      </c>
      <c r="B2050" t="s">
        <v>1967</v>
      </c>
      <c r="C2050">
        <v>176</v>
      </c>
      <c r="D2050">
        <v>1.92876539923335</v>
      </c>
      <c r="E2050">
        <v>339.46271026506997</v>
      </c>
      <c r="F2050">
        <v>0.95199578646401595</v>
      </c>
      <c r="G2050">
        <v>0.92295248485760495</v>
      </c>
      <c r="H2050" t="str">
        <f t="shared" si="31"/>
        <v>Q2</v>
      </c>
    </row>
    <row r="2051" spans="1:8">
      <c r="A2051">
        <v>725631</v>
      </c>
      <c r="B2051" t="s">
        <v>2932</v>
      </c>
      <c r="C2051">
        <v>212</v>
      </c>
      <c r="D2051">
        <v>1.6010232811205001</v>
      </c>
      <c r="E2051">
        <v>339.416935597546</v>
      </c>
      <c r="F2051">
        <v>0.96200293442684603</v>
      </c>
      <c r="G2051">
        <v>0.92291486400060196</v>
      </c>
      <c r="H2051" t="str">
        <f t="shared" ref="H2051:H2114" si="32">IF(C2051&gt;$J$2,
   IF(D2051&gt;$J$3,"Q1","Q2"),
   IF(D2051&gt;$J$3,"Q3","Q4"))</f>
        <v>Q2</v>
      </c>
    </row>
    <row r="2052" spans="1:8">
      <c r="A2052">
        <v>791122</v>
      </c>
      <c r="B2052" t="s">
        <v>2486</v>
      </c>
      <c r="C2052">
        <v>70</v>
      </c>
      <c r="D2052">
        <v>4.8481356725096703</v>
      </c>
      <c r="E2052">
        <v>339.36949707567697</v>
      </c>
      <c r="F2052">
        <v>0.87555020503367098</v>
      </c>
      <c r="G2052">
        <v>0.92287724314359898</v>
      </c>
      <c r="H2052" t="str">
        <f t="shared" si="32"/>
        <v>Q4</v>
      </c>
    </row>
    <row r="2053" spans="1:8">
      <c r="A2053">
        <v>799876</v>
      </c>
      <c r="B2053" t="s">
        <v>4910</v>
      </c>
      <c r="C2053">
        <v>54</v>
      </c>
      <c r="D2053">
        <v>6.2826113499425098</v>
      </c>
      <c r="E2053">
        <v>339.26101289689501</v>
      </c>
      <c r="F2053">
        <v>0.84515255257514799</v>
      </c>
      <c r="G2053">
        <v>0.922839622286596</v>
      </c>
      <c r="H2053" t="str">
        <f t="shared" si="32"/>
        <v>Q3</v>
      </c>
    </row>
    <row r="2054" spans="1:8">
      <c r="A2054">
        <v>774007</v>
      </c>
      <c r="B2054" t="s">
        <v>2704</v>
      </c>
      <c r="C2054">
        <v>42</v>
      </c>
      <c r="D2054">
        <v>8.0726796317668192</v>
      </c>
      <c r="E2054">
        <v>339.05254453420599</v>
      </c>
      <c r="F2054">
        <v>0.81103043527331597</v>
      </c>
      <c r="G2054">
        <v>0.92280200142959301</v>
      </c>
      <c r="H2054" t="str">
        <f t="shared" si="32"/>
        <v>Q3</v>
      </c>
    </row>
    <row r="2055" spans="1:8">
      <c r="A2055">
        <v>635839</v>
      </c>
      <c r="B2055" t="s">
        <v>4567</v>
      </c>
      <c r="C2055">
        <v>104</v>
      </c>
      <c r="D2055">
        <v>3.2592242413486998</v>
      </c>
      <c r="E2055">
        <v>338.95932110026502</v>
      </c>
      <c r="F2055">
        <v>0.91524020917196502</v>
      </c>
      <c r="G2055">
        <v>0.92276438057258903</v>
      </c>
      <c r="H2055" t="str">
        <f t="shared" si="32"/>
        <v>Q4</v>
      </c>
    </row>
    <row r="2056" spans="1:8">
      <c r="A2056">
        <v>650279</v>
      </c>
      <c r="B2056" t="s">
        <v>2921</v>
      </c>
      <c r="C2056">
        <v>128</v>
      </c>
      <c r="D2056">
        <v>2.6474840960872799</v>
      </c>
      <c r="E2056">
        <v>338.87796429917199</v>
      </c>
      <c r="F2056">
        <v>0.93201911139535798</v>
      </c>
      <c r="G2056">
        <v>0.92272675971558604</v>
      </c>
      <c r="H2056" t="str">
        <f t="shared" si="32"/>
        <v>Q4</v>
      </c>
    </row>
    <row r="2057" spans="1:8">
      <c r="A2057">
        <v>735763</v>
      </c>
      <c r="B2057" t="s">
        <v>3229</v>
      </c>
      <c r="C2057">
        <v>116</v>
      </c>
      <c r="D2057">
        <v>2.9203243132134702</v>
      </c>
      <c r="E2057">
        <v>338.757620332763</v>
      </c>
      <c r="F2057">
        <v>0.924720665136752</v>
      </c>
      <c r="G2057">
        <v>0.92268913885858295</v>
      </c>
      <c r="H2057" t="str">
        <f t="shared" si="32"/>
        <v>Q4</v>
      </c>
    </row>
    <row r="2058" spans="1:8">
      <c r="A2058">
        <v>786978</v>
      </c>
      <c r="B2058" t="s">
        <v>3922</v>
      </c>
      <c r="C2058">
        <v>21</v>
      </c>
      <c r="D2058">
        <v>16.129378690606099</v>
      </c>
      <c r="E2058">
        <v>338.71695250272802</v>
      </c>
      <c r="F2058">
        <v>0.70008652797110704</v>
      </c>
      <c r="G2058">
        <v>0.92265151800157996</v>
      </c>
      <c r="H2058" t="str">
        <f t="shared" si="32"/>
        <v>Q3</v>
      </c>
    </row>
    <row r="2059" spans="1:8">
      <c r="A2059">
        <v>738418</v>
      </c>
      <c r="B2059" t="s">
        <v>3701</v>
      </c>
      <c r="C2059">
        <v>69</v>
      </c>
      <c r="D2059">
        <v>4.9037829473398702</v>
      </c>
      <c r="E2059">
        <v>338.36102336645098</v>
      </c>
      <c r="F2059">
        <v>0.87393250818253598</v>
      </c>
      <c r="G2059">
        <v>0.92261389714457698</v>
      </c>
      <c r="H2059" t="str">
        <f t="shared" si="32"/>
        <v>Q3</v>
      </c>
    </row>
    <row r="2060" spans="1:8">
      <c r="A2060">
        <v>819520</v>
      </c>
      <c r="B2060" t="s">
        <v>1889</v>
      </c>
      <c r="C2060">
        <v>159</v>
      </c>
      <c r="D2060">
        <v>2.12797134669509</v>
      </c>
      <c r="E2060">
        <v>338.34744412452</v>
      </c>
      <c r="F2060">
        <v>0.94597644934351599</v>
      </c>
      <c r="G2060">
        <v>0.92257627628757399</v>
      </c>
      <c r="H2060" t="str">
        <f t="shared" si="32"/>
        <v>Q4</v>
      </c>
    </row>
    <row r="2061" spans="1:8">
      <c r="A2061">
        <v>744703</v>
      </c>
      <c r="B2061" t="s">
        <v>4602</v>
      </c>
      <c r="C2061">
        <v>149</v>
      </c>
      <c r="D2061">
        <v>2.26966215066312</v>
      </c>
      <c r="E2061">
        <v>338.17966044880399</v>
      </c>
      <c r="F2061">
        <v>0.94266581392724103</v>
      </c>
      <c r="G2061">
        <v>0.92253865543057101</v>
      </c>
      <c r="H2061" t="str">
        <f t="shared" si="32"/>
        <v>Q4</v>
      </c>
    </row>
    <row r="2062" spans="1:8">
      <c r="A2062">
        <v>684080</v>
      </c>
      <c r="B2062" t="s">
        <v>1990</v>
      </c>
      <c r="C2062">
        <v>61</v>
      </c>
      <c r="D2062">
        <v>5.5352598611937198</v>
      </c>
      <c r="E2062">
        <v>337.650851532817</v>
      </c>
      <c r="F2062">
        <v>0.86035137880440904</v>
      </c>
      <c r="G2062">
        <v>0.92250103457356802</v>
      </c>
      <c r="H2062" t="str">
        <f t="shared" si="32"/>
        <v>Q3</v>
      </c>
    </row>
    <row r="2063" spans="1:8">
      <c r="A2063">
        <v>751057</v>
      </c>
      <c r="B2063" t="s">
        <v>3477</v>
      </c>
      <c r="C2063">
        <v>70</v>
      </c>
      <c r="D2063">
        <v>4.8232446398053899</v>
      </c>
      <c r="E2063">
        <v>337.62712478637701</v>
      </c>
      <c r="F2063">
        <v>0.87555020503367098</v>
      </c>
      <c r="G2063">
        <v>0.92246341371656404</v>
      </c>
      <c r="H2063" t="str">
        <f t="shared" si="32"/>
        <v>Q4</v>
      </c>
    </row>
    <row r="2064" spans="1:8">
      <c r="A2064">
        <v>807972</v>
      </c>
      <c r="B2064" t="s">
        <v>2862</v>
      </c>
      <c r="C2064">
        <v>118</v>
      </c>
      <c r="D2064">
        <v>2.8578712510229201</v>
      </c>
      <c r="E2064">
        <v>337.228807620704</v>
      </c>
      <c r="F2064">
        <v>0.92592453256085205</v>
      </c>
      <c r="G2064">
        <v>0.92242579285956094</v>
      </c>
      <c r="H2064" t="str">
        <f t="shared" si="32"/>
        <v>Q4</v>
      </c>
    </row>
    <row r="2065" spans="1:8">
      <c r="A2065">
        <v>710397</v>
      </c>
      <c r="B2065" t="s">
        <v>3254</v>
      </c>
      <c r="C2065">
        <v>157</v>
      </c>
      <c r="D2065">
        <v>2.1470797823587802</v>
      </c>
      <c r="E2065">
        <v>337.09152583032801</v>
      </c>
      <c r="F2065">
        <v>0.94518641134644998</v>
      </c>
      <c r="G2065">
        <v>0.92238817200255796</v>
      </c>
      <c r="H2065" t="str">
        <f t="shared" si="32"/>
        <v>Q4</v>
      </c>
    </row>
    <row r="2066" spans="1:8">
      <c r="A2066">
        <v>732729</v>
      </c>
      <c r="B2066" t="s">
        <v>1409</v>
      </c>
      <c r="C2066">
        <v>52</v>
      </c>
      <c r="D2066">
        <v>6.4812906856576999</v>
      </c>
      <c r="E2066">
        <v>337.02711565419997</v>
      </c>
      <c r="F2066">
        <v>0.84003611602272299</v>
      </c>
      <c r="G2066">
        <v>0.92235055114555498</v>
      </c>
      <c r="H2066" t="str">
        <f t="shared" si="32"/>
        <v>Q3</v>
      </c>
    </row>
    <row r="2067" spans="1:8">
      <c r="A2067">
        <v>708767</v>
      </c>
      <c r="B2067" t="s">
        <v>582</v>
      </c>
      <c r="C2067">
        <v>65</v>
      </c>
      <c r="D2067">
        <v>5.18132980339802</v>
      </c>
      <c r="E2067">
        <v>336.78643722087099</v>
      </c>
      <c r="F2067">
        <v>0.86802603363304598</v>
      </c>
      <c r="G2067">
        <v>0.92231293028855199</v>
      </c>
      <c r="H2067" t="str">
        <f t="shared" si="32"/>
        <v>Q3</v>
      </c>
    </row>
    <row r="2068" spans="1:8">
      <c r="A2068">
        <v>762846</v>
      </c>
      <c r="B2068" t="s">
        <v>2898</v>
      </c>
      <c r="C2068">
        <v>143</v>
      </c>
      <c r="D2068">
        <v>2.3542017259120498</v>
      </c>
      <c r="E2068">
        <v>336.65084680542299</v>
      </c>
      <c r="F2068">
        <v>0.940032353937023</v>
      </c>
      <c r="G2068">
        <v>0.92227530943154901</v>
      </c>
      <c r="H2068" t="str">
        <f t="shared" si="32"/>
        <v>Q4</v>
      </c>
    </row>
    <row r="2069" spans="1:8">
      <c r="A2069">
        <v>794378</v>
      </c>
      <c r="B2069" t="s">
        <v>580</v>
      </c>
      <c r="C2069">
        <v>84</v>
      </c>
      <c r="D2069">
        <v>4.00768771457175</v>
      </c>
      <c r="E2069">
        <v>336.64576802402701</v>
      </c>
      <c r="F2069">
        <v>0.89639215981340103</v>
      </c>
      <c r="G2069">
        <v>0.92223768857454602</v>
      </c>
      <c r="H2069" t="str">
        <f t="shared" si="32"/>
        <v>Q4</v>
      </c>
    </row>
    <row r="2070" spans="1:8">
      <c r="A2070">
        <v>713600</v>
      </c>
      <c r="B2070" t="s">
        <v>748</v>
      </c>
      <c r="C2070">
        <v>52</v>
      </c>
      <c r="D2070">
        <v>6.4719686499581899</v>
      </c>
      <c r="E2070">
        <v>336.54236979782598</v>
      </c>
      <c r="F2070">
        <v>0.84003611602272299</v>
      </c>
      <c r="G2070">
        <v>0.92220006771754304</v>
      </c>
      <c r="H2070" t="str">
        <f t="shared" si="32"/>
        <v>Q3</v>
      </c>
    </row>
    <row r="2071" spans="1:8">
      <c r="A2071">
        <v>752464</v>
      </c>
      <c r="B2071" t="s">
        <v>1157</v>
      </c>
      <c r="C2071">
        <v>60</v>
      </c>
      <c r="D2071">
        <v>5.6049154109011097</v>
      </c>
      <c r="E2071">
        <v>336.29492465406702</v>
      </c>
      <c r="F2071">
        <v>0.85805650652721899</v>
      </c>
      <c r="G2071">
        <v>0.92216244686053905</v>
      </c>
      <c r="H2071" t="str">
        <f t="shared" si="32"/>
        <v>Q3</v>
      </c>
    </row>
    <row r="2072" spans="1:8">
      <c r="A2072">
        <v>639448</v>
      </c>
      <c r="B2072" t="s">
        <v>886</v>
      </c>
      <c r="C2072">
        <v>77</v>
      </c>
      <c r="D2072">
        <v>4.3673343980660704</v>
      </c>
      <c r="E2072">
        <v>336.284748651087</v>
      </c>
      <c r="F2072">
        <v>0.88740077498965397</v>
      </c>
      <c r="G2072">
        <v>0.92212482600353596</v>
      </c>
      <c r="H2072" t="str">
        <f t="shared" si="32"/>
        <v>Q4</v>
      </c>
    </row>
    <row r="2073" spans="1:8">
      <c r="A2073">
        <v>758200</v>
      </c>
      <c r="B2073" t="s">
        <v>2907</v>
      </c>
      <c r="C2073">
        <v>55</v>
      </c>
      <c r="D2073">
        <v>6.1134668084030803</v>
      </c>
      <c r="E2073">
        <v>336.24067446216901</v>
      </c>
      <c r="F2073">
        <v>0.84763552913735396</v>
      </c>
      <c r="G2073">
        <v>0.92208720514653297</v>
      </c>
      <c r="H2073" t="str">
        <f t="shared" si="32"/>
        <v>Q3</v>
      </c>
    </row>
    <row r="2074" spans="1:8">
      <c r="A2074">
        <v>655710</v>
      </c>
      <c r="B2074" t="s">
        <v>981</v>
      </c>
      <c r="C2074">
        <v>70</v>
      </c>
      <c r="D2074">
        <v>4.7979177641017099</v>
      </c>
      <c r="E2074">
        <v>335.85424348712002</v>
      </c>
      <c r="F2074">
        <v>0.87555020503367098</v>
      </c>
      <c r="G2074">
        <v>0.92204958428952999</v>
      </c>
      <c r="H2074" t="str">
        <f t="shared" si="32"/>
        <v>Q4</v>
      </c>
    </row>
    <row r="2075" spans="1:8">
      <c r="A2075">
        <v>663007</v>
      </c>
      <c r="B2075" t="s">
        <v>1490</v>
      </c>
      <c r="C2075">
        <v>102</v>
      </c>
      <c r="D2075">
        <v>3.2922067012929999</v>
      </c>
      <c r="E2075">
        <v>335.805083531886</v>
      </c>
      <c r="F2075">
        <v>0.91332154546480604</v>
      </c>
      <c r="G2075">
        <v>0.922011963432527</v>
      </c>
      <c r="H2075" t="str">
        <f t="shared" si="32"/>
        <v>Q4</v>
      </c>
    </row>
    <row r="2076" spans="1:8">
      <c r="A2076">
        <v>699624</v>
      </c>
      <c r="B2076" t="s">
        <v>4912</v>
      </c>
      <c r="C2076">
        <v>56</v>
      </c>
      <c r="D2076">
        <v>5.9937953483313304</v>
      </c>
      <c r="E2076">
        <v>335.652539506555</v>
      </c>
      <c r="F2076">
        <v>0.85004326398555397</v>
      </c>
      <c r="G2076">
        <v>0.92197434257552402</v>
      </c>
      <c r="H2076" t="str">
        <f t="shared" si="32"/>
        <v>Q3</v>
      </c>
    </row>
    <row r="2077" spans="1:8">
      <c r="A2077">
        <v>795885</v>
      </c>
      <c r="B2077" t="s">
        <v>2905</v>
      </c>
      <c r="C2077">
        <v>105</v>
      </c>
      <c r="D2077">
        <v>3.1965939842519302</v>
      </c>
      <c r="E2077">
        <v>335.642368346453</v>
      </c>
      <c r="F2077">
        <v>0.91618073059704297</v>
      </c>
      <c r="G2077">
        <v>0.92193672171852104</v>
      </c>
      <c r="H2077" t="str">
        <f t="shared" si="32"/>
        <v>Q4</v>
      </c>
    </row>
    <row r="2078" spans="1:8">
      <c r="A2078">
        <v>783636</v>
      </c>
      <c r="B2078" t="s">
        <v>5001</v>
      </c>
      <c r="C2078">
        <v>56</v>
      </c>
      <c r="D2078">
        <v>5.9921307023614601</v>
      </c>
      <c r="E2078">
        <v>335.55931933224201</v>
      </c>
      <c r="F2078">
        <v>0.85004326398555397</v>
      </c>
      <c r="G2078">
        <v>0.92189910086151805</v>
      </c>
      <c r="H2078" t="str">
        <f t="shared" si="32"/>
        <v>Q3</v>
      </c>
    </row>
    <row r="2079" spans="1:8">
      <c r="A2079">
        <v>635957</v>
      </c>
      <c r="B2079" t="s">
        <v>1137</v>
      </c>
      <c r="C2079">
        <v>83</v>
      </c>
      <c r="D2079">
        <v>4.0427812969828203</v>
      </c>
      <c r="E2079">
        <v>335.550847649574</v>
      </c>
      <c r="F2079">
        <v>0.89530115496031004</v>
      </c>
      <c r="G2079">
        <v>0.92186148000451495</v>
      </c>
      <c r="H2079" t="str">
        <f t="shared" si="32"/>
        <v>Q4</v>
      </c>
    </row>
    <row r="2080" spans="1:8">
      <c r="A2080">
        <v>540701</v>
      </c>
      <c r="B2080" t="s">
        <v>518</v>
      </c>
      <c r="C2080">
        <v>123</v>
      </c>
      <c r="D2080">
        <v>2.7271875377169001</v>
      </c>
      <c r="E2080">
        <v>335.44406713917903</v>
      </c>
      <c r="F2080">
        <v>0.92893420112110203</v>
      </c>
      <c r="G2080">
        <v>0.92182385914751097</v>
      </c>
      <c r="H2080" t="str">
        <f t="shared" si="32"/>
        <v>Q4</v>
      </c>
    </row>
    <row r="2081" spans="1:8">
      <c r="A2081">
        <v>658298</v>
      </c>
      <c r="B2081" t="s">
        <v>4497</v>
      </c>
      <c r="C2081">
        <v>92</v>
      </c>
      <c r="D2081">
        <v>3.64567059011239</v>
      </c>
      <c r="E2081">
        <v>335.40169429034</v>
      </c>
      <c r="F2081">
        <v>0.90429253978405599</v>
      </c>
      <c r="G2081">
        <v>0.92178623829050799</v>
      </c>
      <c r="H2081" t="str">
        <f t="shared" si="32"/>
        <v>Q4</v>
      </c>
    </row>
    <row r="2082" spans="1:8">
      <c r="A2082">
        <v>775977</v>
      </c>
      <c r="B2082" t="s">
        <v>5100</v>
      </c>
      <c r="C2082">
        <v>86</v>
      </c>
      <c r="D2082">
        <v>3.8978517965175401</v>
      </c>
      <c r="E2082">
        <v>335.21525450050802</v>
      </c>
      <c r="F2082">
        <v>0.89864941123358799</v>
      </c>
      <c r="G2082">
        <v>0.921748617433505</v>
      </c>
      <c r="H2082" t="str">
        <f t="shared" si="32"/>
        <v>Q4</v>
      </c>
    </row>
    <row r="2083" spans="1:8">
      <c r="A2083">
        <v>746888</v>
      </c>
      <c r="B2083" t="s">
        <v>2639</v>
      </c>
      <c r="C2083">
        <v>67</v>
      </c>
      <c r="D2083">
        <v>5.0000759814657396</v>
      </c>
      <c r="E2083">
        <v>335.00509075820401</v>
      </c>
      <c r="F2083">
        <v>0.87118618562130801</v>
      </c>
      <c r="G2083">
        <v>0.92171099657650202</v>
      </c>
      <c r="H2083" t="str">
        <f t="shared" si="32"/>
        <v>Q3</v>
      </c>
    </row>
    <row r="2084" spans="1:8">
      <c r="A2084">
        <v>722174</v>
      </c>
      <c r="B2084" t="s">
        <v>4307</v>
      </c>
      <c r="C2084">
        <v>69</v>
      </c>
      <c r="D2084">
        <v>4.8546058139291404</v>
      </c>
      <c r="E2084">
        <v>334.96780116111</v>
      </c>
      <c r="F2084">
        <v>0.87393250818253598</v>
      </c>
      <c r="G2084">
        <v>0.92167337571949903</v>
      </c>
      <c r="H2084" t="str">
        <f t="shared" si="32"/>
        <v>Q4</v>
      </c>
    </row>
    <row r="2085" spans="1:8">
      <c r="A2085">
        <v>742570</v>
      </c>
      <c r="B2085" t="s">
        <v>1809</v>
      </c>
      <c r="C2085">
        <v>61</v>
      </c>
      <c r="D2085">
        <v>5.48935826928889</v>
      </c>
      <c r="E2085">
        <v>334.85085442662199</v>
      </c>
      <c r="F2085">
        <v>0.86035137880440904</v>
      </c>
      <c r="G2085">
        <v>0.92163575486249605</v>
      </c>
      <c r="H2085" t="str">
        <f t="shared" si="32"/>
        <v>Q3</v>
      </c>
    </row>
    <row r="2086" spans="1:8">
      <c r="A2086">
        <v>733084</v>
      </c>
      <c r="B2086" t="s">
        <v>3587</v>
      </c>
      <c r="C2086">
        <v>68</v>
      </c>
      <c r="D2086">
        <v>4.9197408754159397</v>
      </c>
      <c r="E2086">
        <v>334.54237952828402</v>
      </c>
      <c r="F2086">
        <v>0.87223956961739602</v>
      </c>
      <c r="G2086">
        <v>0.92159813400549295</v>
      </c>
      <c r="H2086" t="str">
        <f t="shared" si="32"/>
        <v>Q3</v>
      </c>
    </row>
    <row r="2087" spans="1:8">
      <c r="A2087">
        <v>200182</v>
      </c>
      <c r="B2087" t="s">
        <v>152</v>
      </c>
      <c r="C2087">
        <v>311</v>
      </c>
      <c r="D2087">
        <v>1.0748432986243599</v>
      </c>
      <c r="E2087">
        <v>334.27626587217702</v>
      </c>
      <c r="F2087">
        <v>0.97705127722809504</v>
      </c>
      <c r="G2087">
        <v>0.92156051314848997</v>
      </c>
      <c r="H2087" t="str">
        <f t="shared" si="32"/>
        <v>Q2</v>
      </c>
    </row>
    <row r="2088" spans="1:8">
      <c r="A2088">
        <v>809977</v>
      </c>
      <c r="B2088" t="s">
        <v>1919</v>
      </c>
      <c r="C2088">
        <v>28</v>
      </c>
      <c r="D2088">
        <v>11.9365012805377</v>
      </c>
      <c r="E2088">
        <v>334.22203585505503</v>
      </c>
      <c r="F2088">
        <v>0.74974605921522897</v>
      </c>
      <c r="G2088">
        <v>0.92152289229148598</v>
      </c>
      <c r="H2088" t="str">
        <f t="shared" si="32"/>
        <v>Q3</v>
      </c>
    </row>
    <row r="2089" spans="1:8">
      <c r="A2089">
        <v>568478</v>
      </c>
      <c r="B2089" t="s">
        <v>793</v>
      </c>
      <c r="C2089">
        <v>61</v>
      </c>
      <c r="D2089">
        <v>5.4707419982210501</v>
      </c>
      <c r="E2089">
        <v>333.71526189148398</v>
      </c>
      <c r="F2089">
        <v>0.86035137880440904</v>
      </c>
      <c r="G2089">
        <v>0.921485271434483</v>
      </c>
      <c r="H2089" t="str">
        <f t="shared" si="32"/>
        <v>Q3</v>
      </c>
    </row>
    <row r="2090" spans="1:8">
      <c r="A2090">
        <v>792490</v>
      </c>
      <c r="B2090" t="s">
        <v>3167</v>
      </c>
      <c r="C2090">
        <v>131</v>
      </c>
      <c r="D2090">
        <v>2.54622844495732</v>
      </c>
      <c r="E2090">
        <v>333.555926289409</v>
      </c>
      <c r="F2090">
        <v>0.93374967081750104</v>
      </c>
      <c r="G2090">
        <v>0.92144765057748002</v>
      </c>
      <c r="H2090" t="str">
        <f t="shared" si="32"/>
        <v>Q4</v>
      </c>
    </row>
    <row r="2091" spans="1:8">
      <c r="A2091">
        <v>691809</v>
      </c>
      <c r="B2091" t="s">
        <v>1804</v>
      </c>
      <c r="C2091">
        <v>117</v>
      </c>
      <c r="D2091">
        <v>2.8507170211682999</v>
      </c>
      <c r="E2091">
        <v>333.533891476691</v>
      </c>
      <c r="F2091">
        <v>0.925247357134796</v>
      </c>
      <c r="G2091">
        <v>0.92141002972047703</v>
      </c>
      <c r="H2091" t="str">
        <f t="shared" si="32"/>
        <v>Q4</v>
      </c>
    </row>
    <row r="2092" spans="1:8">
      <c r="A2092">
        <v>716348</v>
      </c>
      <c r="B2092" t="s">
        <v>3044</v>
      </c>
      <c r="C2092">
        <v>163</v>
      </c>
      <c r="D2092">
        <v>2.04532598630965</v>
      </c>
      <c r="E2092">
        <v>333.38813576847298</v>
      </c>
      <c r="F2092">
        <v>0.94751890448064402</v>
      </c>
      <c r="G2092">
        <v>0.92137240886347405</v>
      </c>
      <c r="H2092" t="str">
        <f t="shared" si="32"/>
        <v>Q4</v>
      </c>
    </row>
    <row r="2093" spans="1:8">
      <c r="A2093">
        <v>613497</v>
      </c>
      <c r="B2093" t="s">
        <v>2563</v>
      </c>
      <c r="C2093">
        <v>115</v>
      </c>
      <c r="D2093">
        <v>2.8973470247634099</v>
      </c>
      <c r="E2093">
        <v>333.19490784779202</v>
      </c>
      <c r="F2093">
        <v>0.92370490199766797</v>
      </c>
      <c r="G2093">
        <v>0.92133478800647095</v>
      </c>
      <c r="H2093" t="str">
        <f t="shared" si="32"/>
        <v>Q4</v>
      </c>
    </row>
    <row r="2094" spans="1:8">
      <c r="A2094">
        <v>755574</v>
      </c>
      <c r="B2094" t="s">
        <v>4071</v>
      </c>
      <c r="C2094">
        <v>124</v>
      </c>
      <c r="D2094">
        <v>2.6861809205354001</v>
      </c>
      <c r="E2094">
        <v>333.08643414638902</v>
      </c>
      <c r="F2094">
        <v>0.92957375569015499</v>
      </c>
      <c r="G2094">
        <v>0.92129716714946797</v>
      </c>
      <c r="H2094" t="str">
        <f t="shared" si="32"/>
        <v>Q4</v>
      </c>
    </row>
    <row r="2095" spans="1:8">
      <c r="A2095">
        <v>651456</v>
      </c>
      <c r="B2095" t="s">
        <v>147</v>
      </c>
      <c r="C2095">
        <v>240</v>
      </c>
      <c r="D2095">
        <v>1.38595334487036</v>
      </c>
      <c r="E2095">
        <v>332.62880276888598</v>
      </c>
      <c r="F2095">
        <v>0.96723223355027999</v>
      </c>
      <c r="G2095">
        <v>0.92125954629246498</v>
      </c>
      <c r="H2095" t="str">
        <f t="shared" si="32"/>
        <v>Q2</v>
      </c>
    </row>
    <row r="2096" spans="1:8">
      <c r="A2096">
        <v>740962</v>
      </c>
      <c r="B2096" t="s">
        <v>3834</v>
      </c>
      <c r="C2096">
        <v>82</v>
      </c>
      <c r="D2096">
        <v>4.05434065203114</v>
      </c>
      <c r="E2096">
        <v>332.45593346655397</v>
      </c>
      <c r="F2096">
        <v>0.894323012678229</v>
      </c>
      <c r="G2096">
        <v>0.921221925435461</v>
      </c>
      <c r="H2096" t="str">
        <f t="shared" si="32"/>
        <v>Q4</v>
      </c>
    </row>
    <row r="2097" spans="1:8">
      <c r="A2097">
        <v>780887</v>
      </c>
      <c r="B2097" t="s">
        <v>4180</v>
      </c>
      <c r="C2097">
        <v>115</v>
      </c>
      <c r="D2097">
        <v>2.88891671387398</v>
      </c>
      <c r="E2097">
        <v>332.22542209550699</v>
      </c>
      <c r="F2097">
        <v>0.92370490199766797</v>
      </c>
      <c r="G2097">
        <v>0.92118430457845801</v>
      </c>
      <c r="H2097" t="str">
        <f t="shared" si="32"/>
        <v>Q4</v>
      </c>
    </row>
    <row r="2098" spans="1:8">
      <c r="A2098">
        <v>741308</v>
      </c>
      <c r="B2098" t="s">
        <v>641</v>
      </c>
      <c r="C2098">
        <v>159</v>
      </c>
      <c r="D2098">
        <v>2.0876771401403098</v>
      </c>
      <c r="E2098">
        <v>331.940665282309</v>
      </c>
      <c r="F2098">
        <v>0.94597644934351599</v>
      </c>
      <c r="G2098">
        <v>0.92114668372145503</v>
      </c>
      <c r="H2098" t="str">
        <f t="shared" si="32"/>
        <v>Q4</v>
      </c>
    </row>
    <row r="2099" spans="1:8">
      <c r="A2099">
        <v>742429</v>
      </c>
      <c r="B2099" t="s">
        <v>2977</v>
      </c>
      <c r="C2099">
        <v>75</v>
      </c>
      <c r="D2099">
        <v>4.4238418762882503</v>
      </c>
      <c r="E2099">
        <v>331.78814072161902</v>
      </c>
      <c r="F2099">
        <v>0.88420300214438896</v>
      </c>
      <c r="G2099">
        <v>0.92110906286445204</v>
      </c>
      <c r="H2099" t="str">
        <f t="shared" si="32"/>
        <v>Q4</v>
      </c>
    </row>
    <row r="2100" spans="1:8">
      <c r="A2100">
        <v>757303</v>
      </c>
      <c r="B2100" t="s">
        <v>2145</v>
      </c>
      <c r="C2100">
        <v>127</v>
      </c>
      <c r="D2100">
        <v>2.6123715388610602</v>
      </c>
      <c r="E2100">
        <v>331.77118543535499</v>
      </c>
      <c r="F2100">
        <v>0.93141717768330801</v>
      </c>
      <c r="G2100">
        <v>0.92107144200744895</v>
      </c>
      <c r="H2100" t="str">
        <f t="shared" si="32"/>
        <v>Q4</v>
      </c>
    </row>
    <row r="2101" spans="1:8">
      <c r="A2101">
        <v>824148</v>
      </c>
      <c r="B2101" t="s">
        <v>1018</v>
      </c>
      <c r="C2101">
        <v>176</v>
      </c>
      <c r="D2101">
        <v>1.8849576185774899</v>
      </c>
      <c r="E2101">
        <v>331.75254086963798</v>
      </c>
      <c r="F2101">
        <v>0.95199578646401595</v>
      </c>
      <c r="G2101">
        <v>0.92103382115044596</v>
      </c>
      <c r="H2101" t="str">
        <f t="shared" si="32"/>
        <v>Q2</v>
      </c>
    </row>
    <row r="2102" spans="1:8">
      <c r="A2102">
        <v>706655</v>
      </c>
      <c r="B2102" t="s">
        <v>4561</v>
      </c>
      <c r="C2102">
        <v>60</v>
      </c>
      <c r="D2102">
        <v>5.52830521017313</v>
      </c>
      <c r="E2102">
        <v>331.69831261038797</v>
      </c>
      <c r="F2102">
        <v>0.85805650652721899</v>
      </c>
      <c r="G2102">
        <v>0.92099620029344298</v>
      </c>
      <c r="H2102" t="str">
        <f t="shared" si="32"/>
        <v>Q3</v>
      </c>
    </row>
    <row r="2103" spans="1:8">
      <c r="A2103">
        <v>708336</v>
      </c>
      <c r="B2103" t="s">
        <v>598</v>
      </c>
      <c r="C2103">
        <v>227</v>
      </c>
      <c r="D2103">
        <v>1.46037475934195</v>
      </c>
      <c r="E2103">
        <v>331.50507037062198</v>
      </c>
      <c r="F2103">
        <v>0.96486211955908396</v>
      </c>
      <c r="G2103">
        <v>0.92095857943643999</v>
      </c>
      <c r="H2103" t="str">
        <f t="shared" si="32"/>
        <v>Q2</v>
      </c>
    </row>
    <row r="2104" spans="1:8">
      <c r="A2104">
        <v>639496</v>
      </c>
      <c r="B2104" t="s">
        <v>3812</v>
      </c>
      <c r="C2104">
        <v>124</v>
      </c>
      <c r="D2104">
        <v>2.6713094046910202</v>
      </c>
      <c r="E2104">
        <v>331.24236618168698</v>
      </c>
      <c r="F2104">
        <v>0.92957375569015499</v>
      </c>
      <c r="G2104">
        <v>0.92092095857943601</v>
      </c>
      <c r="H2104" t="str">
        <f t="shared" si="32"/>
        <v>Q4</v>
      </c>
    </row>
    <row r="2105" spans="1:8">
      <c r="A2105">
        <v>755440</v>
      </c>
      <c r="B2105" t="s">
        <v>1127</v>
      </c>
      <c r="C2105">
        <v>61</v>
      </c>
      <c r="D2105">
        <v>5.4298693558476003</v>
      </c>
      <c r="E2105">
        <v>331.222030706704</v>
      </c>
      <c r="F2105">
        <v>0.86035137880440904</v>
      </c>
      <c r="G2105">
        <v>0.92088333772243303</v>
      </c>
      <c r="H2105" t="str">
        <f t="shared" si="32"/>
        <v>Q3</v>
      </c>
    </row>
    <row r="2106" spans="1:8">
      <c r="A2106">
        <v>690756</v>
      </c>
      <c r="B2106" t="s">
        <v>4258</v>
      </c>
      <c r="C2106">
        <v>68</v>
      </c>
      <c r="D2106">
        <v>4.8689681817503496</v>
      </c>
      <c r="E2106">
        <v>331.08983635902399</v>
      </c>
      <c r="F2106">
        <v>0.87223956961739602</v>
      </c>
      <c r="G2106">
        <v>0.92084571686543004</v>
      </c>
      <c r="H2106" t="str">
        <f t="shared" si="32"/>
        <v>Q4</v>
      </c>
    </row>
    <row r="2107" spans="1:8">
      <c r="A2107">
        <v>798087</v>
      </c>
      <c r="B2107" t="s">
        <v>186</v>
      </c>
      <c r="C2107">
        <v>29</v>
      </c>
      <c r="D2107">
        <v>11.413909841714201</v>
      </c>
      <c r="E2107">
        <v>331.00338540971302</v>
      </c>
      <c r="F2107">
        <v>0.75501297919566601</v>
      </c>
      <c r="G2107">
        <v>0.92080809600842695</v>
      </c>
      <c r="H2107" t="str">
        <f t="shared" si="32"/>
        <v>Q3</v>
      </c>
    </row>
    <row r="2108" spans="1:8">
      <c r="A2108">
        <v>778168</v>
      </c>
      <c r="B2108" t="s">
        <v>5097</v>
      </c>
      <c r="C2108">
        <v>54</v>
      </c>
      <c r="D2108">
        <v>6.1256433940596002</v>
      </c>
      <c r="E2108">
        <v>330.78474327921901</v>
      </c>
      <c r="F2108">
        <v>0.84515255257514799</v>
      </c>
      <c r="G2108">
        <v>0.92077047515142396</v>
      </c>
      <c r="H2108" t="str">
        <f t="shared" si="32"/>
        <v>Q3</v>
      </c>
    </row>
    <row r="2109" spans="1:8">
      <c r="A2109">
        <v>751628</v>
      </c>
      <c r="B2109" t="s">
        <v>1416</v>
      </c>
      <c r="C2109">
        <v>62</v>
      </c>
      <c r="D2109">
        <v>5.3351832583787004</v>
      </c>
      <c r="E2109">
        <v>330.78136201947899</v>
      </c>
      <c r="F2109">
        <v>0.86238290508257798</v>
      </c>
      <c r="G2109">
        <v>0.92073285429442098</v>
      </c>
      <c r="H2109" t="str">
        <f t="shared" si="32"/>
        <v>Q3</v>
      </c>
    </row>
    <row r="2110" spans="1:8">
      <c r="A2110">
        <v>645930</v>
      </c>
      <c r="B2110" t="s">
        <v>798</v>
      </c>
      <c r="C2110">
        <v>65</v>
      </c>
      <c r="D2110">
        <v>5.0865449312214697</v>
      </c>
      <c r="E2110">
        <v>330.625420529395</v>
      </c>
      <c r="F2110">
        <v>0.86802603363304598</v>
      </c>
      <c r="G2110">
        <v>0.92069523343741799</v>
      </c>
      <c r="H2110" t="str">
        <f t="shared" si="32"/>
        <v>Q3</v>
      </c>
    </row>
    <row r="2111" spans="1:8">
      <c r="A2111">
        <v>541313</v>
      </c>
      <c r="B2111" t="s">
        <v>4492</v>
      </c>
      <c r="C2111">
        <v>81</v>
      </c>
      <c r="D2111">
        <v>4.0796192201935204</v>
      </c>
      <c r="E2111">
        <v>330.44915683567501</v>
      </c>
      <c r="F2111">
        <v>0.89293104096911302</v>
      </c>
      <c r="G2111">
        <v>0.92065761258041501</v>
      </c>
      <c r="H2111" t="str">
        <f t="shared" si="32"/>
        <v>Q4</v>
      </c>
    </row>
    <row r="2112" spans="1:8">
      <c r="A2112">
        <v>813991</v>
      </c>
      <c r="B2112" t="s">
        <v>1355</v>
      </c>
      <c r="C2112">
        <v>68</v>
      </c>
      <c r="D2112">
        <v>4.85842479666805</v>
      </c>
      <c r="E2112">
        <v>330.37288617342699</v>
      </c>
      <c r="F2112">
        <v>0.87223956961739602</v>
      </c>
      <c r="G2112">
        <v>0.92061999172341102</v>
      </c>
      <c r="H2112" t="str">
        <f t="shared" si="32"/>
        <v>Q4</v>
      </c>
    </row>
    <row r="2113" spans="1:8">
      <c r="A2113">
        <v>757552</v>
      </c>
      <c r="B2113" t="s">
        <v>1505</v>
      </c>
      <c r="C2113">
        <v>102</v>
      </c>
      <c r="D2113">
        <v>3.2384844935115602</v>
      </c>
      <c r="E2113">
        <v>330.32541833817999</v>
      </c>
      <c r="F2113">
        <v>0.91332154546480604</v>
      </c>
      <c r="G2113">
        <v>0.92058237086640804</v>
      </c>
      <c r="H2113" t="str">
        <f t="shared" si="32"/>
        <v>Q4</v>
      </c>
    </row>
    <row r="2114" spans="1:8">
      <c r="A2114">
        <v>660712</v>
      </c>
      <c r="B2114" t="s">
        <v>2448</v>
      </c>
      <c r="C2114">
        <v>105</v>
      </c>
      <c r="D2114">
        <v>3.1449394353798499</v>
      </c>
      <c r="E2114">
        <v>330.21864071488397</v>
      </c>
      <c r="F2114">
        <v>0.91618073059704297</v>
      </c>
      <c r="G2114">
        <v>0.92054475000940506</v>
      </c>
      <c r="H2114" t="str">
        <f t="shared" si="32"/>
        <v>Q4</v>
      </c>
    </row>
    <row r="2115" spans="1:8">
      <c r="A2115">
        <v>790663</v>
      </c>
      <c r="B2115" t="s">
        <v>4220</v>
      </c>
      <c r="C2115">
        <v>70</v>
      </c>
      <c r="D2115">
        <v>4.7167070955038097</v>
      </c>
      <c r="E2115">
        <v>330.16949668526598</v>
      </c>
      <c r="F2115">
        <v>0.87555020503367098</v>
      </c>
      <c r="G2115">
        <v>0.92050712915240196</v>
      </c>
      <c r="H2115" t="str">
        <f t="shared" ref="H2115:H2178" si="33">IF(C2115&gt;$J$2,
   IF(D2115&gt;$J$3,"Q1","Q2"),
   IF(D2115&gt;$J$3,"Q3","Q4"))</f>
        <v>Q4</v>
      </c>
    </row>
    <row r="2116" spans="1:8">
      <c r="A2116">
        <v>707427</v>
      </c>
      <c r="B2116" t="s">
        <v>5129</v>
      </c>
      <c r="C2116">
        <v>81</v>
      </c>
      <c r="D2116">
        <v>4.0725256304866004</v>
      </c>
      <c r="E2116">
        <v>329.87457606941501</v>
      </c>
      <c r="F2116">
        <v>0.89293104096911302</v>
      </c>
      <c r="G2116">
        <v>0.92046950829539897</v>
      </c>
      <c r="H2116" t="str">
        <f t="shared" si="33"/>
        <v>Q4</v>
      </c>
    </row>
    <row r="2117" spans="1:8">
      <c r="A2117">
        <v>785822</v>
      </c>
      <c r="B2117" t="s">
        <v>595</v>
      </c>
      <c r="C2117">
        <v>240</v>
      </c>
      <c r="D2117">
        <v>1.3739406288368601</v>
      </c>
      <c r="E2117">
        <v>329.745750920847</v>
      </c>
      <c r="F2117">
        <v>0.96723223355027999</v>
      </c>
      <c r="G2117">
        <v>0.92043188743839599</v>
      </c>
      <c r="H2117" t="str">
        <f t="shared" si="33"/>
        <v>Q2</v>
      </c>
    </row>
    <row r="2118" spans="1:8">
      <c r="A2118">
        <v>787148</v>
      </c>
      <c r="B2118" t="s">
        <v>3593</v>
      </c>
      <c r="C2118">
        <v>14</v>
      </c>
      <c r="D2118">
        <v>23.549273716551902</v>
      </c>
      <c r="E2118">
        <v>329.68983203172701</v>
      </c>
      <c r="F2118">
        <v>0.62070651969451895</v>
      </c>
      <c r="G2118">
        <v>0.92039426658139301</v>
      </c>
      <c r="H2118" t="str">
        <f t="shared" si="33"/>
        <v>Q3</v>
      </c>
    </row>
    <row r="2119" spans="1:8">
      <c r="A2119">
        <v>440811</v>
      </c>
      <c r="B2119" t="s">
        <v>2926</v>
      </c>
      <c r="C2119">
        <v>62</v>
      </c>
      <c r="D2119">
        <v>5.3139148189896499</v>
      </c>
      <c r="E2119">
        <v>329.46271877735899</v>
      </c>
      <c r="F2119">
        <v>0.86238290508257798</v>
      </c>
      <c r="G2119">
        <v>0.92035664572439002</v>
      </c>
      <c r="H2119" t="str">
        <f t="shared" si="33"/>
        <v>Q3</v>
      </c>
    </row>
    <row r="2120" spans="1:8">
      <c r="A2120">
        <v>570189</v>
      </c>
      <c r="B2120" t="s">
        <v>2426</v>
      </c>
      <c r="C2120">
        <v>134</v>
      </c>
      <c r="D2120">
        <v>2.4583607439452102</v>
      </c>
      <c r="E2120">
        <v>329.420339688659</v>
      </c>
      <c r="F2120">
        <v>0.93551785109664798</v>
      </c>
      <c r="G2120">
        <v>0.92031902486738604</v>
      </c>
      <c r="H2120" t="str">
        <f t="shared" si="33"/>
        <v>Q4</v>
      </c>
    </row>
    <row r="2121" spans="1:8">
      <c r="A2121">
        <v>717538</v>
      </c>
      <c r="B2121" t="s">
        <v>2936</v>
      </c>
      <c r="C2121">
        <v>114</v>
      </c>
      <c r="D2121">
        <v>2.8873773373402001</v>
      </c>
      <c r="E2121">
        <v>329.16101645678299</v>
      </c>
      <c r="F2121">
        <v>0.92306534742861401</v>
      </c>
      <c r="G2121">
        <v>0.92028140401038305</v>
      </c>
      <c r="H2121" t="str">
        <f t="shared" si="33"/>
        <v>Q4</v>
      </c>
    </row>
    <row r="2122" spans="1:8">
      <c r="A2122">
        <v>779059</v>
      </c>
      <c r="B2122" t="s">
        <v>1470</v>
      </c>
      <c r="C2122">
        <v>69</v>
      </c>
      <c r="D2122">
        <v>4.7689757620294904</v>
      </c>
      <c r="E2122">
        <v>329.05932758003502</v>
      </c>
      <c r="F2122">
        <v>0.87393250818253598</v>
      </c>
      <c r="G2122">
        <v>0.92024378315337996</v>
      </c>
      <c r="H2122" t="str">
        <f t="shared" si="33"/>
        <v>Q4</v>
      </c>
    </row>
    <row r="2123" spans="1:8">
      <c r="A2123">
        <v>682936</v>
      </c>
      <c r="B2123" t="s">
        <v>4605</v>
      </c>
      <c r="C2123">
        <v>103</v>
      </c>
      <c r="D2123">
        <v>3.1932038119406401</v>
      </c>
      <c r="E2123">
        <v>328.89999262988601</v>
      </c>
      <c r="F2123">
        <v>0.91433730860388995</v>
      </c>
      <c r="G2123">
        <v>0.92020616229637697</v>
      </c>
      <c r="H2123" t="str">
        <f t="shared" si="33"/>
        <v>Q4</v>
      </c>
    </row>
    <row r="2124" spans="1:8">
      <c r="A2124">
        <v>793025</v>
      </c>
      <c r="B2124" t="s">
        <v>3882</v>
      </c>
      <c r="C2124">
        <v>70</v>
      </c>
      <c r="D2124">
        <v>4.69721558104668</v>
      </c>
      <c r="E2124">
        <v>328.80509067326801</v>
      </c>
      <c r="F2124">
        <v>0.87555020503367098</v>
      </c>
      <c r="G2124">
        <v>0.92016854143937399</v>
      </c>
      <c r="H2124" t="str">
        <f t="shared" si="33"/>
        <v>Q4</v>
      </c>
    </row>
    <row r="2125" spans="1:8">
      <c r="A2125">
        <v>743979</v>
      </c>
      <c r="B2125" t="s">
        <v>1160</v>
      </c>
      <c r="C2125">
        <v>58</v>
      </c>
      <c r="D2125">
        <v>5.66709540816474</v>
      </c>
      <c r="E2125">
        <v>328.691533673555</v>
      </c>
      <c r="F2125">
        <v>0.853993453970881</v>
      </c>
      <c r="G2125">
        <v>0.920130920582371</v>
      </c>
      <c r="H2125" t="str">
        <f t="shared" si="33"/>
        <v>Q3</v>
      </c>
    </row>
    <row r="2126" spans="1:8">
      <c r="A2126">
        <v>726529</v>
      </c>
      <c r="B2126" t="s">
        <v>833</v>
      </c>
      <c r="C2126">
        <v>53</v>
      </c>
      <c r="D2126">
        <v>6.2007994408596199</v>
      </c>
      <c r="E2126">
        <v>328.64237036556</v>
      </c>
      <c r="F2126">
        <v>0.84218050487190099</v>
      </c>
      <c r="G2126">
        <v>0.92009329972536802</v>
      </c>
      <c r="H2126" t="str">
        <f t="shared" si="33"/>
        <v>Q3</v>
      </c>
    </row>
    <row r="2127" spans="1:8">
      <c r="A2127">
        <v>722887</v>
      </c>
      <c r="B2127" t="s">
        <v>648</v>
      </c>
      <c r="C2127">
        <v>132</v>
      </c>
      <c r="D2127">
        <v>2.4883024853118001</v>
      </c>
      <c r="E2127">
        <v>328.45592806115701</v>
      </c>
      <c r="F2127">
        <v>0.93435160452955102</v>
      </c>
      <c r="G2127">
        <v>0.92005567886836503</v>
      </c>
      <c r="H2127" t="str">
        <f t="shared" si="33"/>
        <v>Q4</v>
      </c>
    </row>
    <row r="2128" spans="1:8">
      <c r="A2128">
        <v>764994</v>
      </c>
      <c r="B2128" t="s">
        <v>2781</v>
      </c>
      <c r="C2128">
        <v>80</v>
      </c>
      <c r="D2128">
        <v>4.1055508970748598</v>
      </c>
      <c r="E2128">
        <v>328.44407176598901</v>
      </c>
      <c r="F2128">
        <v>0.89150144840299494</v>
      </c>
      <c r="G2128">
        <v>0.92001805801136105</v>
      </c>
      <c r="H2128" t="str">
        <f t="shared" si="33"/>
        <v>Q4</v>
      </c>
    </row>
    <row r="2129" spans="1:8">
      <c r="A2129">
        <v>301227</v>
      </c>
      <c r="B2129" t="s">
        <v>144</v>
      </c>
      <c r="C2129">
        <v>137</v>
      </c>
      <c r="D2129">
        <v>2.3970308105196199</v>
      </c>
      <c r="E2129">
        <v>328.39322104118799</v>
      </c>
      <c r="F2129">
        <v>0.93687220194875998</v>
      </c>
      <c r="G2129">
        <v>0.91998043715435796</v>
      </c>
      <c r="H2129" t="str">
        <f t="shared" si="33"/>
        <v>Q4</v>
      </c>
    </row>
    <row r="2130" spans="1:8">
      <c r="A2130">
        <v>738224</v>
      </c>
      <c r="B2130" t="s">
        <v>4237</v>
      </c>
      <c r="C2130">
        <v>135</v>
      </c>
      <c r="D2130">
        <v>2.43205273523927</v>
      </c>
      <c r="E2130">
        <v>328.32711925730098</v>
      </c>
      <c r="F2130">
        <v>0.93615740566570105</v>
      </c>
      <c r="G2130">
        <v>0.91994281629735497</v>
      </c>
      <c r="H2130" t="str">
        <f t="shared" si="33"/>
        <v>Q4</v>
      </c>
    </row>
    <row r="2131" spans="1:8">
      <c r="A2131">
        <v>741482</v>
      </c>
      <c r="B2131" t="s">
        <v>5240</v>
      </c>
      <c r="C2131">
        <v>101</v>
      </c>
      <c r="D2131">
        <v>3.2494042142488002</v>
      </c>
      <c r="E2131">
        <v>328.18982563912903</v>
      </c>
      <c r="F2131">
        <v>0.91245626575373395</v>
      </c>
      <c r="G2131">
        <v>0.91990519544035199</v>
      </c>
      <c r="H2131" t="str">
        <f t="shared" si="33"/>
        <v>Q4</v>
      </c>
    </row>
    <row r="2132" spans="1:8">
      <c r="A2132">
        <v>720459</v>
      </c>
      <c r="B2132" t="s">
        <v>4518</v>
      </c>
      <c r="C2132">
        <v>76</v>
      </c>
      <c r="D2132">
        <v>4.3134701928417902</v>
      </c>
      <c r="E2132">
        <v>327.82373465597601</v>
      </c>
      <c r="F2132">
        <v>0.88612166585154795</v>
      </c>
      <c r="G2132">
        <v>0.919867574583349</v>
      </c>
      <c r="H2132" t="str">
        <f t="shared" si="33"/>
        <v>Q4</v>
      </c>
    </row>
    <row r="2133" spans="1:8">
      <c r="A2133">
        <v>516000</v>
      </c>
      <c r="B2133" t="s">
        <v>1635</v>
      </c>
      <c r="C2133">
        <v>204</v>
      </c>
      <c r="D2133">
        <v>1.6054668682901301</v>
      </c>
      <c r="E2133">
        <v>327.51524113118597</v>
      </c>
      <c r="F2133">
        <v>0.96015951243369302</v>
      </c>
      <c r="G2133">
        <v>0.91982995372634602</v>
      </c>
      <c r="H2133" t="str">
        <f t="shared" si="33"/>
        <v>Q2</v>
      </c>
    </row>
    <row r="2134" spans="1:8">
      <c r="A2134">
        <v>802554</v>
      </c>
      <c r="B2134" t="s">
        <v>3175</v>
      </c>
      <c r="C2134">
        <v>100</v>
      </c>
      <c r="D2134">
        <v>3.2730846945196399</v>
      </c>
      <c r="E2134">
        <v>327.30846945196402</v>
      </c>
      <c r="F2134">
        <v>0.91155336518565899</v>
      </c>
      <c r="G2134">
        <v>0.91979233286934303</v>
      </c>
      <c r="H2134" t="str">
        <f t="shared" si="33"/>
        <v>Q4</v>
      </c>
    </row>
    <row r="2135" spans="1:8">
      <c r="A2135">
        <v>820870</v>
      </c>
      <c r="B2135" t="s">
        <v>2268</v>
      </c>
      <c r="C2135">
        <v>136</v>
      </c>
      <c r="D2135">
        <v>2.4043494568425499</v>
      </c>
      <c r="E2135">
        <v>326.99152613058698</v>
      </c>
      <c r="F2135">
        <v>0.93630788909371399</v>
      </c>
      <c r="G2135">
        <v>0.91975471201234005</v>
      </c>
      <c r="H2135" t="str">
        <f t="shared" si="33"/>
        <v>Q4</v>
      </c>
    </row>
    <row r="2136" spans="1:8">
      <c r="A2136">
        <v>730365</v>
      </c>
      <c r="B2136" t="s">
        <v>3843</v>
      </c>
      <c r="C2136">
        <v>79</v>
      </c>
      <c r="D2136">
        <v>4.13647287442714</v>
      </c>
      <c r="E2136">
        <v>326.781357079744</v>
      </c>
      <c r="F2136">
        <v>0.89022233926488803</v>
      </c>
      <c r="G2136">
        <v>0.91971709115533695</v>
      </c>
      <c r="H2136" t="str">
        <f t="shared" si="33"/>
        <v>Q4</v>
      </c>
    </row>
    <row r="2137" spans="1:8">
      <c r="A2137">
        <v>749738</v>
      </c>
      <c r="B2137" t="s">
        <v>2368</v>
      </c>
      <c r="C2137">
        <v>68</v>
      </c>
      <c r="D2137">
        <v>4.8046610783785599</v>
      </c>
      <c r="E2137">
        <v>326.71695332974201</v>
      </c>
      <c r="F2137">
        <v>0.87223956961739602</v>
      </c>
      <c r="G2137">
        <v>0.91967947029833297</v>
      </c>
      <c r="H2137" t="str">
        <f t="shared" si="33"/>
        <v>Q4</v>
      </c>
    </row>
    <row r="2138" spans="1:8">
      <c r="A2138">
        <v>681175</v>
      </c>
      <c r="B2138" t="s">
        <v>4333</v>
      </c>
      <c r="C2138">
        <v>173</v>
      </c>
      <c r="D2138">
        <v>1.8867247988270699</v>
      </c>
      <c r="E2138">
        <v>326.40339019708301</v>
      </c>
      <c r="F2138">
        <v>0.95116812760994696</v>
      </c>
      <c r="G2138">
        <v>0.91964184944132998</v>
      </c>
      <c r="H2138" t="str">
        <f t="shared" si="33"/>
        <v>Q2</v>
      </c>
    </row>
    <row r="2139" spans="1:8">
      <c r="A2139">
        <v>796241</v>
      </c>
      <c r="B2139" t="s">
        <v>1708</v>
      </c>
      <c r="C2139">
        <v>55</v>
      </c>
      <c r="D2139">
        <v>5.9322957965460699</v>
      </c>
      <c r="E2139">
        <v>326.27626881003403</v>
      </c>
      <c r="F2139">
        <v>0.84763552913735396</v>
      </c>
      <c r="G2139">
        <v>0.919604228584327</v>
      </c>
      <c r="H2139" t="str">
        <f t="shared" si="33"/>
        <v>Q3</v>
      </c>
    </row>
    <row r="2140" spans="1:8">
      <c r="A2140">
        <v>758642</v>
      </c>
      <c r="B2140" t="s">
        <v>1881</v>
      </c>
      <c r="C2140">
        <v>121</v>
      </c>
      <c r="D2140">
        <v>2.6964840960250198</v>
      </c>
      <c r="E2140">
        <v>326.27457561902702</v>
      </c>
      <c r="F2140">
        <v>0.92788081712501402</v>
      </c>
      <c r="G2140">
        <v>0.91956660772732401</v>
      </c>
      <c r="H2140" t="str">
        <f t="shared" si="33"/>
        <v>Q4</v>
      </c>
    </row>
    <row r="2141" spans="1:8">
      <c r="A2141">
        <v>751870</v>
      </c>
      <c r="B2141" t="s">
        <v>358</v>
      </c>
      <c r="C2141">
        <v>53</v>
      </c>
      <c r="D2141">
        <v>6.1522864648756004</v>
      </c>
      <c r="E2141">
        <v>326.07118263840698</v>
      </c>
      <c r="F2141">
        <v>0.84218050487190099</v>
      </c>
      <c r="G2141">
        <v>0.91952898687032103</v>
      </c>
      <c r="H2141" t="str">
        <f t="shared" si="33"/>
        <v>Q3</v>
      </c>
    </row>
    <row r="2142" spans="1:8">
      <c r="A2142">
        <v>792521</v>
      </c>
      <c r="B2142" t="s">
        <v>4542</v>
      </c>
      <c r="C2142">
        <v>210</v>
      </c>
      <c r="D2142">
        <v>1.5525826736397701</v>
      </c>
      <c r="E2142">
        <v>326.04236146435102</v>
      </c>
      <c r="F2142">
        <v>0.96151386328580601</v>
      </c>
      <c r="G2142">
        <v>0.91949136601331805</v>
      </c>
      <c r="H2142" t="str">
        <f t="shared" si="33"/>
        <v>Q2</v>
      </c>
    </row>
    <row r="2143" spans="1:8">
      <c r="A2143">
        <v>703991</v>
      </c>
      <c r="B2143" t="s">
        <v>1844</v>
      </c>
      <c r="C2143">
        <v>134</v>
      </c>
      <c r="D2143">
        <v>2.43165950575816</v>
      </c>
      <c r="E2143">
        <v>325.84237377159297</v>
      </c>
      <c r="F2143">
        <v>0.93551785109664798</v>
      </c>
      <c r="G2143">
        <v>0.91945374515631495</v>
      </c>
      <c r="H2143" t="str">
        <f t="shared" si="33"/>
        <v>Q4</v>
      </c>
    </row>
    <row r="2144" spans="1:8">
      <c r="A2144">
        <v>733803</v>
      </c>
      <c r="B2144" t="s">
        <v>3984</v>
      </c>
      <c r="C2144">
        <v>273</v>
      </c>
      <c r="D2144">
        <v>1.19302165413091</v>
      </c>
      <c r="E2144">
        <v>325.69491157773899</v>
      </c>
      <c r="F2144">
        <v>0.97242391181671095</v>
      </c>
      <c r="G2144">
        <v>0.91941612429931197</v>
      </c>
      <c r="H2144" t="str">
        <f t="shared" si="33"/>
        <v>Q2</v>
      </c>
    </row>
    <row r="2145" spans="1:8">
      <c r="A2145">
        <v>720473</v>
      </c>
      <c r="B2145" t="s">
        <v>4002</v>
      </c>
      <c r="C2145">
        <v>150</v>
      </c>
      <c r="D2145">
        <v>2.1707796181241701</v>
      </c>
      <c r="E2145">
        <v>325.61694271862501</v>
      </c>
      <c r="F2145">
        <v>0.94292915992626303</v>
      </c>
      <c r="G2145">
        <v>0.91937850344230798</v>
      </c>
      <c r="H2145" t="str">
        <f t="shared" si="33"/>
        <v>Q4</v>
      </c>
    </row>
    <row r="2146" spans="1:8">
      <c r="A2146">
        <v>653664</v>
      </c>
      <c r="B2146" t="s">
        <v>665</v>
      </c>
      <c r="C2146">
        <v>138</v>
      </c>
      <c r="D2146">
        <v>2.3582412115554701</v>
      </c>
      <c r="E2146">
        <v>325.437287194654</v>
      </c>
      <c r="F2146">
        <v>0.93747413566080995</v>
      </c>
      <c r="G2146">
        <v>0.919340882585305</v>
      </c>
      <c r="H2146" t="str">
        <f t="shared" si="33"/>
        <v>Q4</v>
      </c>
    </row>
    <row r="2147" spans="1:8">
      <c r="A2147">
        <v>787959</v>
      </c>
      <c r="B2147" t="s">
        <v>4557</v>
      </c>
      <c r="C2147">
        <v>81</v>
      </c>
      <c r="D2147">
        <v>4.0176606357649502</v>
      </c>
      <c r="E2147">
        <v>325.430511496961</v>
      </c>
      <c r="F2147">
        <v>0.89293104096911302</v>
      </c>
      <c r="G2147">
        <v>0.91930326172830201</v>
      </c>
      <c r="H2147" t="str">
        <f t="shared" si="33"/>
        <v>Q4</v>
      </c>
    </row>
    <row r="2148" spans="1:8">
      <c r="A2148">
        <v>757286</v>
      </c>
      <c r="B2148" t="s">
        <v>2218</v>
      </c>
      <c r="C2148">
        <v>140</v>
      </c>
      <c r="D2148">
        <v>2.3220944344731298</v>
      </c>
      <c r="E2148">
        <v>325.093220826238</v>
      </c>
      <c r="F2148">
        <v>0.93852751965689796</v>
      </c>
      <c r="G2148">
        <v>0.91926564087129903</v>
      </c>
      <c r="H2148" t="str">
        <f t="shared" si="33"/>
        <v>Q4</v>
      </c>
    </row>
    <row r="2149" spans="1:8">
      <c r="A2149">
        <v>765773</v>
      </c>
      <c r="B2149" t="s">
        <v>2290</v>
      </c>
      <c r="C2149">
        <v>131</v>
      </c>
      <c r="D2149">
        <v>2.48082547043344</v>
      </c>
      <c r="E2149">
        <v>324.98813662677998</v>
      </c>
      <c r="F2149">
        <v>0.93374967081750104</v>
      </c>
      <c r="G2149">
        <v>0.91922802001429604</v>
      </c>
      <c r="H2149" t="str">
        <f t="shared" si="33"/>
        <v>Q4</v>
      </c>
    </row>
    <row r="2150" spans="1:8">
      <c r="A2150">
        <v>667499</v>
      </c>
      <c r="B2150" t="s">
        <v>1304</v>
      </c>
      <c r="C2150">
        <v>144</v>
      </c>
      <c r="D2150">
        <v>2.2567914281454402</v>
      </c>
      <c r="E2150">
        <v>324.977965652943</v>
      </c>
      <c r="F2150">
        <v>0.94048380422106004</v>
      </c>
      <c r="G2150">
        <v>0.91919039915729295</v>
      </c>
      <c r="H2150" t="str">
        <f t="shared" si="33"/>
        <v>Q4</v>
      </c>
    </row>
    <row r="2151" spans="1:8">
      <c r="A2151">
        <v>793886</v>
      </c>
      <c r="B2151" t="s">
        <v>139</v>
      </c>
      <c r="C2151">
        <v>65</v>
      </c>
      <c r="D2151">
        <v>4.9944981187581998</v>
      </c>
      <c r="E2151">
        <v>324.64237771928299</v>
      </c>
      <c r="F2151">
        <v>0.86802603363304598</v>
      </c>
      <c r="G2151">
        <v>0.91915277830028996</v>
      </c>
      <c r="H2151" t="str">
        <f t="shared" si="33"/>
        <v>Q3</v>
      </c>
    </row>
    <row r="2152" spans="1:8">
      <c r="A2152">
        <v>824143</v>
      </c>
      <c r="B2152" t="s">
        <v>4009</v>
      </c>
      <c r="C2152">
        <v>40</v>
      </c>
      <c r="D2152">
        <v>8.1147034931927902</v>
      </c>
      <c r="E2152">
        <v>324.58813972771202</v>
      </c>
      <c r="F2152">
        <v>0.804522027011775</v>
      </c>
      <c r="G2152">
        <v>0.91911515744328698</v>
      </c>
      <c r="H2152" t="str">
        <f t="shared" si="33"/>
        <v>Q3</v>
      </c>
    </row>
    <row r="2153" spans="1:8">
      <c r="A2153">
        <v>762392</v>
      </c>
      <c r="B2153" t="s">
        <v>745</v>
      </c>
      <c r="C2153">
        <v>202</v>
      </c>
      <c r="D2153">
        <v>1.6052776670987099</v>
      </c>
      <c r="E2153">
        <v>324.26608875393902</v>
      </c>
      <c r="F2153">
        <v>0.95951995786463995</v>
      </c>
      <c r="G2153">
        <v>0.91907753658628299</v>
      </c>
      <c r="H2153" t="str">
        <f t="shared" si="33"/>
        <v>Q2</v>
      </c>
    </row>
    <row r="2154" spans="1:8">
      <c r="A2154">
        <v>792939</v>
      </c>
      <c r="B2154" t="s">
        <v>1589</v>
      </c>
      <c r="C2154">
        <v>60</v>
      </c>
      <c r="D2154">
        <v>5.4012712913875802</v>
      </c>
      <c r="E2154">
        <v>324.07627748325501</v>
      </c>
      <c r="F2154">
        <v>0.85805650652721899</v>
      </c>
      <c r="G2154">
        <v>0.91903991572928001</v>
      </c>
      <c r="H2154" t="str">
        <f t="shared" si="33"/>
        <v>Q3</v>
      </c>
    </row>
    <row r="2155" spans="1:8">
      <c r="A2155">
        <v>560389</v>
      </c>
      <c r="B2155" t="s">
        <v>3986</v>
      </c>
      <c r="C2155">
        <v>142</v>
      </c>
      <c r="D2155">
        <v>2.2813559103180001</v>
      </c>
      <c r="E2155">
        <v>323.95253926515602</v>
      </c>
      <c r="F2155">
        <v>0.93954328279598198</v>
      </c>
      <c r="G2155">
        <v>0.91900229487227703</v>
      </c>
      <c r="H2155" t="str">
        <f t="shared" si="33"/>
        <v>Q4</v>
      </c>
    </row>
    <row r="2156" spans="1:8">
      <c r="A2156">
        <v>714829</v>
      </c>
      <c r="B2156" t="s">
        <v>3024</v>
      </c>
      <c r="C2156">
        <v>145</v>
      </c>
      <c r="D2156">
        <v>2.2340619583325099</v>
      </c>
      <c r="E2156">
        <v>323.93898395821498</v>
      </c>
      <c r="F2156">
        <v>0.94082239193408801</v>
      </c>
      <c r="G2156">
        <v>0.91896467401527404</v>
      </c>
      <c r="H2156" t="str">
        <f t="shared" si="33"/>
        <v>Q4</v>
      </c>
    </row>
    <row r="2157" spans="1:8">
      <c r="A2157">
        <v>800390</v>
      </c>
      <c r="B2157" t="s">
        <v>1962</v>
      </c>
      <c r="C2157">
        <v>59</v>
      </c>
      <c r="D2157">
        <v>5.4881357130105197</v>
      </c>
      <c r="E2157">
        <v>323.80000706762098</v>
      </c>
      <c r="F2157">
        <v>0.85617546367706299</v>
      </c>
      <c r="G2157">
        <v>0.91892705315827095</v>
      </c>
      <c r="H2157" t="str">
        <f t="shared" si="33"/>
        <v>Q3</v>
      </c>
    </row>
    <row r="2158" spans="1:8">
      <c r="A2158">
        <v>743098</v>
      </c>
      <c r="B2158" t="s">
        <v>1756</v>
      </c>
      <c r="C2158">
        <v>397</v>
      </c>
      <c r="D2158">
        <v>0.81545489474249</v>
      </c>
      <c r="E2158">
        <v>323.73559321276798</v>
      </c>
      <c r="F2158">
        <v>0.98344682291862595</v>
      </c>
      <c r="G2158">
        <v>0.91888943230126796</v>
      </c>
      <c r="H2158" t="str">
        <f t="shared" si="33"/>
        <v>Q2</v>
      </c>
    </row>
    <row r="2159" spans="1:8">
      <c r="A2159">
        <v>790505</v>
      </c>
      <c r="B2159" t="s">
        <v>3163</v>
      </c>
      <c r="C2159">
        <v>68</v>
      </c>
      <c r="D2159">
        <v>4.75797616493176</v>
      </c>
      <c r="E2159">
        <v>323.54237921535997</v>
      </c>
      <c r="F2159">
        <v>0.87223956961739602</v>
      </c>
      <c r="G2159">
        <v>0.91885181144426498</v>
      </c>
      <c r="H2159" t="str">
        <f t="shared" si="33"/>
        <v>Q4</v>
      </c>
    </row>
    <row r="2160" spans="1:8">
      <c r="A2160">
        <v>714717</v>
      </c>
      <c r="B2160" t="s">
        <v>4504</v>
      </c>
      <c r="C2160">
        <v>111</v>
      </c>
      <c r="D2160">
        <v>2.9132385981512501</v>
      </c>
      <c r="E2160">
        <v>323.36948439478903</v>
      </c>
      <c r="F2160">
        <v>0.92084571686543004</v>
      </c>
      <c r="G2160">
        <v>0.91881419058726199</v>
      </c>
      <c r="H2160" t="str">
        <f t="shared" si="33"/>
        <v>Q4</v>
      </c>
    </row>
    <row r="2161" spans="1:8">
      <c r="A2161">
        <v>746994</v>
      </c>
      <c r="B2161" t="s">
        <v>3305</v>
      </c>
      <c r="C2161">
        <v>98</v>
      </c>
      <c r="D2161">
        <v>3.2983223299438902</v>
      </c>
      <c r="E2161">
        <v>323.23558833450102</v>
      </c>
      <c r="F2161">
        <v>0.90997328919152798</v>
      </c>
      <c r="G2161">
        <v>0.91877656973025801</v>
      </c>
      <c r="H2161" t="str">
        <f t="shared" si="33"/>
        <v>Q4</v>
      </c>
    </row>
    <row r="2162" spans="1:8">
      <c r="A2162">
        <v>782054</v>
      </c>
      <c r="B2162" t="s">
        <v>2184</v>
      </c>
      <c r="C2162">
        <v>26</v>
      </c>
      <c r="D2162">
        <v>12.4309649547705</v>
      </c>
      <c r="E2162">
        <v>323.20508882403402</v>
      </c>
      <c r="F2162">
        <v>0.73706783040517698</v>
      </c>
      <c r="G2162">
        <v>0.91873894887325502</v>
      </c>
      <c r="H2162" t="str">
        <f t="shared" si="33"/>
        <v>Q3</v>
      </c>
    </row>
    <row r="2163" spans="1:8">
      <c r="A2163">
        <v>784278</v>
      </c>
      <c r="B2163" t="s">
        <v>3363</v>
      </c>
      <c r="C2163">
        <v>16</v>
      </c>
      <c r="D2163">
        <v>20.200000051408999</v>
      </c>
      <c r="E2163">
        <v>323.20000082254398</v>
      </c>
      <c r="F2163">
        <v>0.64756781159474797</v>
      </c>
      <c r="G2163">
        <v>0.91870132801625204</v>
      </c>
      <c r="H2163" t="str">
        <f t="shared" si="33"/>
        <v>Q3</v>
      </c>
    </row>
    <row r="2164" spans="1:8">
      <c r="A2164">
        <v>770845</v>
      </c>
      <c r="B2164" t="s">
        <v>796</v>
      </c>
      <c r="C2164">
        <v>73</v>
      </c>
      <c r="D2164">
        <v>4.4257024175500197</v>
      </c>
      <c r="E2164">
        <v>323.07627648115198</v>
      </c>
      <c r="F2164">
        <v>0.88111809187013301</v>
      </c>
      <c r="G2164">
        <v>0.91866370715924905</v>
      </c>
      <c r="H2164" t="str">
        <f t="shared" si="33"/>
        <v>Q4</v>
      </c>
    </row>
    <row r="2165" spans="1:8">
      <c r="A2165">
        <v>564358</v>
      </c>
      <c r="B2165" t="s">
        <v>3679</v>
      </c>
      <c r="C2165">
        <v>105</v>
      </c>
      <c r="D2165">
        <v>3.0767069690461701</v>
      </c>
      <c r="E2165">
        <v>323.05423174984799</v>
      </c>
      <c r="F2165">
        <v>0.91618073059704297</v>
      </c>
      <c r="G2165">
        <v>0.91862608630224596</v>
      </c>
      <c r="H2165" t="str">
        <f t="shared" si="33"/>
        <v>Q4</v>
      </c>
    </row>
    <row r="2166" spans="1:8">
      <c r="A2166">
        <v>489435</v>
      </c>
      <c r="B2166" t="s">
        <v>4073</v>
      </c>
      <c r="C2166">
        <v>141</v>
      </c>
      <c r="D2166">
        <v>2.2907681132382698</v>
      </c>
      <c r="E2166">
        <v>322.99830396659701</v>
      </c>
      <c r="F2166">
        <v>0.939242315939957</v>
      </c>
      <c r="G2166">
        <v>0.91858846544524297</v>
      </c>
      <c r="H2166" t="str">
        <f t="shared" si="33"/>
        <v>Q4</v>
      </c>
    </row>
    <row r="2167" spans="1:8">
      <c r="A2167">
        <v>704771</v>
      </c>
      <c r="B2167" t="s">
        <v>2988</v>
      </c>
      <c r="C2167">
        <v>88</v>
      </c>
      <c r="D2167">
        <v>3.6692989122291899</v>
      </c>
      <c r="E2167">
        <v>322.89830427616801</v>
      </c>
      <c r="F2167">
        <v>0.90045521236973802</v>
      </c>
      <c r="G2167">
        <v>0.91855084458823999</v>
      </c>
      <c r="H2167" t="str">
        <f t="shared" si="33"/>
        <v>Q4</v>
      </c>
    </row>
    <row r="2168" spans="1:8">
      <c r="A2168">
        <v>701853</v>
      </c>
      <c r="B2168" t="s">
        <v>4271</v>
      </c>
      <c r="C2168">
        <v>99</v>
      </c>
      <c r="D2168">
        <v>3.2603834351204899</v>
      </c>
      <c r="E2168">
        <v>322.77796007692803</v>
      </c>
      <c r="F2168">
        <v>0.91076332718859299</v>
      </c>
      <c r="G2168">
        <v>0.91851322373123701</v>
      </c>
      <c r="H2168" t="str">
        <f t="shared" si="33"/>
        <v>Q4</v>
      </c>
    </row>
    <row r="2169" spans="1:8">
      <c r="A2169">
        <v>764520</v>
      </c>
      <c r="B2169" t="s">
        <v>2915</v>
      </c>
      <c r="C2169">
        <v>122</v>
      </c>
      <c r="D2169">
        <v>2.6454431707131101</v>
      </c>
      <c r="E2169">
        <v>322.74406682699902</v>
      </c>
      <c r="F2169">
        <v>0.92855799255106997</v>
      </c>
      <c r="G2169">
        <v>0.91847560287423302</v>
      </c>
      <c r="H2169" t="str">
        <f t="shared" si="33"/>
        <v>Q4</v>
      </c>
    </row>
    <row r="2170" spans="1:8">
      <c r="A2170">
        <v>781591</v>
      </c>
      <c r="B2170" t="s">
        <v>1997</v>
      </c>
      <c r="C2170">
        <v>40</v>
      </c>
      <c r="D2170">
        <v>8.0682203918695397</v>
      </c>
      <c r="E2170">
        <v>322.72881567478203</v>
      </c>
      <c r="F2170">
        <v>0.804522027011775</v>
      </c>
      <c r="G2170">
        <v>0.91843798201723004</v>
      </c>
      <c r="H2170" t="str">
        <f t="shared" si="33"/>
        <v>Q3</v>
      </c>
    </row>
    <row r="2171" spans="1:8">
      <c r="A2171">
        <v>764084</v>
      </c>
      <c r="B2171" t="s">
        <v>653</v>
      </c>
      <c r="C2171">
        <v>132</v>
      </c>
      <c r="D2171">
        <v>2.4441833579630599</v>
      </c>
      <c r="E2171">
        <v>322.63220325112297</v>
      </c>
      <c r="F2171">
        <v>0.93435160452955102</v>
      </c>
      <c r="G2171">
        <v>0.91840036116022705</v>
      </c>
      <c r="H2171" t="str">
        <f t="shared" si="33"/>
        <v>Q4</v>
      </c>
    </row>
    <row r="2172" spans="1:8">
      <c r="A2172">
        <v>743738</v>
      </c>
      <c r="B2172" t="s">
        <v>2668</v>
      </c>
      <c r="C2172">
        <v>68</v>
      </c>
      <c r="D2172">
        <v>4.7414507251232898</v>
      </c>
      <c r="E2172">
        <v>322.41864930838301</v>
      </c>
      <c r="F2172">
        <v>0.87223956961739602</v>
      </c>
      <c r="G2172">
        <v>0.91836274030322396</v>
      </c>
      <c r="H2172" t="str">
        <f t="shared" si="33"/>
        <v>Q4</v>
      </c>
    </row>
    <row r="2173" spans="1:8">
      <c r="A2173">
        <v>781413</v>
      </c>
      <c r="B2173" t="s">
        <v>2845</v>
      </c>
      <c r="C2173">
        <v>67</v>
      </c>
      <c r="D2173">
        <v>4.8117380088834603</v>
      </c>
      <c r="E2173">
        <v>322.38644659519201</v>
      </c>
      <c r="F2173">
        <v>0.87118618562130801</v>
      </c>
      <c r="G2173">
        <v>0.91832511944622097</v>
      </c>
      <c r="H2173" t="str">
        <f t="shared" si="33"/>
        <v>Q4</v>
      </c>
    </row>
    <row r="2174" spans="1:8">
      <c r="A2174">
        <v>803996</v>
      </c>
      <c r="B2174" t="s">
        <v>4263</v>
      </c>
      <c r="C2174">
        <v>68</v>
      </c>
      <c r="D2174">
        <v>4.7360668808002702</v>
      </c>
      <c r="E2174">
        <v>322.05254789441801</v>
      </c>
      <c r="F2174">
        <v>0.87223956961739602</v>
      </c>
      <c r="G2174">
        <v>0.91828749858921799</v>
      </c>
      <c r="H2174" t="str">
        <f t="shared" si="33"/>
        <v>Q4</v>
      </c>
    </row>
    <row r="2175" spans="1:8">
      <c r="A2175">
        <v>719484</v>
      </c>
      <c r="B2175" t="s">
        <v>3257</v>
      </c>
      <c r="C2175">
        <v>75</v>
      </c>
      <c r="D2175">
        <v>4.29378538082043</v>
      </c>
      <c r="E2175">
        <v>322.03390356153199</v>
      </c>
      <c r="F2175">
        <v>0.88420300214438896</v>
      </c>
      <c r="G2175">
        <v>0.918249877732215</v>
      </c>
      <c r="H2175" t="str">
        <f t="shared" si="33"/>
        <v>Q4</v>
      </c>
    </row>
    <row r="2176" spans="1:8">
      <c r="A2176">
        <v>695071</v>
      </c>
      <c r="B2176" t="s">
        <v>2302</v>
      </c>
      <c r="C2176">
        <v>113</v>
      </c>
      <c r="D2176">
        <v>2.8490924783281799</v>
      </c>
      <c r="E2176">
        <v>321.94745005108399</v>
      </c>
      <c r="F2176">
        <v>0.92257627628757399</v>
      </c>
      <c r="G2176">
        <v>0.91821225687521202</v>
      </c>
      <c r="H2176" t="str">
        <f t="shared" si="33"/>
        <v>Q4</v>
      </c>
    </row>
    <row r="2177" spans="1:8">
      <c r="A2177">
        <v>519516</v>
      </c>
      <c r="B2177" t="s">
        <v>4708</v>
      </c>
      <c r="C2177">
        <v>80</v>
      </c>
      <c r="D2177">
        <v>4.0216737415175903</v>
      </c>
      <c r="E2177">
        <v>321.73389932140702</v>
      </c>
      <c r="F2177">
        <v>0.89150144840299494</v>
      </c>
      <c r="G2177">
        <v>0.91817463601820803</v>
      </c>
      <c r="H2177" t="str">
        <f t="shared" si="33"/>
        <v>Q4</v>
      </c>
    </row>
    <row r="2178" spans="1:8">
      <c r="A2178">
        <v>739529</v>
      </c>
      <c r="B2178" t="s">
        <v>568</v>
      </c>
      <c r="C2178">
        <v>197</v>
      </c>
      <c r="D2178">
        <v>1.63233237397777</v>
      </c>
      <c r="E2178">
        <v>321.56947767361999</v>
      </c>
      <c r="F2178">
        <v>0.95824084872653403</v>
      </c>
      <c r="G2178">
        <v>0.91813701516120505</v>
      </c>
      <c r="H2178" t="str">
        <f t="shared" si="33"/>
        <v>Q2</v>
      </c>
    </row>
    <row r="2179" spans="1:8">
      <c r="A2179">
        <v>737222</v>
      </c>
      <c r="B2179" t="s">
        <v>1228</v>
      </c>
      <c r="C2179">
        <v>364</v>
      </c>
      <c r="D2179">
        <v>0.88306480205034499</v>
      </c>
      <c r="E2179">
        <v>321.435587946326</v>
      </c>
      <c r="F2179">
        <v>0.98149053835446398</v>
      </c>
      <c r="G2179">
        <v>0.91809939430420195</v>
      </c>
      <c r="H2179" t="str">
        <f t="shared" ref="H2179:H2242" si="34">IF(C2179&gt;$J$2,
   IF(D2179&gt;$J$3,"Q1","Q2"),
   IF(D2179&gt;$J$3,"Q3","Q4"))</f>
        <v>Q2</v>
      </c>
    </row>
    <row r="2180" spans="1:8">
      <c r="A2180">
        <v>297067</v>
      </c>
      <c r="B2180" t="s">
        <v>4530</v>
      </c>
      <c r="C2180">
        <v>246</v>
      </c>
      <c r="D2180">
        <v>1.3065178292269699</v>
      </c>
      <c r="E2180">
        <v>321.40338598983402</v>
      </c>
      <c r="F2180">
        <v>0.96821037583236103</v>
      </c>
      <c r="G2180">
        <v>0.91806177344719897</v>
      </c>
      <c r="H2180" t="str">
        <f t="shared" si="34"/>
        <v>Q2</v>
      </c>
    </row>
    <row r="2181" spans="1:8">
      <c r="A2181">
        <v>803547</v>
      </c>
      <c r="B2181" t="s">
        <v>4336</v>
      </c>
      <c r="C2181">
        <v>51</v>
      </c>
      <c r="D2181">
        <v>6.3009304889276896</v>
      </c>
      <c r="E2181">
        <v>321.34745493531199</v>
      </c>
      <c r="F2181">
        <v>0.83762838117452298</v>
      </c>
      <c r="G2181">
        <v>0.91802415259019599</v>
      </c>
      <c r="H2181" t="str">
        <f t="shared" si="34"/>
        <v>Q3</v>
      </c>
    </row>
    <row r="2182" spans="1:8">
      <c r="A2182">
        <v>749415</v>
      </c>
      <c r="B2182" t="s">
        <v>2609</v>
      </c>
      <c r="C2182">
        <v>145</v>
      </c>
      <c r="D2182">
        <v>2.2157685641713201</v>
      </c>
      <c r="E2182">
        <v>321.28644180484099</v>
      </c>
      <c r="F2182">
        <v>0.94082239193408801</v>
      </c>
      <c r="G2182">
        <v>0.917986531733193</v>
      </c>
      <c r="H2182" t="str">
        <f t="shared" si="34"/>
        <v>Q4</v>
      </c>
    </row>
    <row r="2183" spans="1:8">
      <c r="A2183">
        <v>758278</v>
      </c>
      <c r="B2183" t="s">
        <v>1398</v>
      </c>
      <c r="C2183">
        <v>69</v>
      </c>
      <c r="D2183">
        <v>4.6541882057984703</v>
      </c>
      <c r="E2183">
        <v>321.138986200094</v>
      </c>
      <c r="F2183">
        <v>0.87393250818253598</v>
      </c>
      <c r="G2183">
        <v>0.91794891087619002</v>
      </c>
      <c r="H2183" t="str">
        <f t="shared" si="34"/>
        <v>Q4</v>
      </c>
    </row>
    <row r="2184" spans="1:8">
      <c r="A2184">
        <v>501722</v>
      </c>
      <c r="B2184" t="s">
        <v>352</v>
      </c>
      <c r="C2184">
        <v>80</v>
      </c>
      <c r="D2184">
        <v>4.0135169657878604</v>
      </c>
      <c r="E2184">
        <v>321.08135726302902</v>
      </c>
      <c r="F2184">
        <v>0.89150144840299494</v>
      </c>
      <c r="G2184">
        <v>0.91791129001918703</v>
      </c>
      <c r="H2184" t="str">
        <f t="shared" si="34"/>
        <v>Q4</v>
      </c>
    </row>
    <row r="2185" spans="1:8">
      <c r="A2185">
        <v>708021</v>
      </c>
      <c r="B2185" t="s">
        <v>3806</v>
      </c>
      <c r="C2185">
        <v>195</v>
      </c>
      <c r="D2185">
        <v>1.6463536898104001</v>
      </c>
      <c r="E2185">
        <v>321.03896951302897</v>
      </c>
      <c r="F2185">
        <v>0.95767653587148704</v>
      </c>
      <c r="G2185">
        <v>0.91787366916218305</v>
      </c>
      <c r="H2185" t="str">
        <f t="shared" si="34"/>
        <v>Q2</v>
      </c>
    </row>
    <row r="2186" spans="1:8">
      <c r="A2186">
        <v>772537</v>
      </c>
      <c r="B2186" t="s">
        <v>1172</v>
      </c>
      <c r="C2186">
        <v>51</v>
      </c>
      <c r="D2186">
        <v>6.2935526391454797</v>
      </c>
      <c r="E2186">
        <v>320.97118459641899</v>
      </c>
      <c r="F2186">
        <v>0.83762838117452298</v>
      </c>
      <c r="G2186">
        <v>0.91783604830517995</v>
      </c>
      <c r="H2186" t="str">
        <f t="shared" si="34"/>
        <v>Q3</v>
      </c>
    </row>
    <row r="2187" spans="1:8">
      <c r="A2187">
        <v>788172</v>
      </c>
      <c r="B2187" t="s">
        <v>3569</v>
      </c>
      <c r="C2187">
        <v>25</v>
      </c>
      <c r="D2187">
        <v>12.832474946975699</v>
      </c>
      <c r="E2187">
        <v>320.81187367439298</v>
      </c>
      <c r="F2187">
        <v>0.72991986757458305</v>
      </c>
      <c r="G2187">
        <v>0.91779842744817697</v>
      </c>
      <c r="H2187" t="str">
        <f t="shared" si="34"/>
        <v>Q3</v>
      </c>
    </row>
    <row r="2188" spans="1:8">
      <c r="A2188">
        <v>705330</v>
      </c>
      <c r="B2188" t="s">
        <v>668</v>
      </c>
      <c r="C2188">
        <v>229</v>
      </c>
      <c r="D2188">
        <v>1.4003182069996301</v>
      </c>
      <c r="E2188">
        <v>320.67286940291501</v>
      </c>
      <c r="F2188">
        <v>0.96512546555810497</v>
      </c>
      <c r="G2188">
        <v>0.91776080659117398</v>
      </c>
      <c r="H2188" t="str">
        <f t="shared" si="34"/>
        <v>Q2</v>
      </c>
    </row>
    <row r="2189" spans="1:8">
      <c r="A2189">
        <v>795675</v>
      </c>
      <c r="B2189" t="s">
        <v>1852</v>
      </c>
      <c r="C2189">
        <v>403</v>
      </c>
      <c r="D2189">
        <v>0.79567649115163497</v>
      </c>
      <c r="E2189">
        <v>320.65762593410898</v>
      </c>
      <c r="F2189">
        <v>0.98386065234566</v>
      </c>
      <c r="G2189">
        <v>0.917723185734171</v>
      </c>
      <c r="H2189" t="str">
        <f t="shared" si="34"/>
        <v>Q2</v>
      </c>
    </row>
    <row r="2190" spans="1:8">
      <c r="A2190">
        <v>506166</v>
      </c>
      <c r="B2190" t="s">
        <v>2117</v>
      </c>
      <c r="C2190">
        <v>212</v>
      </c>
      <c r="D2190">
        <v>1.5113047092388601</v>
      </c>
      <c r="E2190">
        <v>320.39659835863898</v>
      </c>
      <c r="F2190">
        <v>0.96200293442684603</v>
      </c>
      <c r="G2190">
        <v>0.91768556487716801</v>
      </c>
      <c r="H2190" t="str">
        <f t="shared" si="34"/>
        <v>Q2</v>
      </c>
    </row>
    <row r="2191" spans="1:8">
      <c r="A2191">
        <v>735648</v>
      </c>
      <c r="B2191" t="s">
        <v>2069</v>
      </c>
      <c r="C2191">
        <v>72</v>
      </c>
      <c r="D2191">
        <v>4.4498117304303602</v>
      </c>
      <c r="E2191">
        <v>320.386444590986</v>
      </c>
      <c r="F2191">
        <v>0.87957563673300498</v>
      </c>
      <c r="G2191">
        <v>0.91764794402016503</v>
      </c>
      <c r="H2191" t="str">
        <f t="shared" si="34"/>
        <v>Q4</v>
      </c>
    </row>
    <row r="2192" spans="1:8">
      <c r="A2192">
        <v>676933</v>
      </c>
      <c r="B2192" t="s">
        <v>3490</v>
      </c>
      <c r="C2192">
        <v>68</v>
      </c>
      <c r="D2192">
        <v>4.7112164498471198</v>
      </c>
      <c r="E2192">
        <v>320.36271858960401</v>
      </c>
      <c r="F2192">
        <v>0.87223956961739602</v>
      </c>
      <c r="G2192">
        <v>0.91761032316316204</v>
      </c>
      <c r="H2192" t="str">
        <f t="shared" si="34"/>
        <v>Q4</v>
      </c>
    </row>
    <row r="2193" spans="1:8">
      <c r="A2193">
        <v>686259</v>
      </c>
      <c r="B2193" t="s">
        <v>4665</v>
      </c>
      <c r="C2193">
        <v>117</v>
      </c>
      <c r="D2193">
        <v>2.7367086619393399</v>
      </c>
      <c r="E2193">
        <v>320.194913446903</v>
      </c>
      <c r="F2193">
        <v>0.925247357134796</v>
      </c>
      <c r="G2193">
        <v>0.91757270230615895</v>
      </c>
      <c r="H2193" t="str">
        <f t="shared" si="34"/>
        <v>Q4</v>
      </c>
    </row>
    <row r="2194" spans="1:8">
      <c r="A2194">
        <v>817554</v>
      </c>
      <c r="B2194" t="s">
        <v>1765</v>
      </c>
      <c r="C2194">
        <v>66</v>
      </c>
      <c r="D2194">
        <v>4.85046232740084</v>
      </c>
      <c r="E2194">
        <v>320.130513608456</v>
      </c>
      <c r="F2194">
        <v>0.86968135134118396</v>
      </c>
      <c r="G2194">
        <v>0.91753508144915497</v>
      </c>
      <c r="H2194" t="str">
        <f t="shared" si="34"/>
        <v>Q4</v>
      </c>
    </row>
    <row r="2195" spans="1:8">
      <c r="A2195">
        <v>710900</v>
      </c>
      <c r="B2195" t="s">
        <v>1656</v>
      </c>
      <c r="C2195">
        <v>98</v>
      </c>
      <c r="D2195">
        <v>3.2652368788056201</v>
      </c>
      <c r="E2195">
        <v>319.99321412295097</v>
      </c>
      <c r="F2195">
        <v>0.90997328919152798</v>
      </c>
      <c r="G2195">
        <v>0.91749746059215198</v>
      </c>
      <c r="H2195" t="str">
        <f t="shared" si="34"/>
        <v>Q4</v>
      </c>
    </row>
    <row r="2196" spans="1:8">
      <c r="A2196">
        <v>780899</v>
      </c>
      <c r="B2196" t="s">
        <v>4131</v>
      </c>
      <c r="C2196">
        <v>49</v>
      </c>
      <c r="D2196">
        <v>6.5294361388196798</v>
      </c>
      <c r="E2196">
        <v>319.94237080216402</v>
      </c>
      <c r="F2196">
        <v>0.83258718633610496</v>
      </c>
      <c r="G2196">
        <v>0.917459839735149</v>
      </c>
      <c r="H2196" t="str">
        <f t="shared" si="34"/>
        <v>Q3</v>
      </c>
    </row>
    <row r="2197" spans="1:8">
      <c r="A2197">
        <v>734461</v>
      </c>
      <c r="B2197" t="s">
        <v>5212</v>
      </c>
      <c r="C2197">
        <v>106</v>
      </c>
      <c r="D2197">
        <v>3.01813234065501</v>
      </c>
      <c r="E2197">
        <v>319.92202810943098</v>
      </c>
      <c r="F2197">
        <v>0.91730935630713695</v>
      </c>
      <c r="G2197">
        <v>0.91742221887814601</v>
      </c>
      <c r="H2197" t="str">
        <f t="shared" si="34"/>
        <v>Q4</v>
      </c>
    </row>
    <row r="2198" spans="1:8">
      <c r="A2198">
        <v>758125</v>
      </c>
      <c r="B2198" t="s">
        <v>2883</v>
      </c>
      <c r="C2198">
        <v>100</v>
      </c>
      <c r="D2198">
        <v>3.1990677304565902</v>
      </c>
      <c r="E2198">
        <v>319.90677304565901</v>
      </c>
      <c r="F2198">
        <v>0.91155336518565899</v>
      </c>
      <c r="G2198">
        <v>0.91738459802114303</v>
      </c>
      <c r="H2198" t="str">
        <f t="shared" si="34"/>
        <v>Q4</v>
      </c>
    </row>
    <row r="2199" spans="1:8">
      <c r="A2199">
        <v>798966</v>
      </c>
      <c r="B2199" t="s">
        <v>3560</v>
      </c>
      <c r="C2199">
        <v>114</v>
      </c>
      <c r="D2199">
        <v>2.8054563826962999</v>
      </c>
      <c r="E2199">
        <v>319.82202762737899</v>
      </c>
      <c r="F2199">
        <v>0.92306534742861401</v>
      </c>
      <c r="G2199">
        <v>0.91734697716414004</v>
      </c>
      <c r="H2199" t="str">
        <f t="shared" si="34"/>
        <v>Q4</v>
      </c>
    </row>
    <row r="2200" spans="1:8">
      <c r="A2200">
        <v>672355</v>
      </c>
      <c r="B2200" t="s">
        <v>3036</v>
      </c>
      <c r="C2200">
        <v>33</v>
      </c>
      <c r="D2200">
        <v>9.6851055482120199</v>
      </c>
      <c r="E2200">
        <v>319.60848309099703</v>
      </c>
      <c r="F2200">
        <v>0.77551634626236798</v>
      </c>
      <c r="G2200">
        <v>0.91730935630713695</v>
      </c>
      <c r="H2200" t="str">
        <f t="shared" si="34"/>
        <v>Q3</v>
      </c>
    </row>
    <row r="2201" spans="1:8">
      <c r="A2201">
        <v>747629</v>
      </c>
      <c r="B2201" t="s">
        <v>699</v>
      </c>
      <c r="C2201">
        <v>78</v>
      </c>
      <c r="D2201">
        <v>4.0974793645242897</v>
      </c>
      <c r="E2201">
        <v>319.603390432894</v>
      </c>
      <c r="F2201">
        <v>0.88867988412776</v>
      </c>
      <c r="G2201">
        <v>0.91727173545013396</v>
      </c>
      <c r="H2201" t="str">
        <f t="shared" si="34"/>
        <v>Q4</v>
      </c>
    </row>
    <row r="2202" spans="1:8">
      <c r="A2202">
        <v>595697</v>
      </c>
      <c r="B2202" t="s">
        <v>2016</v>
      </c>
      <c r="C2202">
        <v>210</v>
      </c>
      <c r="D2202">
        <v>1.52074247620822</v>
      </c>
      <c r="E2202">
        <v>319.35592000372702</v>
      </c>
      <c r="F2202">
        <v>0.96151386328580601</v>
      </c>
      <c r="G2202">
        <v>0.91723411459312998</v>
      </c>
      <c r="H2202" t="str">
        <f t="shared" si="34"/>
        <v>Q2</v>
      </c>
    </row>
    <row r="2203" spans="1:8">
      <c r="A2203">
        <v>739578</v>
      </c>
      <c r="B2203" t="s">
        <v>4329</v>
      </c>
      <c r="C2203">
        <v>83</v>
      </c>
      <c r="D2203">
        <v>3.8451296670070598</v>
      </c>
      <c r="E2203">
        <v>319.14576236158598</v>
      </c>
      <c r="F2203">
        <v>0.89530115496031004</v>
      </c>
      <c r="G2203">
        <v>0.91719649373612699</v>
      </c>
      <c r="H2203" t="str">
        <f t="shared" si="34"/>
        <v>Q4</v>
      </c>
    </row>
    <row r="2204" spans="1:8">
      <c r="A2204">
        <v>767869</v>
      </c>
      <c r="B2204" t="s">
        <v>5121</v>
      </c>
      <c r="C2204">
        <v>400</v>
      </c>
      <c r="D2204">
        <v>0.79782203235663496</v>
      </c>
      <c r="E2204">
        <v>319.12881294265401</v>
      </c>
      <c r="F2204">
        <v>0.983597306346639</v>
      </c>
      <c r="G2204">
        <v>0.91715887287912401</v>
      </c>
      <c r="H2204" t="str">
        <f t="shared" si="34"/>
        <v>Q2</v>
      </c>
    </row>
    <row r="2205" spans="1:8">
      <c r="A2205">
        <v>763785</v>
      </c>
      <c r="B2205" t="s">
        <v>4532</v>
      </c>
      <c r="C2205">
        <v>87</v>
      </c>
      <c r="D2205">
        <v>3.6669199044505798</v>
      </c>
      <c r="E2205">
        <v>319.02203168720001</v>
      </c>
      <c r="F2205">
        <v>0.89955231180166295</v>
      </c>
      <c r="G2205">
        <v>0.91712125202212103</v>
      </c>
      <c r="H2205" t="str">
        <f t="shared" si="34"/>
        <v>Q4</v>
      </c>
    </row>
    <row r="2206" spans="1:8">
      <c r="A2206">
        <v>787160</v>
      </c>
      <c r="B2206" t="s">
        <v>3342</v>
      </c>
      <c r="C2206">
        <v>24</v>
      </c>
      <c r="D2206">
        <v>13.288418607165401</v>
      </c>
      <c r="E2206">
        <v>318.92204657196999</v>
      </c>
      <c r="F2206">
        <v>0.72284714645799597</v>
      </c>
      <c r="G2206">
        <v>0.91708363116511804</v>
      </c>
      <c r="H2206" t="str">
        <f t="shared" si="34"/>
        <v>Q3</v>
      </c>
    </row>
    <row r="2207" spans="1:8">
      <c r="A2207">
        <v>710056</v>
      </c>
      <c r="B2207" t="s">
        <v>2600</v>
      </c>
      <c r="C2207">
        <v>220</v>
      </c>
      <c r="D2207">
        <v>1.4488751379857701</v>
      </c>
      <c r="E2207">
        <v>318.75253035686899</v>
      </c>
      <c r="F2207">
        <v>0.96365825213498402</v>
      </c>
      <c r="G2207">
        <v>0.91704601030811494</v>
      </c>
      <c r="H2207" t="str">
        <f t="shared" si="34"/>
        <v>Q2</v>
      </c>
    </row>
    <row r="2208" spans="1:8">
      <c r="A2208">
        <v>829014</v>
      </c>
      <c r="B2208" t="s">
        <v>3685</v>
      </c>
      <c r="C2208">
        <v>65</v>
      </c>
      <c r="D2208">
        <v>4.9027380289939702</v>
      </c>
      <c r="E2208">
        <v>318.67797188460798</v>
      </c>
      <c r="F2208">
        <v>0.86802603363304598</v>
      </c>
      <c r="G2208">
        <v>0.91700838945111196</v>
      </c>
      <c r="H2208" t="str">
        <f t="shared" si="34"/>
        <v>Q3</v>
      </c>
    </row>
    <row r="2209" spans="1:8">
      <c r="A2209">
        <v>640990</v>
      </c>
      <c r="B2209" t="s">
        <v>3533</v>
      </c>
      <c r="C2209">
        <v>33</v>
      </c>
      <c r="D2209">
        <v>9.6458142566861493</v>
      </c>
      <c r="E2209">
        <v>318.31187047064299</v>
      </c>
      <c r="F2209">
        <v>0.77551634626236798</v>
      </c>
      <c r="G2209">
        <v>0.91697076859410898</v>
      </c>
      <c r="H2209" t="str">
        <f t="shared" si="34"/>
        <v>Q3</v>
      </c>
    </row>
    <row r="2210" spans="1:8">
      <c r="A2210">
        <v>758157</v>
      </c>
      <c r="B2210" t="s">
        <v>2884</v>
      </c>
      <c r="C2210">
        <v>64</v>
      </c>
      <c r="D2210">
        <v>4.9685117381159198</v>
      </c>
      <c r="E2210">
        <v>317.98475123941898</v>
      </c>
      <c r="F2210">
        <v>0.86633309506790601</v>
      </c>
      <c r="G2210">
        <v>0.91693314773710499</v>
      </c>
      <c r="H2210" t="str">
        <f t="shared" si="34"/>
        <v>Q3</v>
      </c>
    </row>
    <row r="2211" spans="1:8">
      <c r="A2211">
        <v>783621</v>
      </c>
      <c r="B2211" t="s">
        <v>1677</v>
      </c>
      <c r="C2211">
        <v>53</v>
      </c>
      <c r="D2211">
        <v>5.99734574415774</v>
      </c>
      <c r="E2211">
        <v>317.85932444036001</v>
      </c>
      <c r="F2211">
        <v>0.84218050487190099</v>
      </c>
      <c r="G2211">
        <v>0.91689552688010201</v>
      </c>
      <c r="H2211" t="str">
        <f t="shared" si="34"/>
        <v>Q3</v>
      </c>
    </row>
    <row r="2212" spans="1:8">
      <c r="A2212">
        <v>517931</v>
      </c>
      <c r="B2212" t="s">
        <v>293</v>
      </c>
      <c r="C2212">
        <v>133</v>
      </c>
      <c r="D2212">
        <v>2.38971574988244</v>
      </c>
      <c r="E2212">
        <v>317.83219473436498</v>
      </c>
      <c r="F2212">
        <v>0.93476543395658596</v>
      </c>
      <c r="G2212">
        <v>0.91685790602309902</v>
      </c>
      <c r="H2212" t="str">
        <f t="shared" si="34"/>
        <v>Q4</v>
      </c>
    </row>
    <row r="2213" spans="1:8">
      <c r="A2213">
        <v>337991</v>
      </c>
      <c r="B2213" t="s">
        <v>4408</v>
      </c>
      <c r="C2213">
        <v>134</v>
      </c>
      <c r="D2213">
        <v>2.3714014766876801</v>
      </c>
      <c r="E2213">
        <v>317.76779787614902</v>
      </c>
      <c r="F2213">
        <v>0.93551785109664798</v>
      </c>
      <c r="G2213">
        <v>0.91682028516609604</v>
      </c>
      <c r="H2213" t="str">
        <f t="shared" si="34"/>
        <v>Q4</v>
      </c>
    </row>
    <row r="2214" spans="1:8">
      <c r="A2214">
        <v>817378</v>
      </c>
      <c r="B2214" t="s">
        <v>1846</v>
      </c>
      <c r="C2214">
        <v>33</v>
      </c>
      <c r="D2214">
        <v>9.6194146709008592</v>
      </c>
      <c r="E2214">
        <v>317.440684139729</v>
      </c>
      <c r="F2214">
        <v>0.77551634626236798</v>
      </c>
      <c r="G2214">
        <v>0.91678266430909305</v>
      </c>
      <c r="H2214" t="str">
        <f t="shared" si="34"/>
        <v>Q3</v>
      </c>
    </row>
    <row r="2215" spans="1:8">
      <c r="A2215">
        <v>770780</v>
      </c>
      <c r="B2215" t="s">
        <v>1949</v>
      </c>
      <c r="C2215">
        <v>51</v>
      </c>
      <c r="D2215">
        <v>6.2230640876234702</v>
      </c>
      <c r="E2215">
        <v>317.37626846879698</v>
      </c>
      <c r="F2215">
        <v>0.83762838117452298</v>
      </c>
      <c r="G2215">
        <v>0.91674504345208996</v>
      </c>
      <c r="H2215" t="str">
        <f t="shared" si="34"/>
        <v>Q3</v>
      </c>
    </row>
    <row r="2216" spans="1:8">
      <c r="A2216">
        <v>789399</v>
      </c>
      <c r="B2216" t="s">
        <v>4282</v>
      </c>
      <c r="C2216">
        <v>25</v>
      </c>
      <c r="D2216">
        <v>12.694169938564301</v>
      </c>
      <c r="E2216">
        <v>317.35424846410803</v>
      </c>
      <c r="F2216">
        <v>0.72991986757458305</v>
      </c>
      <c r="G2216">
        <v>0.91670742259508697</v>
      </c>
      <c r="H2216" t="str">
        <f t="shared" si="34"/>
        <v>Q3</v>
      </c>
    </row>
    <row r="2217" spans="1:8">
      <c r="A2217">
        <v>752002</v>
      </c>
      <c r="B2217" t="s">
        <v>1241</v>
      </c>
      <c r="C2217">
        <v>109</v>
      </c>
      <c r="D2217">
        <v>2.9102160843140501</v>
      </c>
      <c r="E2217">
        <v>317.21355319023098</v>
      </c>
      <c r="F2217">
        <v>0.91922802001429604</v>
      </c>
      <c r="G2217">
        <v>0.91666980173808399</v>
      </c>
      <c r="H2217" t="str">
        <f t="shared" si="34"/>
        <v>Q4</v>
      </c>
    </row>
    <row r="2218" spans="1:8">
      <c r="A2218">
        <v>770578</v>
      </c>
      <c r="B2218" t="s">
        <v>2620</v>
      </c>
      <c r="C2218">
        <v>57</v>
      </c>
      <c r="D2218">
        <v>5.5616117687078903</v>
      </c>
      <c r="E2218">
        <v>317.01187081634998</v>
      </c>
      <c r="F2218">
        <v>0.851849065121703</v>
      </c>
      <c r="G2218">
        <v>0.91663218088108001</v>
      </c>
      <c r="H2218" t="str">
        <f t="shared" si="34"/>
        <v>Q3</v>
      </c>
    </row>
    <row r="2219" spans="1:8">
      <c r="A2219">
        <v>731661</v>
      </c>
      <c r="B2219" t="s">
        <v>4599</v>
      </c>
      <c r="C2219">
        <v>174</v>
      </c>
      <c r="D2219">
        <v>1.82173192573326</v>
      </c>
      <c r="E2219">
        <v>316.98135507758701</v>
      </c>
      <c r="F2219">
        <v>0.95150671532297504</v>
      </c>
      <c r="G2219">
        <v>0.91659456002407702</v>
      </c>
      <c r="H2219" t="str">
        <f t="shared" si="34"/>
        <v>Q2</v>
      </c>
    </row>
    <row r="2220" spans="1:8">
      <c r="A2220">
        <v>741297</v>
      </c>
      <c r="B2220" t="s">
        <v>425</v>
      </c>
      <c r="C2220">
        <v>101</v>
      </c>
      <c r="D2220">
        <v>3.1343177864604699</v>
      </c>
      <c r="E2220">
        <v>316.56609643250698</v>
      </c>
      <c r="F2220">
        <v>0.91245626575373395</v>
      </c>
      <c r="G2220">
        <v>0.91655693916707404</v>
      </c>
      <c r="H2220" t="str">
        <f t="shared" si="34"/>
        <v>Q4</v>
      </c>
    </row>
    <row r="2221" spans="1:8">
      <c r="A2221">
        <v>764045</v>
      </c>
      <c r="B2221" t="s">
        <v>940</v>
      </c>
      <c r="C2221">
        <v>72</v>
      </c>
      <c r="D2221">
        <v>4.3894539354369</v>
      </c>
      <c r="E2221">
        <v>316.04068335145701</v>
      </c>
      <c r="F2221">
        <v>0.87957563673300498</v>
      </c>
      <c r="G2221">
        <v>0.91651931831007105</v>
      </c>
      <c r="H2221" t="str">
        <f t="shared" si="34"/>
        <v>Q4</v>
      </c>
    </row>
    <row r="2222" spans="1:8">
      <c r="A2222">
        <v>764559</v>
      </c>
      <c r="B2222" t="s">
        <v>3199</v>
      </c>
      <c r="C2222">
        <v>52</v>
      </c>
      <c r="D2222">
        <v>6.07757496002775</v>
      </c>
      <c r="E2222">
        <v>316.03389792144299</v>
      </c>
      <c r="F2222">
        <v>0.84003611602272299</v>
      </c>
      <c r="G2222">
        <v>0.91648169745306796</v>
      </c>
      <c r="H2222" t="str">
        <f t="shared" si="34"/>
        <v>Q3</v>
      </c>
    </row>
    <row r="2223" spans="1:8">
      <c r="A2223">
        <v>685844</v>
      </c>
      <c r="B2223" t="s">
        <v>3228</v>
      </c>
      <c r="C2223">
        <v>103</v>
      </c>
      <c r="D2223">
        <v>3.0679446419031899</v>
      </c>
      <c r="E2223">
        <v>315.99829811602802</v>
      </c>
      <c r="F2223">
        <v>0.91433730860388995</v>
      </c>
      <c r="G2223">
        <v>0.91644407659606497</v>
      </c>
      <c r="H2223" t="str">
        <f t="shared" si="34"/>
        <v>Q4</v>
      </c>
    </row>
    <row r="2224" spans="1:8">
      <c r="A2224">
        <v>766448</v>
      </c>
      <c r="B2224" t="s">
        <v>3284</v>
      </c>
      <c r="C2224">
        <v>49</v>
      </c>
      <c r="D2224">
        <v>6.44614315230627</v>
      </c>
      <c r="E2224">
        <v>315.861014463007</v>
      </c>
      <c r="F2224">
        <v>0.83258718633610496</v>
      </c>
      <c r="G2224">
        <v>0.91640645573906199</v>
      </c>
      <c r="H2224" t="str">
        <f t="shared" si="34"/>
        <v>Q3</v>
      </c>
    </row>
    <row r="2225" spans="1:8">
      <c r="A2225">
        <v>813406</v>
      </c>
      <c r="B2225" t="s">
        <v>4078</v>
      </c>
      <c r="C2225">
        <v>80</v>
      </c>
      <c r="D2225">
        <v>3.94815680803731</v>
      </c>
      <c r="E2225">
        <v>315.85254464298498</v>
      </c>
      <c r="F2225">
        <v>0.89150144840299494</v>
      </c>
      <c r="G2225">
        <v>0.916368834882059</v>
      </c>
      <c r="H2225" t="str">
        <f t="shared" si="34"/>
        <v>Q4</v>
      </c>
    </row>
    <row r="2226" spans="1:8">
      <c r="A2226">
        <v>591466</v>
      </c>
      <c r="B2226" t="s">
        <v>3944</v>
      </c>
      <c r="C2226">
        <v>206</v>
      </c>
      <c r="D2226">
        <v>1.5331248384312699</v>
      </c>
      <c r="E2226">
        <v>315.82371671684098</v>
      </c>
      <c r="F2226">
        <v>0.96064858357473404</v>
      </c>
      <c r="G2226">
        <v>0.91633121402505502</v>
      </c>
      <c r="H2226" t="str">
        <f t="shared" si="34"/>
        <v>Q2</v>
      </c>
    </row>
    <row r="2227" spans="1:8">
      <c r="A2227">
        <v>789309</v>
      </c>
      <c r="B2227" t="s">
        <v>536</v>
      </c>
      <c r="C2227">
        <v>115</v>
      </c>
      <c r="D2227">
        <v>2.7459542696242698</v>
      </c>
      <c r="E2227">
        <v>315.78474100679199</v>
      </c>
      <c r="F2227">
        <v>0.92370490199766797</v>
      </c>
      <c r="G2227">
        <v>0.91629359316805203</v>
      </c>
      <c r="H2227" t="str">
        <f t="shared" si="34"/>
        <v>Q4</v>
      </c>
    </row>
    <row r="2228" spans="1:8">
      <c r="A2228">
        <v>523936</v>
      </c>
      <c r="B2228" t="s">
        <v>2282</v>
      </c>
      <c r="C2228">
        <v>131</v>
      </c>
      <c r="D2228">
        <v>2.4095355213143401</v>
      </c>
      <c r="E2228">
        <v>315.64915329217899</v>
      </c>
      <c r="F2228">
        <v>0.93374967081750104</v>
      </c>
      <c r="G2228">
        <v>0.91625597231104905</v>
      </c>
      <c r="H2228" t="str">
        <f t="shared" si="34"/>
        <v>Q4</v>
      </c>
    </row>
    <row r="2229" spans="1:8">
      <c r="A2229">
        <v>691834</v>
      </c>
      <c r="B2229" t="s">
        <v>4996</v>
      </c>
      <c r="C2229">
        <v>127</v>
      </c>
      <c r="D2229">
        <v>2.4852661998927799</v>
      </c>
      <c r="E2229">
        <v>315.62880738638302</v>
      </c>
      <c r="F2229">
        <v>0.93141717768330801</v>
      </c>
      <c r="G2229">
        <v>0.91621835145404595</v>
      </c>
      <c r="H2229" t="str">
        <f t="shared" si="34"/>
        <v>Q4</v>
      </c>
    </row>
    <row r="2230" spans="1:8">
      <c r="A2230">
        <v>812207</v>
      </c>
      <c r="B2230" t="s">
        <v>5096</v>
      </c>
      <c r="C2230">
        <v>49</v>
      </c>
      <c r="D2230">
        <v>6.43915594840536</v>
      </c>
      <c r="E2230">
        <v>315.51864147186302</v>
      </c>
      <c r="F2230">
        <v>0.83258718633610496</v>
      </c>
      <c r="G2230">
        <v>0.91618073059704297</v>
      </c>
      <c r="H2230" t="str">
        <f t="shared" si="34"/>
        <v>Q3</v>
      </c>
    </row>
    <row r="2231" spans="1:8">
      <c r="A2231">
        <v>711582</v>
      </c>
      <c r="B2231" t="s">
        <v>2522</v>
      </c>
      <c r="C2231">
        <v>247</v>
      </c>
      <c r="D2231">
        <v>1.2761956949903099</v>
      </c>
      <c r="E2231">
        <v>315.22033666260501</v>
      </c>
      <c r="F2231">
        <v>0.96828561754636799</v>
      </c>
      <c r="G2231">
        <v>0.91614310974003998</v>
      </c>
      <c r="H2231" t="str">
        <f t="shared" si="34"/>
        <v>Q2</v>
      </c>
    </row>
    <row r="2232" spans="1:8">
      <c r="A2232">
        <v>539878</v>
      </c>
      <c r="B2232" t="s">
        <v>4493</v>
      </c>
      <c r="C2232">
        <v>99</v>
      </c>
      <c r="D2232">
        <v>3.18323918265488</v>
      </c>
      <c r="E2232">
        <v>315.140679082833</v>
      </c>
      <c r="F2232">
        <v>0.91076332718859299</v>
      </c>
      <c r="G2232">
        <v>0.916105488883037</v>
      </c>
      <c r="H2232" t="str">
        <f t="shared" si="34"/>
        <v>Q4</v>
      </c>
    </row>
    <row r="2233" spans="1:8">
      <c r="A2233">
        <v>714650</v>
      </c>
      <c r="B2233" t="s">
        <v>3956</v>
      </c>
      <c r="C2233">
        <v>97</v>
      </c>
      <c r="D2233">
        <v>3.2479468291414202</v>
      </c>
      <c r="E2233">
        <v>315.050842426717</v>
      </c>
      <c r="F2233">
        <v>0.909108009480456</v>
      </c>
      <c r="G2233">
        <v>0.91606786802603402</v>
      </c>
      <c r="H2233" t="str">
        <f t="shared" si="34"/>
        <v>Q4</v>
      </c>
    </row>
    <row r="2234" spans="1:8">
      <c r="A2234">
        <v>844140</v>
      </c>
      <c r="B2234" t="s">
        <v>3768</v>
      </c>
      <c r="C2234">
        <v>33</v>
      </c>
      <c r="D2234">
        <v>9.5336416228250993</v>
      </c>
      <c r="E2234">
        <v>314.61017355322798</v>
      </c>
      <c r="F2234">
        <v>0.77551634626236798</v>
      </c>
      <c r="G2234">
        <v>0.91603024716903003</v>
      </c>
      <c r="H2234" t="str">
        <f t="shared" si="34"/>
        <v>Q3</v>
      </c>
    </row>
    <row r="2235" spans="1:8">
      <c r="A2235">
        <v>766028</v>
      </c>
      <c r="B2235" t="s">
        <v>650</v>
      </c>
      <c r="C2235">
        <v>229</v>
      </c>
      <c r="D2235">
        <v>1.37345862440667</v>
      </c>
      <c r="E2235">
        <v>314.522024989128</v>
      </c>
      <c r="F2235">
        <v>0.96512546555810497</v>
      </c>
      <c r="G2235">
        <v>0.91599262631202705</v>
      </c>
      <c r="H2235" t="str">
        <f t="shared" si="34"/>
        <v>Q2</v>
      </c>
    </row>
    <row r="2236" spans="1:8">
      <c r="A2236">
        <v>631878</v>
      </c>
      <c r="B2236" t="s">
        <v>3030</v>
      </c>
      <c r="C2236">
        <v>138</v>
      </c>
      <c r="D2236">
        <v>2.2781626085170399</v>
      </c>
      <c r="E2236">
        <v>314.38643997535098</v>
      </c>
      <c r="F2236">
        <v>0.93747413566080995</v>
      </c>
      <c r="G2236">
        <v>0.91595500545502395</v>
      </c>
      <c r="H2236" t="str">
        <f t="shared" si="34"/>
        <v>Q4</v>
      </c>
    </row>
    <row r="2237" spans="1:8">
      <c r="A2237">
        <v>760746</v>
      </c>
      <c r="B2237" t="s">
        <v>5098</v>
      </c>
      <c r="C2237">
        <v>77</v>
      </c>
      <c r="D2237">
        <v>4.0828087282451699</v>
      </c>
      <c r="E2237">
        <v>314.37627207487799</v>
      </c>
      <c r="F2237">
        <v>0.88740077498965397</v>
      </c>
      <c r="G2237">
        <v>0.91591738459802097</v>
      </c>
      <c r="H2237" t="str">
        <f t="shared" si="34"/>
        <v>Q4</v>
      </c>
    </row>
    <row r="2238" spans="1:8">
      <c r="A2238">
        <v>569984</v>
      </c>
      <c r="B2238" t="s">
        <v>4035</v>
      </c>
      <c r="C2238">
        <v>194</v>
      </c>
      <c r="D2238">
        <v>1.6197360845609099</v>
      </c>
      <c r="E2238">
        <v>314.22880040481698</v>
      </c>
      <c r="F2238">
        <v>0.95741318987246504</v>
      </c>
      <c r="G2238">
        <v>0.91587976374101798</v>
      </c>
      <c r="H2238" t="str">
        <f t="shared" si="34"/>
        <v>Q2</v>
      </c>
    </row>
    <row r="2239" spans="1:8">
      <c r="A2239">
        <v>720572</v>
      </c>
      <c r="B2239" t="s">
        <v>427</v>
      </c>
      <c r="C2239">
        <v>234</v>
      </c>
      <c r="D2239">
        <v>1.34188029616594</v>
      </c>
      <c r="E2239">
        <v>313.99998930282902</v>
      </c>
      <c r="F2239">
        <v>0.96632933298220502</v>
      </c>
      <c r="G2239">
        <v>0.915842142884015</v>
      </c>
      <c r="H2239" t="str">
        <f t="shared" si="34"/>
        <v>Q2</v>
      </c>
    </row>
    <row r="2240" spans="1:8">
      <c r="A2240">
        <v>567424</v>
      </c>
      <c r="B2240" t="s">
        <v>5271</v>
      </c>
      <c r="C2240">
        <v>99</v>
      </c>
      <c r="D2240">
        <v>3.1715802349752198</v>
      </c>
      <c r="E2240">
        <v>313.98644326254703</v>
      </c>
      <c r="F2240">
        <v>0.91076332718859299</v>
      </c>
      <c r="G2240">
        <v>0.91580452202701201</v>
      </c>
      <c r="H2240" t="str">
        <f t="shared" si="34"/>
        <v>Q4</v>
      </c>
    </row>
    <row r="2241" spans="1:8">
      <c r="A2241">
        <v>717063</v>
      </c>
      <c r="B2241" t="s">
        <v>5047</v>
      </c>
      <c r="C2241">
        <v>134</v>
      </c>
      <c r="D2241">
        <v>2.3426258564690401</v>
      </c>
      <c r="E2241">
        <v>313.91186476685101</v>
      </c>
      <c r="F2241">
        <v>0.93551785109664798</v>
      </c>
      <c r="G2241">
        <v>0.91576690117000903</v>
      </c>
      <c r="H2241" t="str">
        <f t="shared" si="34"/>
        <v>Q4</v>
      </c>
    </row>
    <row r="2242" spans="1:8">
      <c r="A2242">
        <v>753451</v>
      </c>
      <c r="B2242" t="s">
        <v>390</v>
      </c>
      <c r="C2242">
        <v>214</v>
      </c>
      <c r="D2242">
        <v>1.46664813395903</v>
      </c>
      <c r="E2242">
        <v>313.86270066723199</v>
      </c>
      <c r="F2242">
        <v>0.96256724728189302</v>
      </c>
      <c r="G2242">
        <v>0.91572928031300505</v>
      </c>
      <c r="H2242" t="str">
        <f t="shared" si="34"/>
        <v>Q2</v>
      </c>
    </row>
    <row r="2243" spans="1:8">
      <c r="A2243">
        <v>684087</v>
      </c>
      <c r="B2243" t="s">
        <v>3570</v>
      </c>
      <c r="C2243">
        <v>132</v>
      </c>
      <c r="D2243">
        <v>2.3771828492031002</v>
      </c>
      <c r="E2243">
        <v>313.78813609480898</v>
      </c>
      <c r="F2243">
        <v>0.93435160452955102</v>
      </c>
      <c r="G2243">
        <v>0.91569165945600195</v>
      </c>
      <c r="H2243" t="str">
        <f t="shared" ref="H2243:H2306" si="35">IF(C2243&gt;$J$2,
   IF(D2243&gt;$J$3,"Q1","Q2"),
   IF(D2243&gt;$J$3,"Q3","Q4"))</f>
        <v>Q4</v>
      </c>
    </row>
    <row r="2244" spans="1:8">
      <c r="A2244">
        <v>696744</v>
      </c>
      <c r="B2244" t="s">
        <v>242</v>
      </c>
      <c r="C2244">
        <v>75</v>
      </c>
      <c r="D2244">
        <v>4.1774463939170001</v>
      </c>
      <c r="E2244">
        <v>313.30847954377498</v>
      </c>
      <c r="F2244">
        <v>0.88420300214438896</v>
      </c>
      <c r="G2244">
        <v>0.91565403859899896</v>
      </c>
      <c r="H2244" t="str">
        <f t="shared" si="35"/>
        <v>Q4</v>
      </c>
    </row>
    <row r="2245" spans="1:8">
      <c r="A2245">
        <v>567413</v>
      </c>
      <c r="B2245" t="s">
        <v>1791</v>
      </c>
      <c r="C2245">
        <v>160</v>
      </c>
      <c r="D2245">
        <v>1.9574575519072801</v>
      </c>
      <c r="E2245">
        <v>313.193208305165</v>
      </c>
      <c r="F2245">
        <v>0.94646552048455701</v>
      </c>
      <c r="G2245">
        <v>0.91561641774199598</v>
      </c>
      <c r="H2245" t="str">
        <f t="shared" si="35"/>
        <v>Q4</v>
      </c>
    </row>
    <row r="2246" spans="1:8">
      <c r="A2246">
        <v>693575</v>
      </c>
      <c r="B2246" t="s">
        <v>1580</v>
      </c>
      <c r="C2246">
        <v>204</v>
      </c>
      <c r="D2246">
        <v>1.53474570959624</v>
      </c>
      <c r="E2246">
        <v>313.08812475763301</v>
      </c>
      <c r="F2246">
        <v>0.96015951243369302</v>
      </c>
      <c r="G2246">
        <v>0.915578796884993</v>
      </c>
      <c r="H2246" t="str">
        <f t="shared" si="35"/>
        <v>Q2</v>
      </c>
    </row>
    <row r="2247" spans="1:8">
      <c r="A2247">
        <v>741087</v>
      </c>
      <c r="B2247" t="s">
        <v>856</v>
      </c>
      <c r="C2247">
        <v>81</v>
      </c>
      <c r="D2247">
        <v>3.8640510566808599</v>
      </c>
      <c r="E2247">
        <v>312.98813559114899</v>
      </c>
      <c r="F2247">
        <v>0.89293104096911302</v>
      </c>
      <c r="G2247">
        <v>0.91554117602799001</v>
      </c>
      <c r="H2247" t="str">
        <f t="shared" si="35"/>
        <v>Q4</v>
      </c>
    </row>
    <row r="2248" spans="1:8">
      <c r="A2248">
        <v>689564</v>
      </c>
      <c r="B2248" t="s">
        <v>1896</v>
      </c>
      <c r="C2248">
        <v>94</v>
      </c>
      <c r="D2248">
        <v>3.3270465056510998</v>
      </c>
      <c r="E2248">
        <v>312.74237153120299</v>
      </c>
      <c r="F2248">
        <v>0.906700274632256</v>
      </c>
      <c r="G2248">
        <v>0.91550355517098703</v>
      </c>
      <c r="H2248" t="str">
        <f t="shared" si="35"/>
        <v>Q4</v>
      </c>
    </row>
    <row r="2249" spans="1:8">
      <c r="A2249">
        <v>680391</v>
      </c>
      <c r="B2249" t="s">
        <v>3116</v>
      </c>
      <c r="C2249">
        <v>192</v>
      </c>
      <c r="D2249">
        <v>1.6287693542835799</v>
      </c>
      <c r="E2249">
        <v>312.72371602244698</v>
      </c>
      <c r="F2249">
        <v>0.95688649787442204</v>
      </c>
      <c r="G2249">
        <v>0.91546593431398404</v>
      </c>
      <c r="H2249" t="str">
        <f t="shared" si="35"/>
        <v>Q2</v>
      </c>
    </row>
    <row r="2250" spans="1:8">
      <c r="A2250">
        <v>780418</v>
      </c>
      <c r="B2250" t="s">
        <v>4678</v>
      </c>
      <c r="C2250">
        <v>199</v>
      </c>
      <c r="D2250">
        <v>1.5711523115110799</v>
      </c>
      <c r="E2250">
        <v>312.659309990704</v>
      </c>
      <c r="F2250">
        <v>0.95872991986757505</v>
      </c>
      <c r="G2250">
        <v>0.91542831345698095</v>
      </c>
      <c r="H2250" t="str">
        <f t="shared" si="35"/>
        <v>Q2</v>
      </c>
    </row>
    <row r="2251" spans="1:8">
      <c r="A2251">
        <v>542402</v>
      </c>
      <c r="B2251" t="s">
        <v>1110</v>
      </c>
      <c r="C2251">
        <v>234</v>
      </c>
      <c r="D2251">
        <v>1.33517309346706</v>
      </c>
      <c r="E2251">
        <v>312.43050387129199</v>
      </c>
      <c r="F2251">
        <v>0.96632933298220502</v>
      </c>
      <c r="G2251">
        <v>0.91539069259997696</v>
      </c>
      <c r="H2251" t="str">
        <f t="shared" si="35"/>
        <v>Q2</v>
      </c>
    </row>
    <row r="2252" spans="1:8">
      <c r="A2252">
        <v>810671</v>
      </c>
      <c r="B2252" t="s">
        <v>4646</v>
      </c>
      <c r="C2252">
        <v>79</v>
      </c>
      <c r="D2252">
        <v>3.9542587497566299</v>
      </c>
      <c r="E2252">
        <v>312.38644123077398</v>
      </c>
      <c r="F2252">
        <v>0.89022233926488803</v>
      </c>
      <c r="G2252">
        <v>0.91535307174297398</v>
      </c>
      <c r="H2252" t="str">
        <f t="shared" si="35"/>
        <v>Q4</v>
      </c>
    </row>
    <row r="2253" spans="1:8">
      <c r="A2253">
        <v>729816</v>
      </c>
      <c r="B2253" t="s">
        <v>229</v>
      </c>
      <c r="C2253">
        <v>232</v>
      </c>
      <c r="D2253">
        <v>1.3459891398991299</v>
      </c>
      <c r="E2253">
        <v>312.26948045659799</v>
      </c>
      <c r="F2253">
        <v>0.96587788269816799</v>
      </c>
      <c r="G2253">
        <v>0.91531545088597099</v>
      </c>
      <c r="H2253" t="str">
        <f t="shared" si="35"/>
        <v>Q2</v>
      </c>
    </row>
    <row r="2254" spans="1:8">
      <c r="A2254">
        <v>788575</v>
      </c>
      <c r="B2254" t="s">
        <v>2974</v>
      </c>
      <c r="C2254">
        <v>77</v>
      </c>
      <c r="D2254">
        <v>4.0525643977445398</v>
      </c>
      <c r="E2254">
        <v>312.04745862633001</v>
      </c>
      <c r="F2254">
        <v>0.88740077498965397</v>
      </c>
      <c r="G2254">
        <v>0.91527783002896801</v>
      </c>
      <c r="H2254" t="str">
        <f t="shared" si="35"/>
        <v>Q4</v>
      </c>
    </row>
    <row r="2255" spans="1:8">
      <c r="A2255">
        <v>663472</v>
      </c>
      <c r="B2255" t="s">
        <v>1371</v>
      </c>
      <c r="C2255">
        <v>57</v>
      </c>
      <c r="D2255">
        <v>5.4743087899528096</v>
      </c>
      <c r="E2255">
        <v>312.03560102731001</v>
      </c>
      <c r="F2255">
        <v>0.851849065121703</v>
      </c>
      <c r="G2255">
        <v>0.91524020917196502</v>
      </c>
      <c r="H2255" t="str">
        <f t="shared" si="35"/>
        <v>Q3</v>
      </c>
    </row>
    <row r="2256" spans="1:8">
      <c r="A2256">
        <v>727641</v>
      </c>
      <c r="B2256" t="s">
        <v>733</v>
      </c>
      <c r="C2256">
        <v>48</v>
      </c>
      <c r="D2256">
        <v>6.4947386582692497</v>
      </c>
      <c r="E2256">
        <v>311.747455596924</v>
      </c>
      <c r="F2256">
        <v>0.82957751777585498</v>
      </c>
      <c r="G2256">
        <v>0.91520258831496204</v>
      </c>
      <c r="H2256" t="str">
        <f t="shared" si="35"/>
        <v>Q3</v>
      </c>
    </row>
    <row r="2257" spans="1:8">
      <c r="A2257">
        <v>736582</v>
      </c>
      <c r="B2257" t="s">
        <v>2619</v>
      </c>
      <c r="C2257">
        <v>202</v>
      </c>
      <c r="D2257">
        <v>1.54139950576395</v>
      </c>
      <c r="E2257">
        <v>311.36270016431803</v>
      </c>
      <c r="F2257">
        <v>0.95951995786463995</v>
      </c>
      <c r="G2257">
        <v>0.91516496745795906</v>
      </c>
      <c r="H2257" t="str">
        <f t="shared" si="35"/>
        <v>Q2</v>
      </c>
    </row>
    <row r="2258" spans="1:8">
      <c r="A2258">
        <v>237347</v>
      </c>
      <c r="B2258" t="s">
        <v>4860</v>
      </c>
      <c r="C2258">
        <v>98</v>
      </c>
      <c r="D2258">
        <v>3.1736076942512002</v>
      </c>
      <c r="E2258">
        <v>311.01355403661699</v>
      </c>
      <c r="F2258">
        <v>0.90997328919152798</v>
      </c>
      <c r="G2258">
        <v>0.91512734660095596</v>
      </c>
      <c r="H2258" t="str">
        <f t="shared" si="35"/>
        <v>Q4</v>
      </c>
    </row>
    <row r="2259" spans="1:8">
      <c r="A2259">
        <v>501820</v>
      </c>
      <c r="B2259" t="s">
        <v>4439</v>
      </c>
      <c r="C2259">
        <v>318</v>
      </c>
      <c r="D2259">
        <v>0.97783816869973905</v>
      </c>
      <c r="E2259">
        <v>310.95253764651699</v>
      </c>
      <c r="F2259">
        <v>0.97784131522516105</v>
      </c>
      <c r="G2259">
        <v>0.91508972574395198</v>
      </c>
      <c r="H2259" t="str">
        <f t="shared" si="35"/>
        <v>Q2</v>
      </c>
    </row>
    <row r="2260" spans="1:8">
      <c r="A2260">
        <v>749214</v>
      </c>
      <c r="B2260" t="s">
        <v>2922</v>
      </c>
      <c r="C2260">
        <v>96</v>
      </c>
      <c r="D2260">
        <v>3.2382767763920102</v>
      </c>
      <c r="E2260">
        <v>310.874570533633</v>
      </c>
      <c r="F2260">
        <v>0.90812986719837496</v>
      </c>
      <c r="G2260">
        <v>0.91505210488694899</v>
      </c>
      <c r="H2260" t="str">
        <f t="shared" si="35"/>
        <v>Q4</v>
      </c>
    </row>
    <row r="2261" spans="1:8">
      <c r="A2261">
        <v>752815</v>
      </c>
      <c r="B2261" t="s">
        <v>2759</v>
      </c>
      <c r="C2261">
        <v>84</v>
      </c>
      <c r="D2261">
        <v>3.6963478817294</v>
      </c>
      <c r="E2261">
        <v>310.49322206527</v>
      </c>
      <c r="F2261">
        <v>0.89639215981340103</v>
      </c>
      <c r="G2261">
        <v>0.91501448402994601</v>
      </c>
      <c r="H2261" t="str">
        <f t="shared" si="35"/>
        <v>Q4</v>
      </c>
    </row>
    <row r="2262" spans="1:8">
      <c r="A2262">
        <v>781592</v>
      </c>
      <c r="B2262" t="s">
        <v>1630</v>
      </c>
      <c r="C2262">
        <v>99</v>
      </c>
      <c r="D2262">
        <v>3.13550757545263</v>
      </c>
      <c r="E2262">
        <v>310.41524996981002</v>
      </c>
      <c r="F2262">
        <v>0.91076332718859299</v>
      </c>
      <c r="G2262">
        <v>0.91497686317294302</v>
      </c>
      <c r="H2262" t="str">
        <f t="shared" si="35"/>
        <v>Q4</v>
      </c>
    </row>
    <row r="2263" spans="1:8">
      <c r="A2263">
        <v>699617</v>
      </c>
      <c r="B2263" t="s">
        <v>4653</v>
      </c>
      <c r="C2263">
        <v>33</v>
      </c>
      <c r="D2263">
        <v>9.4045711963465699</v>
      </c>
      <c r="E2263">
        <v>310.35084947943699</v>
      </c>
      <c r="F2263">
        <v>0.77551634626236798</v>
      </c>
      <c r="G2263">
        <v>0.91493924231594004</v>
      </c>
      <c r="H2263" t="str">
        <f t="shared" si="35"/>
        <v>Q3</v>
      </c>
    </row>
    <row r="2264" spans="1:8">
      <c r="A2264">
        <v>762884</v>
      </c>
      <c r="B2264" t="s">
        <v>1519</v>
      </c>
      <c r="C2264">
        <v>78</v>
      </c>
      <c r="D2264">
        <v>3.97779225634459</v>
      </c>
      <c r="E2264">
        <v>310.26779599487799</v>
      </c>
      <c r="F2264">
        <v>0.88867988412776</v>
      </c>
      <c r="G2264">
        <v>0.91490162145893705</v>
      </c>
      <c r="H2264" t="str">
        <f t="shared" si="35"/>
        <v>Q4</v>
      </c>
    </row>
    <row r="2265" spans="1:8">
      <c r="A2265">
        <v>830742</v>
      </c>
      <c r="B2265" t="s">
        <v>3686</v>
      </c>
      <c r="C2265">
        <v>51</v>
      </c>
      <c r="D2265">
        <v>6.0819208256754198</v>
      </c>
      <c r="E2265">
        <v>310.17796210944698</v>
      </c>
      <c r="F2265">
        <v>0.83762838117452298</v>
      </c>
      <c r="G2265">
        <v>0.91486400060193396</v>
      </c>
      <c r="H2265" t="str">
        <f t="shared" si="35"/>
        <v>Q3</v>
      </c>
    </row>
    <row r="2266" spans="1:8">
      <c r="A2266">
        <v>751592</v>
      </c>
      <c r="B2266" t="s">
        <v>374</v>
      </c>
      <c r="C2266">
        <v>127</v>
      </c>
      <c r="D2266">
        <v>2.4411050397462701</v>
      </c>
      <c r="E2266">
        <v>310.02034004777698</v>
      </c>
      <c r="F2266">
        <v>0.93141717768330801</v>
      </c>
      <c r="G2266">
        <v>0.91482637974493097</v>
      </c>
      <c r="H2266" t="str">
        <f t="shared" si="35"/>
        <v>Q4</v>
      </c>
    </row>
    <row r="2267" spans="1:8">
      <c r="A2267">
        <v>683493</v>
      </c>
      <c r="B2267" t="s">
        <v>4321</v>
      </c>
      <c r="C2267">
        <v>142</v>
      </c>
      <c r="D2267">
        <v>2.1823704905125898</v>
      </c>
      <c r="E2267">
        <v>309.89660965278699</v>
      </c>
      <c r="F2267">
        <v>0.93954328279598198</v>
      </c>
      <c r="G2267">
        <v>0.91478875888792699</v>
      </c>
      <c r="H2267" t="str">
        <f t="shared" si="35"/>
        <v>Q4</v>
      </c>
    </row>
    <row r="2268" spans="1:8">
      <c r="A2268">
        <v>589549</v>
      </c>
      <c r="B2268" t="s">
        <v>4399</v>
      </c>
      <c r="C2268">
        <v>119</v>
      </c>
      <c r="D2268">
        <v>2.6027916022772</v>
      </c>
      <c r="E2268">
        <v>309.73220067098703</v>
      </c>
      <c r="F2268">
        <v>0.92667694970091397</v>
      </c>
      <c r="G2268">
        <v>0.914751138030924</v>
      </c>
      <c r="H2268" t="str">
        <f t="shared" si="35"/>
        <v>Q4</v>
      </c>
    </row>
    <row r="2269" spans="1:8">
      <c r="A2269">
        <v>341242</v>
      </c>
      <c r="B2269" t="s">
        <v>1272</v>
      </c>
      <c r="C2269">
        <v>97</v>
      </c>
      <c r="D2269">
        <v>3.1909312726449701</v>
      </c>
      <c r="E2269">
        <v>309.52033344656201</v>
      </c>
      <c r="F2269">
        <v>0.909108009480456</v>
      </c>
      <c r="G2269">
        <v>0.91471351717392102</v>
      </c>
      <c r="H2269" t="str">
        <f t="shared" si="35"/>
        <v>Q4</v>
      </c>
    </row>
    <row r="2270" spans="1:8">
      <c r="A2270">
        <v>572533</v>
      </c>
      <c r="B2270" t="s">
        <v>2416</v>
      </c>
      <c r="C2270">
        <v>132</v>
      </c>
      <c r="D2270">
        <v>2.3443245844012401</v>
      </c>
      <c r="E2270">
        <v>309.45084514096402</v>
      </c>
      <c r="F2270">
        <v>0.93435160452955102</v>
      </c>
      <c r="G2270">
        <v>0.91467589631691804</v>
      </c>
      <c r="H2270" t="str">
        <f t="shared" si="35"/>
        <v>Q4</v>
      </c>
    </row>
    <row r="2271" spans="1:8">
      <c r="A2271">
        <v>732671</v>
      </c>
      <c r="B2271" t="s">
        <v>2888</v>
      </c>
      <c r="C2271">
        <v>76</v>
      </c>
      <c r="D2271">
        <v>4.0714763791153299</v>
      </c>
      <c r="E2271">
        <v>309.43220481276501</v>
      </c>
      <c r="F2271">
        <v>0.88612166585154795</v>
      </c>
      <c r="G2271">
        <v>0.91463827545991505</v>
      </c>
      <c r="H2271" t="str">
        <f t="shared" si="35"/>
        <v>Q4</v>
      </c>
    </row>
    <row r="2272" spans="1:8">
      <c r="A2272">
        <v>751784</v>
      </c>
      <c r="B2272" t="s">
        <v>2528</v>
      </c>
      <c r="C2272">
        <v>65</v>
      </c>
      <c r="D2272">
        <v>4.7600783042323096</v>
      </c>
      <c r="E2272">
        <v>309.40508977510001</v>
      </c>
      <c r="F2272">
        <v>0.86802603363304598</v>
      </c>
      <c r="G2272">
        <v>0.91460065460291196</v>
      </c>
      <c r="H2272" t="str">
        <f t="shared" si="35"/>
        <v>Q4</v>
      </c>
    </row>
    <row r="2273" spans="1:8">
      <c r="A2273">
        <v>761406</v>
      </c>
      <c r="B2273" t="s">
        <v>1608</v>
      </c>
      <c r="C2273">
        <v>133</v>
      </c>
      <c r="D2273">
        <v>2.3262903080286801</v>
      </c>
      <c r="E2273">
        <v>309.39661096781498</v>
      </c>
      <c r="F2273">
        <v>0.93476543395658596</v>
      </c>
      <c r="G2273">
        <v>0.91456303374590897</v>
      </c>
      <c r="H2273" t="str">
        <f t="shared" si="35"/>
        <v>Q4</v>
      </c>
    </row>
    <row r="2274" spans="1:8">
      <c r="A2274">
        <v>758118</v>
      </c>
      <c r="B2274" t="s">
        <v>2866</v>
      </c>
      <c r="C2274">
        <v>189</v>
      </c>
      <c r="D2274">
        <v>1.6367948318402901</v>
      </c>
      <c r="E2274">
        <v>309.35422321781499</v>
      </c>
      <c r="F2274">
        <v>0.95605883902035305</v>
      </c>
      <c r="G2274">
        <v>0.91452541288890599</v>
      </c>
      <c r="H2274" t="str">
        <f t="shared" si="35"/>
        <v>Q2</v>
      </c>
    </row>
    <row r="2275" spans="1:8">
      <c r="A2275">
        <v>770021</v>
      </c>
      <c r="B2275" t="s">
        <v>4624</v>
      </c>
      <c r="C2275">
        <v>81</v>
      </c>
      <c r="D2275">
        <v>3.8173467656712501</v>
      </c>
      <c r="E2275">
        <v>309.20508801937098</v>
      </c>
      <c r="F2275">
        <v>0.89293104096911302</v>
      </c>
      <c r="G2275">
        <v>0.914487792031902</v>
      </c>
      <c r="H2275" t="str">
        <f t="shared" si="35"/>
        <v>Q4</v>
      </c>
    </row>
    <row r="2276" spans="1:8">
      <c r="A2276">
        <v>782616</v>
      </c>
      <c r="B2276" t="s">
        <v>1791</v>
      </c>
      <c r="C2276">
        <v>177</v>
      </c>
      <c r="D2276">
        <v>1.7456860463056001</v>
      </c>
      <c r="E2276">
        <v>308.98643019609199</v>
      </c>
      <c r="F2276">
        <v>0.95244723674805298</v>
      </c>
      <c r="G2276">
        <v>0.91445017117489902</v>
      </c>
      <c r="H2276" t="str">
        <f t="shared" si="35"/>
        <v>Q2</v>
      </c>
    </row>
    <row r="2277" spans="1:8">
      <c r="A2277">
        <v>736672</v>
      </c>
      <c r="B2277" t="s">
        <v>1595</v>
      </c>
      <c r="C2277">
        <v>63</v>
      </c>
      <c r="D2277">
        <v>4.9036320269344298</v>
      </c>
      <c r="E2277">
        <v>308.92881769686898</v>
      </c>
      <c r="F2277">
        <v>0.86445205221775001</v>
      </c>
      <c r="G2277">
        <v>0.91441255031789603</v>
      </c>
      <c r="H2277" t="str">
        <f t="shared" si="35"/>
        <v>Q3</v>
      </c>
    </row>
    <row r="2278" spans="1:8">
      <c r="A2278">
        <v>701208</v>
      </c>
      <c r="B2278" t="s">
        <v>3614</v>
      </c>
      <c r="C2278">
        <v>101</v>
      </c>
      <c r="D2278">
        <v>3.0580801492796699</v>
      </c>
      <c r="E2278">
        <v>308.86609507724597</v>
      </c>
      <c r="F2278">
        <v>0.91245626575373395</v>
      </c>
      <c r="G2278">
        <v>0.91437492946089305</v>
      </c>
      <c r="H2278" t="str">
        <f t="shared" si="35"/>
        <v>Q4</v>
      </c>
    </row>
    <row r="2279" spans="1:8">
      <c r="A2279">
        <v>788328</v>
      </c>
      <c r="B2279" t="s">
        <v>2484</v>
      </c>
      <c r="C2279">
        <v>38</v>
      </c>
      <c r="D2279">
        <v>8.1278324617367002</v>
      </c>
      <c r="E2279">
        <v>308.85763354599499</v>
      </c>
      <c r="F2279">
        <v>0.79696023475414801</v>
      </c>
      <c r="G2279">
        <v>0.91433730860388995</v>
      </c>
      <c r="H2279" t="str">
        <f t="shared" si="35"/>
        <v>Q3</v>
      </c>
    </row>
    <row r="2280" spans="1:8">
      <c r="A2280">
        <v>663034</v>
      </c>
      <c r="B2280" t="s">
        <v>2637</v>
      </c>
      <c r="C2280">
        <v>68</v>
      </c>
      <c r="D2280">
        <v>4.5411266742602896</v>
      </c>
      <c r="E2280">
        <v>308.79661384969899</v>
      </c>
      <c r="F2280">
        <v>0.87223956961739602</v>
      </c>
      <c r="G2280">
        <v>0.91429968774688697</v>
      </c>
      <c r="H2280" t="str">
        <f t="shared" si="35"/>
        <v>Q4</v>
      </c>
    </row>
    <row r="2281" spans="1:8">
      <c r="A2281">
        <v>756116</v>
      </c>
      <c r="B2281" t="s">
        <v>4085</v>
      </c>
      <c r="C2281">
        <v>63</v>
      </c>
      <c r="D2281">
        <v>4.9011031136153198</v>
      </c>
      <c r="E2281">
        <v>308.76949615776499</v>
      </c>
      <c r="F2281">
        <v>0.86445205221775001</v>
      </c>
      <c r="G2281">
        <v>0.91426206688988398</v>
      </c>
      <c r="H2281" t="str">
        <f t="shared" si="35"/>
        <v>Q3</v>
      </c>
    </row>
    <row r="2282" spans="1:8">
      <c r="A2282">
        <v>685089</v>
      </c>
      <c r="B2282" t="s">
        <v>800</v>
      </c>
      <c r="C2282">
        <v>105</v>
      </c>
      <c r="D2282">
        <v>2.94003222226387</v>
      </c>
      <c r="E2282">
        <v>308.70338333770599</v>
      </c>
      <c r="F2282">
        <v>0.91618073059704297</v>
      </c>
      <c r="G2282">
        <v>0.914224446032881</v>
      </c>
      <c r="H2282" t="str">
        <f t="shared" si="35"/>
        <v>Q4</v>
      </c>
    </row>
    <row r="2283" spans="1:8">
      <c r="A2283">
        <v>605094</v>
      </c>
      <c r="B2283" t="s">
        <v>1812</v>
      </c>
      <c r="C2283">
        <v>247</v>
      </c>
      <c r="D2283">
        <v>1.24957797344706</v>
      </c>
      <c r="E2283">
        <v>308.64575944142399</v>
      </c>
      <c r="F2283">
        <v>0.96828561754636799</v>
      </c>
      <c r="G2283">
        <v>0.91418682517587702</v>
      </c>
      <c r="H2283" t="str">
        <f t="shared" si="35"/>
        <v>Q2</v>
      </c>
    </row>
    <row r="2284" spans="1:8">
      <c r="A2284">
        <v>772149</v>
      </c>
      <c r="B2284" t="s">
        <v>2698</v>
      </c>
      <c r="C2284">
        <v>79</v>
      </c>
      <c r="D2284">
        <v>3.9028320166789299</v>
      </c>
      <c r="E2284">
        <v>308.32372931763501</v>
      </c>
      <c r="F2284">
        <v>0.89022233926488803</v>
      </c>
      <c r="G2284">
        <v>0.91414920431887403</v>
      </c>
      <c r="H2284" t="str">
        <f t="shared" si="35"/>
        <v>Q4</v>
      </c>
    </row>
    <row r="2285" spans="1:8">
      <c r="A2285">
        <v>622743</v>
      </c>
      <c r="B2285" t="s">
        <v>3092</v>
      </c>
      <c r="C2285">
        <v>116</v>
      </c>
      <c r="D2285">
        <v>2.6578608948480502</v>
      </c>
      <c r="E2285">
        <v>308.31186380237301</v>
      </c>
      <c r="F2285">
        <v>0.924720665136752</v>
      </c>
      <c r="G2285">
        <v>0.91411158346187105</v>
      </c>
      <c r="H2285" t="str">
        <f t="shared" si="35"/>
        <v>Q4</v>
      </c>
    </row>
    <row r="2286" spans="1:8">
      <c r="A2286">
        <v>719222</v>
      </c>
      <c r="B2286" t="s">
        <v>5138</v>
      </c>
      <c r="C2286">
        <v>54</v>
      </c>
      <c r="D2286">
        <v>5.7091652657146801</v>
      </c>
      <c r="E2286">
        <v>308.29492434859299</v>
      </c>
      <c r="F2286">
        <v>0.84515255257514799</v>
      </c>
      <c r="G2286">
        <v>0.91407396260486795</v>
      </c>
      <c r="H2286" t="str">
        <f t="shared" si="35"/>
        <v>Q3</v>
      </c>
    </row>
    <row r="2287" spans="1:8">
      <c r="A2287">
        <v>812080</v>
      </c>
      <c r="B2287" t="s">
        <v>3657</v>
      </c>
      <c r="C2287">
        <v>50</v>
      </c>
      <c r="D2287">
        <v>6.1635931655764598</v>
      </c>
      <c r="E2287">
        <v>308.17965827882301</v>
      </c>
      <c r="F2287">
        <v>0.83559685489635405</v>
      </c>
      <c r="G2287">
        <v>0.91403634174786497</v>
      </c>
      <c r="H2287" t="str">
        <f t="shared" si="35"/>
        <v>Q3</v>
      </c>
    </row>
    <row r="2288" spans="1:8">
      <c r="A2288">
        <v>685044</v>
      </c>
      <c r="B2288" t="s">
        <v>802</v>
      </c>
      <c r="C2288">
        <v>94</v>
      </c>
      <c r="D2288">
        <v>3.27783988471678</v>
      </c>
      <c r="E2288">
        <v>308.116949163377</v>
      </c>
      <c r="F2288">
        <v>0.906700274632256</v>
      </c>
      <c r="G2288">
        <v>0.91399872089086198</v>
      </c>
      <c r="H2288" t="str">
        <f t="shared" si="35"/>
        <v>Q4</v>
      </c>
    </row>
    <row r="2289" spans="1:8">
      <c r="A2289">
        <v>763988</v>
      </c>
      <c r="B2289" t="s">
        <v>1372</v>
      </c>
      <c r="C2289">
        <v>130</v>
      </c>
      <c r="D2289">
        <v>2.3698435508861002</v>
      </c>
      <c r="E2289">
        <v>308.079661615193</v>
      </c>
      <c r="F2289">
        <v>0.93307249539144499</v>
      </c>
      <c r="G2289">
        <v>0.913961100033859</v>
      </c>
      <c r="H2289" t="str">
        <f t="shared" si="35"/>
        <v>Q4</v>
      </c>
    </row>
    <row r="2290" spans="1:8">
      <c r="A2290">
        <v>613246</v>
      </c>
      <c r="B2290" t="s">
        <v>2920</v>
      </c>
      <c r="C2290">
        <v>191</v>
      </c>
      <c r="D2290">
        <v>1.6128494048305799</v>
      </c>
      <c r="E2290">
        <v>308.05423632264097</v>
      </c>
      <c r="F2290">
        <v>0.95666077273240302</v>
      </c>
      <c r="G2290">
        <v>0.91392347917685601</v>
      </c>
      <c r="H2290" t="str">
        <f t="shared" si="35"/>
        <v>Q2</v>
      </c>
    </row>
    <row r="2291" spans="1:8">
      <c r="A2291">
        <v>712711</v>
      </c>
      <c r="B2291" t="s">
        <v>1972</v>
      </c>
      <c r="C2291">
        <v>104</v>
      </c>
      <c r="D2291">
        <v>2.9620599180746501</v>
      </c>
      <c r="E2291">
        <v>308.05423147976398</v>
      </c>
      <c r="F2291">
        <v>0.91524020917196502</v>
      </c>
      <c r="G2291">
        <v>0.91388585831985203</v>
      </c>
      <c r="H2291" t="str">
        <f t="shared" si="35"/>
        <v>Q4</v>
      </c>
    </row>
    <row r="2292" spans="1:8">
      <c r="A2292">
        <v>807801</v>
      </c>
      <c r="B2292" t="s">
        <v>4060</v>
      </c>
      <c r="C2292">
        <v>39</v>
      </c>
      <c r="D2292">
        <v>7.8965232731440098</v>
      </c>
      <c r="E2292">
        <v>307.96440765261701</v>
      </c>
      <c r="F2292">
        <v>0.80087280388247195</v>
      </c>
      <c r="G2292">
        <v>0.91384823746284904</v>
      </c>
      <c r="H2292" t="str">
        <f t="shared" si="35"/>
        <v>Q3</v>
      </c>
    </row>
    <row r="2293" spans="1:8">
      <c r="A2293">
        <v>687602</v>
      </c>
      <c r="B2293" t="s">
        <v>4755</v>
      </c>
      <c r="C2293">
        <v>203</v>
      </c>
      <c r="D2293">
        <v>1.5169574470795999</v>
      </c>
      <c r="E2293">
        <v>307.94236175715901</v>
      </c>
      <c r="F2293">
        <v>0.95997140814867798</v>
      </c>
      <c r="G2293">
        <v>0.91381061660584595</v>
      </c>
      <c r="H2293" t="str">
        <f t="shared" si="35"/>
        <v>Q2</v>
      </c>
    </row>
    <row r="2294" spans="1:8">
      <c r="A2294">
        <v>759311</v>
      </c>
      <c r="B2294" t="s">
        <v>5164</v>
      </c>
      <c r="C2294">
        <v>73</v>
      </c>
      <c r="D2294">
        <v>4.2173671344779899</v>
      </c>
      <c r="E2294">
        <v>307.86780081689398</v>
      </c>
      <c r="F2294">
        <v>0.88111809187013301</v>
      </c>
      <c r="G2294">
        <v>0.91377299574884296</v>
      </c>
      <c r="H2294" t="str">
        <f t="shared" si="35"/>
        <v>Q4</v>
      </c>
    </row>
    <row r="2295" spans="1:8">
      <c r="A2295">
        <v>736102</v>
      </c>
      <c r="B2295" t="s">
        <v>2321</v>
      </c>
      <c r="C2295">
        <v>63</v>
      </c>
      <c r="D2295">
        <v>4.8865483807665999</v>
      </c>
      <c r="E2295">
        <v>307.85254798829601</v>
      </c>
      <c r="F2295">
        <v>0.86445205221775001</v>
      </c>
      <c r="G2295">
        <v>0.91373537489183998</v>
      </c>
      <c r="H2295" t="str">
        <f t="shared" si="35"/>
        <v>Q4</v>
      </c>
    </row>
    <row r="2296" spans="1:8">
      <c r="A2296">
        <v>640542</v>
      </c>
      <c r="B2296" t="e" cm="1">
        <f t="array" ref="B2296">+ Coco Shape Bottom</f>
        <v>#NAME?</v>
      </c>
      <c r="C2296">
        <v>100</v>
      </c>
      <c r="D2296">
        <v>3.07664399780333</v>
      </c>
      <c r="E2296">
        <v>307.66439978033299</v>
      </c>
      <c r="F2296">
        <v>0.91155336518565899</v>
      </c>
      <c r="G2296">
        <v>0.913697754034837</v>
      </c>
      <c r="H2296" t="str">
        <f t="shared" si="35"/>
        <v>Q4</v>
      </c>
    </row>
    <row r="2297" spans="1:8">
      <c r="A2297">
        <v>297078</v>
      </c>
      <c r="B2297" t="s">
        <v>2073</v>
      </c>
      <c r="C2297">
        <v>184</v>
      </c>
      <c r="D2297">
        <v>1.6720707090470299</v>
      </c>
      <c r="E2297">
        <v>307.66101046465297</v>
      </c>
      <c r="F2297">
        <v>0.95477972988224702</v>
      </c>
      <c r="G2297">
        <v>0.91366013317783401</v>
      </c>
      <c r="H2297" t="str">
        <f t="shared" si="35"/>
        <v>Q2</v>
      </c>
    </row>
    <row r="2298" spans="1:8">
      <c r="A2298">
        <v>792428</v>
      </c>
      <c r="B2298" t="s">
        <v>429</v>
      </c>
      <c r="C2298">
        <v>63</v>
      </c>
      <c r="D2298">
        <v>4.8825666604061002</v>
      </c>
      <c r="E2298">
        <v>307.60169960558397</v>
      </c>
      <c r="F2298">
        <v>0.86445205221775001</v>
      </c>
      <c r="G2298">
        <v>0.91362251232083103</v>
      </c>
      <c r="H2298" t="str">
        <f t="shared" si="35"/>
        <v>Q4</v>
      </c>
    </row>
    <row r="2299" spans="1:8">
      <c r="A2299">
        <v>637255</v>
      </c>
      <c r="B2299" t="s">
        <v>1938</v>
      </c>
      <c r="C2299">
        <v>130</v>
      </c>
      <c r="D2299">
        <v>2.3659582787121698</v>
      </c>
      <c r="E2299">
        <v>307.57457623258199</v>
      </c>
      <c r="F2299">
        <v>0.93307249539144499</v>
      </c>
      <c r="G2299">
        <v>0.91358489146382804</v>
      </c>
      <c r="H2299" t="str">
        <f t="shared" si="35"/>
        <v>Q4</v>
      </c>
    </row>
    <row r="2300" spans="1:8">
      <c r="A2300">
        <v>707208</v>
      </c>
      <c r="B2300" t="s">
        <v>3515</v>
      </c>
      <c r="C2300">
        <v>38</v>
      </c>
      <c r="D2300">
        <v>8.0913916818405394</v>
      </c>
      <c r="E2300">
        <v>307.472883909941</v>
      </c>
      <c r="F2300">
        <v>0.79696023475414801</v>
      </c>
      <c r="G2300">
        <v>0.91354727060682395</v>
      </c>
      <c r="H2300" t="str">
        <f t="shared" si="35"/>
        <v>Q3</v>
      </c>
    </row>
    <row r="2301" spans="1:8">
      <c r="A2301">
        <v>743223</v>
      </c>
      <c r="B2301" t="s">
        <v>1086</v>
      </c>
      <c r="C2301">
        <v>144</v>
      </c>
      <c r="D2301">
        <v>2.13441620071535</v>
      </c>
      <c r="E2301">
        <v>307.35593290301</v>
      </c>
      <c r="F2301">
        <v>0.94048380422106004</v>
      </c>
      <c r="G2301">
        <v>0.91350964974982096</v>
      </c>
      <c r="H2301" t="str">
        <f t="shared" si="35"/>
        <v>Q4</v>
      </c>
    </row>
    <row r="2302" spans="1:8">
      <c r="A2302">
        <v>751254</v>
      </c>
      <c r="B2302" t="s">
        <v>4169</v>
      </c>
      <c r="C2302">
        <v>62</v>
      </c>
      <c r="D2302">
        <v>4.9560963086062904</v>
      </c>
      <c r="E2302">
        <v>307.27797113358997</v>
      </c>
      <c r="F2302">
        <v>0.86238290508257798</v>
      </c>
      <c r="G2302">
        <v>0.91347202889281798</v>
      </c>
      <c r="H2302" t="str">
        <f t="shared" si="35"/>
        <v>Q3</v>
      </c>
    </row>
    <row r="2303" spans="1:8">
      <c r="A2303">
        <v>718086</v>
      </c>
      <c r="B2303" t="s">
        <v>5111</v>
      </c>
      <c r="C2303">
        <v>33</v>
      </c>
      <c r="D2303">
        <v>9.3105292568604092</v>
      </c>
      <c r="E2303">
        <v>307.24746547639398</v>
      </c>
      <c r="F2303">
        <v>0.77551634626236798</v>
      </c>
      <c r="G2303">
        <v>0.91343440803581499</v>
      </c>
      <c r="H2303" t="str">
        <f t="shared" si="35"/>
        <v>Q3</v>
      </c>
    </row>
    <row r="2304" spans="1:8">
      <c r="A2304">
        <v>765829</v>
      </c>
      <c r="B2304" t="s">
        <v>2065</v>
      </c>
      <c r="C2304">
        <v>119</v>
      </c>
      <c r="D2304">
        <v>2.5813986555117499</v>
      </c>
      <c r="E2304">
        <v>307.18644000589802</v>
      </c>
      <c r="F2304">
        <v>0.92667694970091397</v>
      </c>
      <c r="G2304">
        <v>0.91339678717881201</v>
      </c>
      <c r="H2304" t="str">
        <f t="shared" si="35"/>
        <v>Q4</v>
      </c>
    </row>
    <row r="2305" spans="1:8">
      <c r="A2305">
        <v>700367</v>
      </c>
      <c r="B2305" t="s">
        <v>177</v>
      </c>
      <c r="C2305">
        <v>132</v>
      </c>
      <c r="D2305">
        <v>2.3259886977911899</v>
      </c>
      <c r="E2305">
        <v>307.030508108437</v>
      </c>
      <c r="F2305">
        <v>0.93435160452955102</v>
      </c>
      <c r="G2305">
        <v>0.91335916632180902</v>
      </c>
      <c r="H2305" t="str">
        <f t="shared" si="35"/>
        <v>Q4</v>
      </c>
    </row>
    <row r="2306" spans="1:8">
      <c r="A2306">
        <v>619580</v>
      </c>
      <c r="B2306" t="s">
        <v>3009</v>
      </c>
      <c r="C2306">
        <v>249</v>
      </c>
      <c r="D2306">
        <v>1.2318902375947001</v>
      </c>
      <c r="E2306">
        <v>306.74066916108097</v>
      </c>
      <c r="F2306">
        <v>0.96873706783040503</v>
      </c>
      <c r="G2306">
        <v>0.91332154546480604</v>
      </c>
      <c r="H2306" t="str">
        <f t="shared" si="35"/>
        <v>Q2</v>
      </c>
    </row>
    <row r="2307" spans="1:8">
      <c r="A2307">
        <v>733749</v>
      </c>
      <c r="B2307" t="s">
        <v>1042</v>
      </c>
      <c r="C2307">
        <v>634</v>
      </c>
      <c r="D2307">
        <v>0.48355613517492702</v>
      </c>
      <c r="E2307">
        <v>306.57458970090403</v>
      </c>
      <c r="F2307">
        <v>0.99304014145442199</v>
      </c>
      <c r="G2307">
        <v>0.91328392460780305</v>
      </c>
      <c r="H2307" t="str">
        <f t="shared" ref="H2307:H2370" si="36">IF(C2307&gt;$J$2,
   IF(D2307&gt;$J$3,"Q1","Q2"),
   IF(D2307&gt;$J$3,"Q3","Q4"))</f>
        <v>Q2</v>
      </c>
    </row>
    <row r="2308" spans="1:8">
      <c r="A2308">
        <v>813797</v>
      </c>
      <c r="B2308" t="s">
        <v>2770</v>
      </c>
      <c r="C2308">
        <v>55</v>
      </c>
      <c r="D2308">
        <v>5.5715871873226996</v>
      </c>
      <c r="E2308">
        <v>306.43729530274902</v>
      </c>
      <c r="F2308">
        <v>0.84763552913735396</v>
      </c>
      <c r="G2308">
        <v>0.91324630375079896</v>
      </c>
      <c r="H2308" t="str">
        <f t="shared" si="36"/>
        <v>Q3</v>
      </c>
    </row>
    <row r="2309" spans="1:8">
      <c r="A2309">
        <v>822556</v>
      </c>
      <c r="B2309" t="s">
        <v>4068</v>
      </c>
      <c r="C2309">
        <v>99</v>
      </c>
      <c r="D2309">
        <v>3.0951206337171402</v>
      </c>
      <c r="E2309">
        <v>306.41694273799698</v>
      </c>
      <c r="F2309">
        <v>0.91076332718859299</v>
      </c>
      <c r="G2309">
        <v>0.91320868289379598</v>
      </c>
      <c r="H2309" t="str">
        <f t="shared" si="36"/>
        <v>Q4</v>
      </c>
    </row>
    <row r="2310" spans="1:8">
      <c r="A2310">
        <v>770315</v>
      </c>
      <c r="B2310" t="s">
        <v>256</v>
      </c>
      <c r="C2310">
        <v>187</v>
      </c>
      <c r="D2310">
        <v>1.6378953420422599</v>
      </c>
      <c r="E2310">
        <v>306.28642896190303</v>
      </c>
      <c r="F2310">
        <v>0.95553214702230904</v>
      </c>
      <c r="G2310">
        <v>0.91317106203679299</v>
      </c>
      <c r="H2310" t="str">
        <f t="shared" si="36"/>
        <v>Q2</v>
      </c>
    </row>
    <row r="2311" spans="1:8">
      <c r="A2311">
        <v>797680</v>
      </c>
      <c r="B2311" t="s">
        <v>2371</v>
      </c>
      <c r="C2311">
        <v>63</v>
      </c>
      <c r="D2311">
        <v>4.8548561387828402</v>
      </c>
      <c r="E2311">
        <v>305.85593674331898</v>
      </c>
      <c r="F2311">
        <v>0.86445205221775001</v>
      </c>
      <c r="G2311">
        <v>0.91313344117979001</v>
      </c>
      <c r="H2311" t="str">
        <f t="shared" si="36"/>
        <v>Q4</v>
      </c>
    </row>
    <row r="2312" spans="1:8">
      <c r="A2312">
        <v>821674</v>
      </c>
      <c r="B2312" t="s">
        <v>2004</v>
      </c>
      <c r="C2312">
        <v>49</v>
      </c>
      <c r="D2312">
        <v>6.2409200458502303</v>
      </c>
      <c r="E2312">
        <v>305.80508224666102</v>
      </c>
      <c r="F2312">
        <v>0.83258718633610496</v>
      </c>
      <c r="G2312">
        <v>0.91309582032278702</v>
      </c>
      <c r="H2312" t="str">
        <f t="shared" si="36"/>
        <v>Q3</v>
      </c>
    </row>
    <row r="2313" spans="1:8">
      <c r="A2313">
        <v>661799</v>
      </c>
      <c r="B2313" t="s">
        <v>4836</v>
      </c>
      <c r="C2313">
        <v>29</v>
      </c>
      <c r="D2313">
        <v>10.5299826582958</v>
      </c>
      <c r="E2313">
        <v>305.36949709057802</v>
      </c>
      <c r="F2313">
        <v>0.75501297919566601</v>
      </c>
      <c r="G2313">
        <v>0.91305819946578404</v>
      </c>
      <c r="H2313" t="str">
        <f t="shared" si="36"/>
        <v>Q3</v>
      </c>
    </row>
    <row r="2314" spans="1:8">
      <c r="A2314">
        <v>640807</v>
      </c>
      <c r="B2314" t="s">
        <v>2679</v>
      </c>
      <c r="C2314">
        <v>57</v>
      </c>
      <c r="D2314">
        <v>5.3561105735992101</v>
      </c>
      <c r="E2314">
        <v>305.29830269515497</v>
      </c>
      <c r="F2314">
        <v>0.851849065121703</v>
      </c>
      <c r="G2314">
        <v>0.91302057860878105</v>
      </c>
      <c r="H2314" t="str">
        <f t="shared" si="36"/>
        <v>Q3</v>
      </c>
    </row>
    <row r="2315" spans="1:8">
      <c r="A2315">
        <v>745702</v>
      </c>
      <c r="B2315" t="s">
        <v>3283</v>
      </c>
      <c r="C2315">
        <v>191</v>
      </c>
      <c r="D2315">
        <v>1.5980742935149801</v>
      </c>
      <c r="E2315">
        <v>305.232190061361</v>
      </c>
      <c r="F2315">
        <v>0.95666077273240302</v>
      </c>
      <c r="G2315">
        <v>0.91298295775177796</v>
      </c>
      <c r="H2315" t="str">
        <f t="shared" si="36"/>
        <v>Q2</v>
      </c>
    </row>
    <row r="2316" spans="1:8">
      <c r="A2316">
        <v>686997</v>
      </c>
      <c r="B2316" t="s">
        <v>481</v>
      </c>
      <c r="C2316">
        <v>89</v>
      </c>
      <c r="D2316">
        <v>3.4263759202669202</v>
      </c>
      <c r="E2316">
        <v>304.94745690375601</v>
      </c>
      <c r="F2316">
        <v>0.90135811293781298</v>
      </c>
      <c r="G2316">
        <v>0.91294533689477397</v>
      </c>
      <c r="H2316" t="str">
        <f t="shared" si="36"/>
        <v>Q4</v>
      </c>
    </row>
    <row r="2317" spans="1:8">
      <c r="A2317">
        <v>707155</v>
      </c>
      <c r="B2317" t="s">
        <v>2482</v>
      </c>
      <c r="C2317">
        <v>157</v>
      </c>
      <c r="D2317">
        <v>1.9413796122998599</v>
      </c>
      <c r="E2317">
        <v>304.79659913107798</v>
      </c>
      <c r="F2317">
        <v>0.94518641134644998</v>
      </c>
      <c r="G2317">
        <v>0.91290771603777099</v>
      </c>
      <c r="H2317" t="str">
        <f t="shared" si="36"/>
        <v>Q4</v>
      </c>
    </row>
    <row r="2318" spans="1:8">
      <c r="A2318">
        <v>557994</v>
      </c>
      <c r="B2318" t="s">
        <v>2768</v>
      </c>
      <c r="C2318">
        <v>104</v>
      </c>
      <c r="D2318">
        <v>2.93032919468645</v>
      </c>
      <c r="E2318">
        <v>304.75423624739102</v>
      </c>
      <c r="F2318">
        <v>0.91524020917196502</v>
      </c>
      <c r="G2318">
        <v>0.912870095180768</v>
      </c>
      <c r="H2318" t="str">
        <f t="shared" si="36"/>
        <v>Q4</v>
      </c>
    </row>
    <row r="2319" spans="1:8">
      <c r="A2319">
        <v>711042</v>
      </c>
      <c r="B2319" t="s">
        <v>1453</v>
      </c>
      <c r="C2319">
        <v>94</v>
      </c>
      <c r="D2319">
        <v>3.23793718274286</v>
      </c>
      <c r="E2319">
        <v>304.36609517782898</v>
      </c>
      <c r="F2319">
        <v>0.906700274632256</v>
      </c>
      <c r="G2319">
        <v>0.91283247432376502</v>
      </c>
      <c r="H2319" t="str">
        <f t="shared" si="36"/>
        <v>Q4</v>
      </c>
    </row>
    <row r="2320" spans="1:8">
      <c r="A2320">
        <v>479549</v>
      </c>
      <c r="B2320" t="s">
        <v>578</v>
      </c>
      <c r="C2320">
        <v>50</v>
      </c>
      <c r="D2320">
        <v>6.0824406463652796</v>
      </c>
      <c r="E2320">
        <v>304.12203231826402</v>
      </c>
      <c r="F2320">
        <v>0.83559685489635405</v>
      </c>
      <c r="G2320">
        <v>0.91279485346676204</v>
      </c>
      <c r="H2320" t="str">
        <f t="shared" si="36"/>
        <v>Q3</v>
      </c>
    </row>
    <row r="2321" spans="1:8">
      <c r="A2321">
        <v>551504</v>
      </c>
      <c r="B2321" t="s">
        <v>1211</v>
      </c>
      <c r="C2321">
        <v>35</v>
      </c>
      <c r="D2321">
        <v>8.6877483235938193</v>
      </c>
      <c r="E2321">
        <v>304.07119132578401</v>
      </c>
      <c r="F2321">
        <v>0.78420676423008895</v>
      </c>
      <c r="G2321">
        <v>0.91275723260975905</v>
      </c>
      <c r="H2321" t="str">
        <f t="shared" si="36"/>
        <v>Q3</v>
      </c>
    </row>
    <row r="2322" spans="1:8">
      <c r="A2322">
        <v>584631</v>
      </c>
      <c r="B2322" t="s">
        <v>157</v>
      </c>
      <c r="C2322">
        <v>209</v>
      </c>
      <c r="D2322">
        <v>1.4548860019090699</v>
      </c>
      <c r="E2322">
        <v>304.07117439899599</v>
      </c>
      <c r="F2322">
        <v>0.96132575900078998</v>
      </c>
      <c r="G2322">
        <v>0.91271961175275595</v>
      </c>
      <c r="H2322" t="str">
        <f t="shared" si="36"/>
        <v>Q2</v>
      </c>
    </row>
    <row r="2323" spans="1:8">
      <c r="A2323">
        <v>694614</v>
      </c>
      <c r="B2323" t="s">
        <v>1045</v>
      </c>
      <c r="C2323">
        <v>105</v>
      </c>
      <c r="D2323">
        <v>2.8946085318568202</v>
      </c>
      <c r="E2323">
        <v>303.933895844966</v>
      </c>
      <c r="F2323">
        <v>0.91618073059704297</v>
      </c>
      <c r="G2323">
        <v>0.91268199089575297</v>
      </c>
      <c r="H2323" t="str">
        <f t="shared" si="36"/>
        <v>Q4</v>
      </c>
    </row>
    <row r="2324" spans="1:8">
      <c r="A2324">
        <v>796374</v>
      </c>
      <c r="B2324" t="s">
        <v>676</v>
      </c>
      <c r="C2324">
        <v>92</v>
      </c>
      <c r="D2324">
        <v>3.3020265339671302</v>
      </c>
      <c r="E2324">
        <v>303.78644112497602</v>
      </c>
      <c r="F2324">
        <v>0.90429253978405599</v>
      </c>
      <c r="G2324">
        <v>0.91264437003874899</v>
      </c>
      <c r="H2324" t="str">
        <f t="shared" si="36"/>
        <v>Q4</v>
      </c>
    </row>
    <row r="2325" spans="1:8">
      <c r="A2325">
        <v>810008</v>
      </c>
      <c r="B2325" t="s">
        <v>1379</v>
      </c>
      <c r="C2325">
        <v>45</v>
      </c>
      <c r="D2325">
        <v>6.7466290129555597</v>
      </c>
      <c r="E2325">
        <v>303.59830558300001</v>
      </c>
      <c r="F2325">
        <v>0.82069899552311798</v>
      </c>
      <c r="G2325">
        <v>0.912606749181746</v>
      </c>
      <c r="H2325" t="str">
        <f t="shared" si="36"/>
        <v>Q3</v>
      </c>
    </row>
    <row r="2326" spans="1:8">
      <c r="A2326">
        <v>774109</v>
      </c>
      <c r="B2326" t="s">
        <v>674</v>
      </c>
      <c r="C2326">
        <v>65</v>
      </c>
      <c r="D2326">
        <v>4.6681617229030703</v>
      </c>
      <c r="E2326">
        <v>303.43051198869898</v>
      </c>
      <c r="F2326">
        <v>0.86802603363304598</v>
      </c>
      <c r="G2326">
        <v>0.91256912832474302</v>
      </c>
      <c r="H2326" t="str">
        <f t="shared" si="36"/>
        <v>Q4</v>
      </c>
    </row>
    <row r="2327" spans="1:8">
      <c r="A2327">
        <v>718623</v>
      </c>
      <c r="B2327" t="s">
        <v>3784</v>
      </c>
      <c r="C2327">
        <v>122</v>
      </c>
      <c r="D2327">
        <v>2.48701022250853</v>
      </c>
      <c r="E2327">
        <v>303.41524714603997</v>
      </c>
      <c r="F2327">
        <v>0.92855799255106997</v>
      </c>
      <c r="G2327">
        <v>0.91253150746774003</v>
      </c>
      <c r="H2327" t="str">
        <f t="shared" si="36"/>
        <v>Q4</v>
      </c>
    </row>
    <row r="2328" spans="1:8">
      <c r="A2328">
        <v>742383</v>
      </c>
      <c r="B2328" t="s">
        <v>1153</v>
      </c>
      <c r="C2328">
        <v>96</v>
      </c>
      <c r="D2328">
        <v>3.1584392078608898</v>
      </c>
      <c r="E2328">
        <v>303.210163954645</v>
      </c>
      <c r="F2328">
        <v>0.90812986719837496</v>
      </c>
      <c r="G2328">
        <v>0.91249388661073705</v>
      </c>
      <c r="H2328" t="str">
        <f t="shared" si="36"/>
        <v>Q4</v>
      </c>
    </row>
    <row r="2329" spans="1:8">
      <c r="A2329">
        <v>693322</v>
      </c>
      <c r="B2329" t="s">
        <v>3584</v>
      </c>
      <c r="C2329">
        <v>146</v>
      </c>
      <c r="D2329">
        <v>2.0752611254303601</v>
      </c>
      <c r="E2329">
        <v>302.98812431283301</v>
      </c>
      <c r="F2329">
        <v>0.94127384221812604</v>
      </c>
      <c r="G2329">
        <v>0.91245626575373395</v>
      </c>
      <c r="H2329" t="str">
        <f t="shared" si="36"/>
        <v>Q4</v>
      </c>
    </row>
    <row r="2330" spans="1:8">
      <c r="A2330">
        <v>717251</v>
      </c>
      <c r="B2330" t="s">
        <v>4980</v>
      </c>
      <c r="C2330">
        <v>234</v>
      </c>
      <c r="D2330">
        <v>1.2945602910640901</v>
      </c>
      <c r="E2330">
        <v>302.927108108997</v>
      </c>
      <c r="F2330">
        <v>0.96632933298220502</v>
      </c>
      <c r="G2330">
        <v>0.91241864489673097</v>
      </c>
      <c r="H2330" t="str">
        <f t="shared" si="36"/>
        <v>Q2</v>
      </c>
    </row>
    <row r="2331" spans="1:8">
      <c r="A2331">
        <v>705955</v>
      </c>
      <c r="B2331" t="s">
        <v>5263</v>
      </c>
      <c r="C2331">
        <v>78</v>
      </c>
      <c r="D2331">
        <v>3.88261624253713</v>
      </c>
      <c r="E2331">
        <v>302.84406691789599</v>
      </c>
      <c r="F2331">
        <v>0.88867988412776</v>
      </c>
      <c r="G2331">
        <v>0.91238102403972798</v>
      </c>
      <c r="H2331" t="str">
        <f t="shared" si="36"/>
        <v>Q4</v>
      </c>
    </row>
    <row r="2332" spans="1:8">
      <c r="A2332">
        <v>755223</v>
      </c>
      <c r="B2332" t="s">
        <v>169</v>
      </c>
      <c r="C2332">
        <v>80</v>
      </c>
      <c r="D2332">
        <v>3.7840466259513099</v>
      </c>
      <c r="E2332">
        <v>302.723730076104</v>
      </c>
      <c r="F2332">
        <v>0.89150144840299494</v>
      </c>
      <c r="G2332">
        <v>0.912343403182725</v>
      </c>
      <c r="H2332" t="str">
        <f t="shared" si="36"/>
        <v>Q4</v>
      </c>
    </row>
    <row r="2333" spans="1:8">
      <c r="A2333">
        <v>721932</v>
      </c>
      <c r="B2333" t="s">
        <v>2122</v>
      </c>
      <c r="C2333">
        <v>69</v>
      </c>
      <c r="D2333">
        <v>4.3862442418501004</v>
      </c>
      <c r="E2333">
        <v>302.65085268765699</v>
      </c>
      <c r="F2333">
        <v>0.87393250818253598</v>
      </c>
      <c r="G2333">
        <v>0.91230578232572102</v>
      </c>
      <c r="H2333" t="str">
        <f t="shared" si="36"/>
        <v>Q4</v>
      </c>
    </row>
    <row r="2334" spans="1:8">
      <c r="A2334">
        <v>779349</v>
      </c>
      <c r="B2334" t="s">
        <v>2286</v>
      </c>
      <c r="C2334">
        <v>73</v>
      </c>
      <c r="D2334">
        <v>4.1446482941304197</v>
      </c>
      <c r="E2334">
        <v>302.55932547152003</v>
      </c>
      <c r="F2334">
        <v>0.88111809187013301</v>
      </c>
      <c r="G2334">
        <v>0.91226816146871803</v>
      </c>
      <c r="H2334" t="str">
        <f t="shared" si="36"/>
        <v>Q4</v>
      </c>
    </row>
    <row r="2335" spans="1:8">
      <c r="A2335">
        <v>767605</v>
      </c>
      <c r="B2335" t="s">
        <v>3429</v>
      </c>
      <c r="C2335">
        <v>105</v>
      </c>
      <c r="D2335">
        <v>2.88127521851233</v>
      </c>
      <c r="E2335">
        <v>302.53389794379501</v>
      </c>
      <c r="F2335">
        <v>0.91618073059704297</v>
      </c>
      <c r="G2335">
        <v>0.91223054061171505</v>
      </c>
      <c r="H2335" t="str">
        <f t="shared" si="36"/>
        <v>Q4</v>
      </c>
    </row>
    <row r="2336" spans="1:8">
      <c r="A2336">
        <v>759580</v>
      </c>
      <c r="B2336" t="s">
        <v>1782</v>
      </c>
      <c r="C2336">
        <v>66</v>
      </c>
      <c r="D2336">
        <v>4.5808167196810201</v>
      </c>
      <c r="E2336">
        <v>302.33390349894802</v>
      </c>
      <c r="F2336">
        <v>0.86968135134118396</v>
      </c>
      <c r="G2336">
        <v>0.91219291975471195</v>
      </c>
      <c r="H2336" t="str">
        <f t="shared" si="36"/>
        <v>Q4</v>
      </c>
    </row>
    <row r="2337" spans="1:8">
      <c r="A2337">
        <v>723167</v>
      </c>
      <c r="B2337" t="s">
        <v>5099</v>
      </c>
      <c r="C2337">
        <v>123</v>
      </c>
      <c r="D2337">
        <v>2.4577097494034001</v>
      </c>
      <c r="E2337">
        <v>302.298299176618</v>
      </c>
      <c r="F2337">
        <v>0.92893420112110203</v>
      </c>
      <c r="G2337">
        <v>0.91215529889770897</v>
      </c>
      <c r="H2337" t="str">
        <f t="shared" si="36"/>
        <v>Q4</v>
      </c>
    </row>
    <row r="2338" spans="1:8">
      <c r="A2338">
        <v>742100</v>
      </c>
      <c r="B2338" t="s">
        <v>2653</v>
      </c>
      <c r="C2338">
        <v>29</v>
      </c>
      <c r="D2338">
        <v>10.416306079975501</v>
      </c>
      <c r="E2338">
        <v>302.07287631928898</v>
      </c>
      <c r="F2338">
        <v>0.75501297919566601</v>
      </c>
      <c r="G2338">
        <v>0.91211767804070598</v>
      </c>
      <c r="H2338" t="str">
        <f t="shared" si="36"/>
        <v>Q3</v>
      </c>
    </row>
    <row r="2339" spans="1:8">
      <c r="A2339">
        <v>821152</v>
      </c>
      <c r="B2339" t="s">
        <v>1252</v>
      </c>
      <c r="C2339">
        <v>134</v>
      </c>
      <c r="D2339">
        <v>2.2540475686650701</v>
      </c>
      <c r="E2339">
        <v>302.042374201119</v>
      </c>
      <c r="F2339">
        <v>0.93551785109664798</v>
      </c>
      <c r="G2339">
        <v>0.912080057183703</v>
      </c>
      <c r="H2339" t="str">
        <f t="shared" si="36"/>
        <v>Q4</v>
      </c>
    </row>
    <row r="2340" spans="1:8">
      <c r="A2340">
        <v>749407</v>
      </c>
      <c r="B2340" t="s">
        <v>4137</v>
      </c>
      <c r="C2340">
        <v>192</v>
      </c>
      <c r="D2340">
        <v>1.5724928833757701</v>
      </c>
      <c r="E2340">
        <v>301.91863360814801</v>
      </c>
      <c r="F2340">
        <v>0.95688649787442204</v>
      </c>
      <c r="G2340">
        <v>0.91204243632670001</v>
      </c>
      <c r="H2340" t="str">
        <f t="shared" si="36"/>
        <v>Q2</v>
      </c>
    </row>
    <row r="2341" spans="1:8">
      <c r="A2341">
        <v>747346</v>
      </c>
      <c r="B2341" t="s">
        <v>1410</v>
      </c>
      <c r="C2341">
        <v>52</v>
      </c>
      <c r="D2341">
        <v>5.8031618380202703</v>
      </c>
      <c r="E2341">
        <v>301.76441557705402</v>
      </c>
      <c r="F2341">
        <v>0.84003611602272299</v>
      </c>
      <c r="G2341">
        <v>0.91200481546969603</v>
      </c>
      <c r="H2341" t="str">
        <f t="shared" si="36"/>
        <v>Q3</v>
      </c>
    </row>
    <row r="2342" spans="1:8">
      <c r="A2342">
        <v>736708</v>
      </c>
      <c r="B2342" t="s">
        <v>887</v>
      </c>
      <c r="C2342">
        <v>42</v>
      </c>
      <c r="D2342">
        <v>7.1778044259796498</v>
      </c>
      <c r="E2342">
        <v>301.46778589114501</v>
      </c>
      <c r="F2342">
        <v>0.81103043527331597</v>
      </c>
      <c r="G2342">
        <v>0.91196719461269304</v>
      </c>
      <c r="H2342" t="str">
        <f t="shared" si="36"/>
        <v>Q3</v>
      </c>
    </row>
    <row r="2343" spans="1:8">
      <c r="A2343">
        <v>752514</v>
      </c>
      <c r="B2343" t="s">
        <v>4558</v>
      </c>
      <c r="C2343">
        <v>129</v>
      </c>
      <c r="D2343">
        <v>2.3368807819982398</v>
      </c>
      <c r="E2343">
        <v>301.45762087777302</v>
      </c>
      <c r="F2343">
        <v>0.93247056167939502</v>
      </c>
      <c r="G2343">
        <v>0.91192957375568995</v>
      </c>
      <c r="H2343" t="str">
        <f t="shared" si="36"/>
        <v>Q4</v>
      </c>
    </row>
    <row r="2344" spans="1:8">
      <c r="A2344">
        <v>725663</v>
      </c>
      <c r="B2344" t="s">
        <v>4167</v>
      </c>
      <c r="C2344">
        <v>203</v>
      </c>
      <c r="D2344">
        <v>1.48472066491549</v>
      </c>
      <c r="E2344">
        <v>301.39829497784399</v>
      </c>
      <c r="F2344">
        <v>0.95997140814867798</v>
      </c>
      <c r="G2344">
        <v>0.91189195289868696</v>
      </c>
      <c r="H2344" t="str">
        <f t="shared" si="36"/>
        <v>Q2</v>
      </c>
    </row>
    <row r="2345" spans="1:8">
      <c r="A2345">
        <v>582462</v>
      </c>
      <c r="B2345" t="s">
        <v>3794</v>
      </c>
      <c r="C2345">
        <v>96</v>
      </c>
      <c r="D2345">
        <v>3.1354695868988798</v>
      </c>
      <c r="E2345">
        <v>301.00508034229301</v>
      </c>
      <c r="F2345">
        <v>0.90812986719837496</v>
      </c>
      <c r="G2345">
        <v>0.91185433204168398</v>
      </c>
      <c r="H2345" t="str">
        <f t="shared" si="36"/>
        <v>Q4</v>
      </c>
    </row>
    <row r="2346" spans="1:8">
      <c r="A2346">
        <v>757995</v>
      </c>
      <c r="B2346" t="s">
        <v>4957</v>
      </c>
      <c r="C2346">
        <v>105</v>
      </c>
      <c r="D2346">
        <v>2.8657627096843199</v>
      </c>
      <c r="E2346">
        <v>300.90508451685298</v>
      </c>
      <c r="F2346">
        <v>0.91618073059704297</v>
      </c>
      <c r="G2346">
        <v>0.91181671118468099</v>
      </c>
      <c r="H2346" t="str">
        <f t="shared" si="36"/>
        <v>Q4</v>
      </c>
    </row>
    <row r="2347" spans="1:8">
      <c r="A2347">
        <v>787934</v>
      </c>
      <c r="B2347" t="s">
        <v>3919</v>
      </c>
      <c r="C2347">
        <v>19</v>
      </c>
      <c r="D2347">
        <v>15.8194470562433</v>
      </c>
      <c r="E2347">
        <v>300.56949406862299</v>
      </c>
      <c r="F2347">
        <v>0.68195327489560198</v>
      </c>
      <c r="G2347">
        <v>0.91177909032767801</v>
      </c>
      <c r="H2347" t="str">
        <f t="shared" si="36"/>
        <v>Q3</v>
      </c>
    </row>
    <row r="2348" spans="1:8">
      <c r="A2348">
        <v>697516</v>
      </c>
      <c r="B2348" t="s">
        <v>3715</v>
      </c>
      <c r="C2348">
        <v>52</v>
      </c>
      <c r="D2348">
        <v>5.7785529141815797</v>
      </c>
      <c r="E2348">
        <v>300.48475153744198</v>
      </c>
      <c r="F2348">
        <v>0.84003611602272299</v>
      </c>
      <c r="G2348">
        <v>0.91174146947067503</v>
      </c>
      <c r="H2348" t="str">
        <f t="shared" si="36"/>
        <v>Q3</v>
      </c>
    </row>
    <row r="2349" spans="1:8">
      <c r="A2349">
        <v>576661</v>
      </c>
      <c r="B2349" t="s">
        <v>715</v>
      </c>
      <c r="C2349">
        <v>73</v>
      </c>
      <c r="D2349">
        <v>4.11432556910058</v>
      </c>
      <c r="E2349">
        <v>300.34576654434198</v>
      </c>
      <c r="F2349">
        <v>0.88111809187013301</v>
      </c>
      <c r="G2349">
        <v>0.91170384861367104</v>
      </c>
      <c r="H2349" t="str">
        <f t="shared" si="36"/>
        <v>Q4</v>
      </c>
    </row>
    <row r="2350" spans="1:8">
      <c r="A2350">
        <v>516859</v>
      </c>
      <c r="B2350" t="s">
        <v>2287</v>
      </c>
      <c r="C2350">
        <v>232</v>
      </c>
      <c r="D2350">
        <v>1.29421389629615</v>
      </c>
      <c r="E2350">
        <v>300.25762394070603</v>
      </c>
      <c r="F2350">
        <v>0.96587788269816799</v>
      </c>
      <c r="G2350">
        <v>0.91166622775666795</v>
      </c>
      <c r="H2350" t="str">
        <f t="shared" si="36"/>
        <v>Q2</v>
      </c>
    </row>
    <row r="2351" spans="1:8">
      <c r="A2351">
        <v>795790</v>
      </c>
      <c r="B2351" t="s">
        <v>3094</v>
      </c>
      <c r="C2351">
        <v>64</v>
      </c>
      <c r="D2351">
        <v>4.6865202049957597</v>
      </c>
      <c r="E2351">
        <v>299.93729311972902</v>
      </c>
      <c r="F2351">
        <v>0.86633309506790601</v>
      </c>
      <c r="G2351">
        <v>0.91162860689966496</v>
      </c>
      <c r="H2351" t="str">
        <f t="shared" si="36"/>
        <v>Q4</v>
      </c>
    </row>
    <row r="2352" spans="1:8">
      <c r="A2352">
        <v>731146</v>
      </c>
      <c r="B2352" t="s">
        <v>1043</v>
      </c>
      <c r="C2352">
        <v>138</v>
      </c>
      <c r="D2352">
        <v>2.1728322318201698</v>
      </c>
      <c r="E2352">
        <v>299.850847991183</v>
      </c>
      <c r="F2352">
        <v>0.93747413566080995</v>
      </c>
      <c r="G2352">
        <v>0.91159098604266198</v>
      </c>
      <c r="H2352" t="str">
        <f t="shared" si="36"/>
        <v>Q4</v>
      </c>
    </row>
    <row r="2353" spans="1:8">
      <c r="A2353">
        <v>659302</v>
      </c>
      <c r="B2353" t="s">
        <v>280</v>
      </c>
      <c r="C2353">
        <v>84</v>
      </c>
      <c r="D2353">
        <v>3.56928977583136</v>
      </c>
      <c r="E2353">
        <v>299.82034116983402</v>
      </c>
      <c r="F2353">
        <v>0.89639215981340103</v>
      </c>
      <c r="G2353">
        <v>0.91155336518565899</v>
      </c>
      <c r="H2353" t="str">
        <f t="shared" si="36"/>
        <v>Q4</v>
      </c>
    </row>
    <row r="2354" spans="1:8">
      <c r="A2354">
        <v>685812</v>
      </c>
      <c r="B2354" t="s">
        <v>2149</v>
      </c>
      <c r="C2354">
        <v>115</v>
      </c>
      <c r="D2354">
        <v>2.60697120800614</v>
      </c>
      <c r="E2354">
        <v>299.80168892070702</v>
      </c>
      <c r="F2354">
        <v>0.92370490199766797</v>
      </c>
      <c r="G2354">
        <v>0.91151574432865601</v>
      </c>
      <c r="H2354" t="str">
        <f t="shared" si="36"/>
        <v>Q4</v>
      </c>
    </row>
    <row r="2355" spans="1:8">
      <c r="A2355">
        <v>676979</v>
      </c>
      <c r="B2355" t="s">
        <v>2180</v>
      </c>
      <c r="C2355">
        <v>204</v>
      </c>
      <c r="D2355">
        <v>1.4694665423959601</v>
      </c>
      <c r="E2355">
        <v>299.77117464877699</v>
      </c>
      <c r="F2355">
        <v>0.96015951243369302</v>
      </c>
      <c r="G2355">
        <v>0.91147812347165302</v>
      </c>
      <c r="H2355" t="str">
        <f t="shared" si="36"/>
        <v>Q2</v>
      </c>
    </row>
    <row r="2356" spans="1:8">
      <c r="A2356">
        <v>551379</v>
      </c>
      <c r="B2356" t="e" cm="1">
        <f t="array" ref="B2356">+ Spanx Alot Swimsuite</f>
        <v>#NAME?</v>
      </c>
      <c r="C2356">
        <v>71</v>
      </c>
      <c r="D2356">
        <v>4.2206732398817204</v>
      </c>
      <c r="E2356">
        <v>299.66780003160198</v>
      </c>
      <c r="F2356">
        <v>0.87799556073887397</v>
      </c>
      <c r="G2356">
        <v>0.91144050261465004</v>
      </c>
      <c r="H2356" t="str">
        <f t="shared" si="36"/>
        <v>Q4</v>
      </c>
    </row>
    <row r="2357" spans="1:8">
      <c r="A2357">
        <v>799381</v>
      </c>
      <c r="B2357" t="s">
        <v>4907</v>
      </c>
      <c r="C2357">
        <v>61</v>
      </c>
      <c r="D2357">
        <v>4.9122812806582798</v>
      </c>
      <c r="E2357">
        <v>299.64915812015499</v>
      </c>
      <c r="F2357">
        <v>0.86035137880440904</v>
      </c>
      <c r="G2357">
        <v>0.91140288175764606</v>
      </c>
      <c r="H2357" t="str">
        <f t="shared" si="36"/>
        <v>Q3</v>
      </c>
    </row>
    <row r="2358" spans="1:8">
      <c r="A2358">
        <v>776179</v>
      </c>
      <c r="B2358" t="s">
        <v>308</v>
      </c>
      <c r="C2358">
        <v>95</v>
      </c>
      <c r="D2358">
        <v>3.1518465319746398</v>
      </c>
      <c r="E2358">
        <v>299.42542053759098</v>
      </c>
      <c r="F2358">
        <v>0.90760317520033096</v>
      </c>
      <c r="G2358">
        <v>0.91136526090064296</v>
      </c>
      <c r="H2358" t="str">
        <f t="shared" si="36"/>
        <v>Q4</v>
      </c>
    </row>
    <row r="2359" spans="1:8">
      <c r="A2359">
        <v>564314</v>
      </c>
      <c r="B2359" t="s">
        <v>4101</v>
      </c>
      <c r="C2359">
        <v>139</v>
      </c>
      <c r="D2359">
        <v>2.1539202536181601</v>
      </c>
      <c r="E2359">
        <v>299.39491525292402</v>
      </c>
      <c r="F2359">
        <v>0.93796320680185097</v>
      </c>
      <c r="G2359">
        <v>0.91132764004363997</v>
      </c>
      <c r="H2359" t="str">
        <f t="shared" si="36"/>
        <v>Q4</v>
      </c>
    </row>
    <row r="2360" spans="1:8">
      <c r="A2360">
        <v>812027</v>
      </c>
      <c r="B2360" t="s">
        <v>2533</v>
      </c>
      <c r="C2360">
        <v>82</v>
      </c>
      <c r="D2360">
        <v>3.6508888335580498</v>
      </c>
      <c r="E2360">
        <v>299.37288435175998</v>
      </c>
      <c r="F2360">
        <v>0.894323012678229</v>
      </c>
      <c r="G2360">
        <v>0.91129001918663699</v>
      </c>
      <c r="H2360" t="str">
        <f t="shared" si="36"/>
        <v>Q4</v>
      </c>
    </row>
    <row r="2361" spans="1:8">
      <c r="A2361">
        <v>817869</v>
      </c>
      <c r="B2361" t="s">
        <v>4423</v>
      </c>
      <c r="C2361">
        <v>128</v>
      </c>
      <c r="D2361">
        <v>2.3386784974718502</v>
      </c>
      <c r="E2361">
        <v>299.35084767639597</v>
      </c>
      <c r="F2361">
        <v>0.93201911139535798</v>
      </c>
      <c r="G2361">
        <v>0.91125239832963401</v>
      </c>
      <c r="H2361" t="str">
        <f t="shared" si="36"/>
        <v>Q4</v>
      </c>
    </row>
    <row r="2362" spans="1:8">
      <c r="A2362">
        <v>761701</v>
      </c>
      <c r="B2362" t="s">
        <v>827</v>
      </c>
      <c r="C2362">
        <v>106</v>
      </c>
      <c r="D2362">
        <v>2.8238406967160801</v>
      </c>
      <c r="E2362">
        <v>299.32711385190498</v>
      </c>
      <c r="F2362">
        <v>0.91730935630713695</v>
      </c>
      <c r="G2362">
        <v>0.91121477747263102</v>
      </c>
      <c r="H2362" t="str">
        <f t="shared" si="36"/>
        <v>Q4</v>
      </c>
    </row>
    <row r="2363" spans="1:8">
      <c r="A2363">
        <v>662369</v>
      </c>
      <c r="B2363" t="s">
        <v>3137</v>
      </c>
      <c r="C2363">
        <v>110</v>
      </c>
      <c r="D2363">
        <v>2.72061628458852</v>
      </c>
      <c r="E2363">
        <v>299.26779130473699</v>
      </c>
      <c r="F2363">
        <v>0.92001805801136105</v>
      </c>
      <c r="G2363">
        <v>0.91117715661562804</v>
      </c>
      <c r="H2363" t="str">
        <f t="shared" si="36"/>
        <v>Q4</v>
      </c>
    </row>
    <row r="2364" spans="1:8">
      <c r="A2364">
        <v>688728</v>
      </c>
      <c r="B2364" t="s">
        <v>2182</v>
      </c>
      <c r="C2364">
        <v>121</v>
      </c>
      <c r="D2364">
        <v>2.4723770881979901</v>
      </c>
      <c r="E2364">
        <v>299.15762767195702</v>
      </c>
      <c r="F2364">
        <v>0.92788081712501402</v>
      </c>
      <c r="G2364">
        <v>0.91113953575862505</v>
      </c>
      <c r="H2364" t="str">
        <f t="shared" si="36"/>
        <v>Q4</v>
      </c>
    </row>
    <row r="2365" spans="1:8">
      <c r="A2365">
        <v>767577</v>
      </c>
      <c r="B2365" t="s">
        <v>4101</v>
      </c>
      <c r="C2365">
        <v>125</v>
      </c>
      <c r="D2365">
        <v>2.3926237337291201</v>
      </c>
      <c r="E2365">
        <v>299.07796671614102</v>
      </c>
      <c r="F2365">
        <v>0.93028855197321403</v>
      </c>
      <c r="G2365">
        <v>0.91110191490162196</v>
      </c>
      <c r="H2365" t="str">
        <f t="shared" si="36"/>
        <v>Q4</v>
      </c>
    </row>
    <row r="2366" spans="1:8">
      <c r="A2366">
        <v>743758</v>
      </c>
      <c r="B2366" t="s">
        <v>5162</v>
      </c>
      <c r="C2366">
        <v>64</v>
      </c>
      <c r="D2366">
        <v>4.6716632001334801</v>
      </c>
      <c r="E2366">
        <v>298.98644480854301</v>
      </c>
      <c r="F2366">
        <v>0.86633309506790601</v>
      </c>
      <c r="G2366">
        <v>0.91106429404461797</v>
      </c>
      <c r="H2366" t="str">
        <f t="shared" si="36"/>
        <v>Q4</v>
      </c>
    </row>
    <row r="2367" spans="1:8">
      <c r="A2367">
        <v>752689</v>
      </c>
      <c r="B2367" t="s">
        <v>1814</v>
      </c>
      <c r="C2367">
        <v>188</v>
      </c>
      <c r="D2367">
        <v>1.58991159071175</v>
      </c>
      <c r="E2367">
        <v>298.90337905380898</v>
      </c>
      <c r="F2367">
        <v>0.95583311387833403</v>
      </c>
      <c r="G2367">
        <v>0.91102667318761499</v>
      </c>
      <c r="H2367" t="str">
        <f t="shared" si="36"/>
        <v>Q2</v>
      </c>
    </row>
    <row r="2368" spans="1:8">
      <c r="A2368">
        <v>640176</v>
      </c>
      <c r="B2368" t="s">
        <v>2194</v>
      </c>
      <c r="C2368">
        <v>96</v>
      </c>
      <c r="D2368">
        <v>3.1122704434286201</v>
      </c>
      <c r="E2368">
        <v>298.77796256914701</v>
      </c>
      <c r="F2368">
        <v>0.90812986719837496</v>
      </c>
      <c r="G2368">
        <v>0.910989052330612</v>
      </c>
      <c r="H2368" t="str">
        <f t="shared" si="36"/>
        <v>Q4</v>
      </c>
    </row>
    <row r="2369" spans="1:8">
      <c r="A2369">
        <v>700761</v>
      </c>
      <c r="B2369" t="s">
        <v>4230</v>
      </c>
      <c r="C2369">
        <v>387</v>
      </c>
      <c r="D2369">
        <v>0.77194411828584497</v>
      </c>
      <c r="E2369">
        <v>298.742373776622</v>
      </c>
      <c r="F2369">
        <v>0.98284488920657598</v>
      </c>
      <c r="G2369">
        <v>0.91095143147360902</v>
      </c>
      <c r="H2369" t="str">
        <f t="shared" si="36"/>
        <v>Q2</v>
      </c>
    </row>
    <row r="2370" spans="1:8">
      <c r="A2370">
        <v>716261</v>
      </c>
      <c r="B2370" t="s">
        <v>564</v>
      </c>
      <c r="C2370">
        <v>263</v>
      </c>
      <c r="D2370">
        <v>1.1357156594351201</v>
      </c>
      <c r="E2370">
        <v>298.69321843143598</v>
      </c>
      <c r="F2370">
        <v>0.97084383582258005</v>
      </c>
      <c r="G2370">
        <v>0.91091381061660603</v>
      </c>
      <c r="H2370" t="str">
        <f t="shared" si="36"/>
        <v>Q2</v>
      </c>
    </row>
    <row r="2371" spans="1:8">
      <c r="A2371">
        <v>736923</v>
      </c>
      <c r="B2371" t="s">
        <v>1435</v>
      </c>
      <c r="C2371">
        <v>196</v>
      </c>
      <c r="D2371">
        <v>1.5230628938594699</v>
      </c>
      <c r="E2371">
        <v>298.52032719645598</v>
      </c>
      <c r="F2371">
        <v>0.95790226101350595</v>
      </c>
      <c r="G2371">
        <v>0.91087618975960305</v>
      </c>
      <c r="H2371" t="str">
        <f t="shared" ref="H2371:H2434" si="37">IF(C2371&gt;$J$2,
   IF(D2371&gt;$J$3,"Q1","Q2"),
   IF(D2371&gt;$J$3,"Q3","Q4"))</f>
        <v>Q2</v>
      </c>
    </row>
    <row r="2372" spans="1:8">
      <c r="A2372">
        <v>679287</v>
      </c>
      <c r="B2372" t="s">
        <v>4229</v>
      </c>
      <c r="C2372">
        <v>146</v>
      </c>
      <c r="D2372">
        <v>2.0428720549106201</v>
      </c>
      <c r="E2372">
        <v>298.25932001695003</v>
      </c>
      <c r="F2372">
        <v>0.94127384221812604</v>
      </c>
      <c r="G2372">
        <v>0.91083856890259995</v>
      </c>
      <c r="H2372" t="str">
        <f t="shared" si="37"/>
        <v>Q4</v>
      </c>
    </row>
    <row r="2373" spans="1:8">
      <c r="A2373">
        <v>835044</v>
      </c>
      <c r="B2373" t="s">
        <v>3098</v>
      </c>
      <c r="C2373">
        <v>27</v>
      </c>
      <c r="D2373">
        <v>11.0458253710358</v>
      </c>
      <c r="E2373">
        <v>298.237285017967</v>
      </c>
      <c r="F2373">
        <v>0.74312478838267904</v>
      </c>
      <c r="G2373">
        <v>0.91080094804559697</v>
      </c>
      <c r="H2373" t="str">
        <f t="shared" si="37"/>
        <v>Q3</v>
      </c>
    </row>
    <row r="2374" spans="1:8">
      <c r="A2374">
        <v>769573</v>
      </c>
      <c r="B2374" t="s">
        <v>4470</v>
      </c>
      <c r="C2374">
        <v>63</v>
      </c>
      <c r="D2374">
        <v>4.7327415396769803</v>
      </c>
      <c r="E2374">
        <v>298.16271699965</v>
      </c>
      <c r="F2374">
        <v>0.86445205221775001</v>
      </c>
      <c r="G2374">
        <v>0.91076332718859299</v>
      </c>
      <c r="H2374" t="str">
        <f t="shared" si="37"/>
        <v>Q4</v>
      </c>
    </row>
    <row r="2375" spans="1:8">
      <c r="A2375">
        <v>717477</v>
      </c>
      <c r="B2375" t="s">
        <v>4076</v>
      </c>
      <c r="C2375">
        <v>247</v>
      </c>
      <c r="D2375">
        <v>1.2067453362620799</v>
      </c>
      <c r="E2375">
        <v>298.06609805673401</v>
      </c>
      <c r="F2375">
        <v>0.96828561754636799</v>
      </c>
      <c r="G2375">
        <v>0.91072570633159</v>
      </c>
      <c r="H2375" t="str">
        <f t="shared" si="37"/>
        <v>Q2</v>
      </c>
    </row>
    <row r="2376" spans="1:8">
      <c r="A2376">
        <v>592986</v>
      </c>
      <c r="B2376" t="s">
        <v>1121</v>
      </c>
      <c r="C2376">
        <v>118</v>
      </c>
      <c r="D2376">
        <v>2.5254381161530399</v>
      </c>
      <c r="E2376">
        <v>298.00169770605902</v>
      </c>
      <c r="F2376">
        <v>0.92592453256085205</v>
      </c>
      <c r="G2376">
        <v>0.91068808547458702</v>
      </c>
      <c r="H2376" t="str">
        <f t="shared" si="37"/>
        <v>Q4</v>
      </c>
    </row>
    <row r="2377" spans="1:8">
      <c r="A2377">
        <v>761269</v>
      </c>
      <c r="B2377" t="s">
        <v>1643</v>
      </c>
      <c r="C2377">
        <v>186</v>
      </c>
      <c r="D2377">
        <v>1.6018953266984199</v>
      </c>
      <c r="E2377">
        <v>297.95253076590598</v>
      </c>
      <c r="F2377">
        <v>0.95541928445129998</v>
      </c>
      <c r="G2377">
        <v>0.91065046461758403</v>
      </c>
      <c r="H2377" t="str">
        <f t="shared" si="37"/>
        <v>Q2</v>
      </c>
    </row>
    <row r="2378" spans="1:8">
      <c r="A2378">
        <v>509210</v>
      </c>
      <c r="B2378" t="s">
        <v>406</v>
      </c>
      <c r="C2378">
        <v>118</v>
      </c>
      <c r="D2378">
        <v>2.5240878535087301</v>
      </c>
      <c r="E2378">
        <v>297.84236671403102</v>
      </c>
      <c r="F2378">
        <v>0.92592453256085205</v>
      </c>
      <c r="G2378">
        <v>0.91061284376058105</v>
      </c>
      <c r="H2378" t="str">
        <f t="shared" si="37"/>
        <v>Q4</v>
      </c>
    </row>
    <row r="2379" spans="1:8">
      <c r="A2379">
        <v>663588</v>
      </c>
      <c r="B2379" t="s">
        <v>3334</v>
      </c>
      <c r="C2379">
        <v>61</v>
      </c>
      <c r="D2379">
        <v>4.8819116851101203</v>
      </c>
      <c r="E2379">
        <v>297.796612791717</v>
      </c>
      <c r="F2379">
        <v>0.86035137880440904</v>
      </c>
      <c r="G2379">
        <v>0.91057522290357795</v>
      </c>
      <c r="H2379" t="str">
        <f t="shared" si="37"/>
        <v>Q4</v>
      </c>
    </row>
    <row r="2380" spans="1:8">
      <c r="A2380">
        <v>554450</v>
      </c>
      <c r="B2380" t="s">
        <v>2418</v>
      </c>
      <c r="C2380">
        <v>123</v>
      </c>
      <c r="D2380">
        <v>2.42022869396743</v>
      </c>
      <c r="E2380">
        <v>297.688129357994</v>
      </c>
      <c r="F2380">
        <v>0.92893420112110203</v>
      </c>
      <c r="G2380">
        <v>0.91053760204657497</v>
      </c>
      <c r="H2380" t="str">
        <f t="shared" si="37"/>
        <v>Q4</v>
      </c>
    </row>
    <row r="2381" spans="1:8">
      <c r="A2381">
        <v>355072</v>
      </c>
      <c r="B2381" t="s">
        <v>302</v>
      </c>
      <c r="C2381">
        <v>529</v>
      </c>
      <c r="D2381">
        <v>0.562734305865214</v>
      </c>
      <c r="E2381">
        <v>297.68644780269801</v>
      </c>
      <c r="F2381">
        <v>0.99006809375117599</v>
      </c>
      <c r="G2381">
        <v>0.91049998118957198</v>
      </c>
      <c r="H2381" t="str">
        <f t="shared" si="37"/>
        <v>Q2</v>
      </c>
    </row>
    <row r="2382" spans="1:8">
      <c r="A2382">
        <v>636784</v>
      </c>
      <c r="B2382" t="s">
        <v>304</v>
      </c>
      <c r="C2382">
        <v>110</v>
      </c>
      <c r="D2382">
        <v>2.6993682125413998</v>
      </c>
      <c r="E2382">
        <v>296.93050337955401</v>
      </c>
      <c r="F2382">
        <v>0.92001805801136105</v>
      </c>
      <c r="G2382">
        <v>0.910462360332568</v>
      </c>
      <c r="H2382" t="str">
        <f t="shared" si="37"/>
        <v>Q4</v>
      </c>
    </row>
    <row r="2383" spans="1:8">
      <c r="A2383">
        <v>806373</v>
      </c>
      <c r="B2383" t="s">
        <v>2536</v>
      </c>
      <c r="C2383">
        <v>113</v>
      </c>
      <c r="D2383">
        <v>2.6259036854206199</v>
      </c>
      <c r="E2383">
        <v>296.72711645253003</v>
      </c>
      <c r="F2383">
        <v>0.92257627628757399</v>
      </c>
      <c r="G2383">
        <v>0.91042473947556501</v>
      </c>
      <c r="H2383" t="str">
        <f t="shared" si="37"/>
        <v>Q4</v>
      </c>
    </row>
    <row r="2384" spans="1:8">
      <c r="A2384">
        <v>767925</v>
      </c>
      <c r="B2384" t="s">
        <v>1430</v>
      </c>
      <c r="C2384">
        <v>182</v>
      </c>
      <c r="D2384">
        <v>1.6300427750428499</v>
      </c>
      <c r="E2384">
        <v>296.66778505779803</v>
      </c>
      <c r="F2384">
        <v>0.95425303788420301</v>
      </c>
      <c r="G2384">
        <v>0.91038711861856203</v>
      </c>
      <c r="H2384" t="str">
        <f t="shared" si="37"/>
        <v>Q2</v>
      </c>
    </row>
    <row r="2385" spans="1:8">
      <c r="A2385">
        <v>708169</v>
      </c>
      <c r="B2385" t="s">
        <v>2504</v>
      </c>
      <c r="C2385">
        <v>53</v>
      </c>
      <c r="D2385">
        <v>5.5970898003510703</v>
      </c>
      <c r="E2385">
        <v>296.64575941860699</v>
      </c>
      <c r="F2385">
        <v>0.84218050487190099</v>
      </c>
      <c r="G2385">
        <v>0.91034949776155905</v>
      </c>
      <c r="H2385" t="str">
        <f t="shared" si="37"/>
        <v>Q3</v>
      </c>
    </row>
    <row r="2386" spans="1:8">
      <c r="A2386">
        <v>624251</v>
      </c>
      <c r="B2386" t="s">
        <v>1517</v>
      </c>
      <c r="C2386">
        <v>95</v>
      </c>
      <c r="D2386">
        <v>3.12223009667114</v>
      </c>
      <c r="E2386">
        <v>296.61185918375799</v>
      </c>
      <c r="F2386">
        <v>0.90760317520033096</v>
      </c>
      <c r="G2386">
        <v>0.91031187690455595</v>
      </c>
      <c r="H2386" t="str">
        <f t="shared" si="37"/>
        <v>Q4</v>
      </c>
    </row>
    <row r="2387" spans="1:8">
      <c r="A2387">
        <v>817280</v>
      </c>
      <c r="B2387" t="s">
        <v>209</v>
      </c>
      <c r="C2387">
        <v>91</v>
      </c>
      <c r="D2387">
        <v>3.2578691942515001</v>
      </c>
      <c r="E2387">
        <v>296.46609667688602</v>
      </c>
      <c r="F2387">
        <v>0.90350250178699099</v>
      </c>
      <c r="G2387">
        <v>0.91027425604755297</v>
      </c>
      <c r="H2387" t="str">
        <f t="shared" si="37"/>
        <v>Q4</v>
      </c>
    </row>
    <row r="2388" spans="1:8">
      <c r="A2388">
        <v>690506</v>
      </c>
      <c r="B2388" t="s">
        <v>3779</v>
      </c>
      <c r="C2388">
        <v>173</v>
      </c>
      <c r="D2388">
        <v>1.7127265601898001</v>
      </c>
      <c r="E2388">
        <v>296.30169491283601</v>
      </c>
      <c r="F2388">
        <v>0.95116812760994696</v>
      </c>
      <c r="G2388">
        <v>0.91023663519054998</v>
      </c>
      <c r="H2388" t="str">
        <f t="shared" si="37"/>
        <v>Q2</v>
      </c>
    </row>
    <row r="2389" spans="1:8">
      <c r="A2389">
        <v>825708</v>
      </c>
      <c r="B2389" t="s">
        <v>5191</v>
      </c>
      <c r="C2389">
        <v>53</v>
      </c>
      <c r="D2389">
        <v>5.5896387663933496</v>
      </c>
      <c r="E2389">
        <v>296.25085461884697</v>
      </c>
      <c r="F2389">
        <v>0.84218050487190099</v>
      </c>
      <c r="G2389">
        <v>0.910199014333547</v>
      </c>
      <c r="H2389" t="str">
        <f t="shared" si="37"/>
        <v>Q3</v>
      </c>
    </row>
    <row r="2390" spans="1:8">
      <c r="A2390">
        <v>710277</v>
      </c>
      <c r="B2390" t="e" cm="1">
        <f t="array" ref="B2390">+ Hampton Top</f>
        <v>#NAME?</v>
      </c>
      <c r="C2390">
        <v>63</v>
      </c>
      <c r="D2390">
        <v>4.7021523531940304</v>
      </c>
      <c r="E2390">
        <v>296.23559825122402</v>
      </c>
      <c r="F2390">
        <v>0.86445205221775001</v>
      </c>
      <c r="G2390">
        <v>0.91016139347654301</v>
      </c>
      <c r="H2390" t="str">
        <f t="shared" si="37"/>
        <v>Q4</v>
      </c>
    </row>
    <row r="2391" spans="1:8">
      <c r="A2391">
        <v>763156</v>
      </c>
      <c r="B2391" t="s">
        <v>602</v>
      </c>
      <c r="C2391">
        <v>90</v>
      </c>
      <c r="D2391">
        <v>3.2885310881667702</v>
      </c>
      <c r="E2391">
        <v>295.967797935009</v>
      </c>
      <c r="F2391">
        <v>0.90267484293292199</v>
      </c>
      <c r="G2391">
        <v>0.91012377261954003</v>
      </c>
      <c r="H2391" t="str">
        <f t="shared" si="37"/>
        <v>Q4</v>
      </c>
    </row>
    <row r="2392" spans="1:8">
      <c r="A2392">
        <v>792058</v>
      </c>
      <c r="B2392" t="s">
        <v>3636</v>
      </c>
      <c r="C2392">
        <v>82</v>
      </c>
      <c r="D2392">
        <v>3.6076684573256399</v>
      </c>
      <c r="E2392">
        <v>295.82881350070198</v>
      </c>
      <c r="F2392">
        <v>0.894323012678229</v>
      </c>
      <c r="G2392">
        <v>0.91008615176253704</v>
      </c>
      <c r="H2392" t="str">
        <f t="shared" si="37"/>
        <v>Q4</v>
      </c>
    </row>
    <row r="2393" spans="1:8">
      <c r="A2393">
        <v>733782</v>
      </c>
      <c r="B2393" t="s">
        <v>4262</v>
      </c>
      <c r="C2393">
        <v>234</v>
      </c>
      <c r="D2393">
        <v>1.2640880591944501</v>
      </c>
      <c r="E2393">
        <v>295.796605851501</v>
      </c>
      <c r="F2393">
        <v>0.96632933298220502</v>
      </c>
      <c r="G2393">
        <v>0.91004853090553395</v>
      </c>
      <c r="H2393" t="str">
        <f t="shared" si="37"/>
        <v>Q2</v>
      </c>
    </row>
    <row r="2394" spans="1:8">
      <c r="A2394">
        <v>560213</v>
      </c>
      <c r="B2394" t="s">
        <v>2860</v>
      </c>
      <c r="C2394">
        <v>132</v>
      </c>
      <c r="D2394">
        <v>2.2408320258061099</v>
      </c>
      <c r="E2394">
        <v>295.789827406406</v>
      </c>
      <c r="F2394">
        <v>0.93435160452955102</v>
      </c>
      <c r="G2394">
        <v>0.91001091004853096</v>
      </c>
      <c r="H2394" t="str">
        <f t="shared" si="37"/>
        <v>Q4</v>
      </c>
    </row>
    <row r="2395" spans="1:8">
      <c r="A2395">
        <v>751607</v>
      </c>
      <c r="B2395" t="s">
        <v>4272</v>
      </c>
      <c r="C2395">
        <v>49</v>
      </c>
      <c r="D2395">
        <v>6.0337599176837502</v>
      </c>
      <c r="E2395">
        <v>295.65423596650402</v>
      </c>
      <c r="F2395">
        <v>0.83258718633610496</v>
      </c>
      <c r="G2395">
        <v>0.90997328919152798</v>
      </c>
      <c r="H2395" t="str">
        <f t="shared" si="37"/>
        <v>Q3</v>
      </c>
    </row>
    <row r="2396" spans="1:8">
      <c r="A2396">
        <v>717676</v>
      </c>
      <c r="B2396" t="s">
        <v>3324</v>
      </c>
      <c r="C2396">
        <v>124</v>
      </c>
      <c r="D2396">
        <v>2.3839666395478201</v>
      </c>
      <c r="E2396">
        <v>295.61186330393002</v>
      </c>
      <c r="F2396">
        <v>0.92957375569015499</v>
      </c>
      <c r="G2396">
        <v>0.90993566833452499</v>
      </c>
      <c r="H2396" t="str">
        <f t="shared" si="37"/>
        <v>Q4</v>
      </c>
    </row>
    <row r="2397" spans="1:8">
      <c r="A2397">
        <v>807922</v>
      </c>
      <c r="B2397" t="s">
        <v>1890</v>
      </c>
      <c r="C2397">
        <v>60</v>
      </c>
      <c r="D2397">
        <v>4.9255650738875101</v>
      </c>
      <c r="E2397">
        <v>295.53390443324997</v>
      </c>
      <c r="F2397">
        <v>0.85805650652721899</v>
      </c>
      <c r="G2397">
        <v>0.90989804747752201</v>
      </c>
      <c r="H2397" t="str">
        <f t="shared" si="37"/>
        <v>Q3</v>
      </c>
    </row>
    <row r="2398" spans="1:8">
      <c r="A2398">
        <v>706509</v>
      </c>
      <c r="B2398" t="s">
        <v>5168</v>
      </c>
      <c r="C2398">
        <v>137</v>
      </c>
      <c r="D2398">
        <v>2.1571816468652099</v>
      </c>
      <c r="E2398">
        <v>295.53388562053402</v>
      </c>
      <c r="F2398">
        <v>0.93687220194875998</v>
      </c>
      <c r="G2398">
        <v>0.90986042662051803</v>
      </c>
      <c r="H2398" t="str">
        <f t="shared" si="37"/>
        <v>Q4</v>
      </c>
    </row>
    <row r="2399" spans="1:8">
      <c r="A2399">
        <v>772945</v>
      </c>
      <c r="B2399" t="s">
        <v>1549</v>
      </c>
      <c r="C2399">
        <v>52</v>
      </c>
      <c r="D2399">
        <v>5.6794981758754997</v>
      </c>
      <c r="E2399">
        <v>295.33390514552599</v>
      </c>
      <c r="F2399">
        <v>0.84003611602272299</v>
      </c>
      <c r="G2399">
        <v>0.90982280576351504</v>
      </c>
      <c r="H2399" t="str">
        <f t="shared" si="37"/>
        <v>Q3</v>
      </c>
    </row>
    <row r="2400" spans="1:8">
      <c r="A2400">
        <v>716005</v>
      </c>
      <c r="B2400" t="s">
        <v>2410</v>
      </c>
      <c r="C2400">
        <v>60</v>
      </c>
      <c r="D2400">
        <v>4.9197458600004502</v>
      </c>
      <c r="E2400">
        <v>295.18475160002703</v>
      </c>
      <c r="F2400">
        <v>0.85805650652721899</v>
      </c>
      <c r="G2400">
        <v>0.90978518490651195</v>
      </c>
      <c r="H2400" t="str">
        <f t="shared" si="37"/>
        <v>Q3</v>
      </c>
    </row>
    <row r="2401" spans="1:8">
      <c r="A2401">
        <v>717256</v>
      </c>
      <c r="B2401" t="s">
        <v>3215</v>
      </c>
      <c r="C2401">
        <v>140</v>
      </c>
      <c r="D2401">
        <v>2.10690063623978</v>
      </c>
      <c r="E2401">
        <v>294.96608907356898</v>
      </c>
      <c r="F2401">
        <v>0.93852751965689796</v>
      </c>
      <c r="G2401">
        <v>0.90974756404950896</v>
      </c>
      <c r="H2401" t="str">
        <f t="shared" si="37"/>
        <v>Q4</v>
      </c>
    </row>
    <row r="2402" spans="1:8">
      <c r="A2402">
        <v>696733</v>
      </c>
      <c r="B2402" t="s">
        <v>4172</v>
      </c>
      <c r="C2402">
        <v>59</v>
      </c>
      <c r="D2402">
        <v>4.9962080762548</v>
      </c>
      <c r="E2402">
        <v>294.77627649903297</v>
      </c>
      <c r="F2402">
        <v>0.85617546367706299</v>
      </c>
      <c r="G2402">
        <v>0.90970994319250598</v>
      </c>
      <c r="H2402" t="str">
        <f t="shared" si="37"/>
        <v>Q3</v>
      </c>
    </row>
    <row r="2403" spans="1:8">
      <c r="A2403">
        <v>828991</v>
      </c>
      <c r="B2403" t="s">
        <v>460</v>
      </c>
      <c r="C2403">
        <v>91</v>
      </c>
      <c r="D2403">
        <v>3.23769784031006</v>
      </c>
      <c r="E2403">
        <v>294.63050346821501</v>
      </c>
      <c r="F2403">
        <v>0.90350250178699099</v>
      </c>
      <c r="G2403">
        <v>0.90967232233550299</v>
      </c>
      <c r="H2403" t="str">
        <f t="shared" si="37"/>
        <v>Q4</v>
      </c>
    </row>
    <row r="2404" spans="1:8">
      <c r="A2404">
        <v>796806</v>
      </c>
      <c r="B2404" t="s">
        <v>962</v>
      </c>
      <c r="C2404">
        <v>144</v>
      </c>
      <c r="D2404">
        <v>2.0458450101109</v>
      </c>
      <c r="E2404">
        <v>294.60168145596998</v>
      </c>
      <c r="F2404">
        <v>0.94048380422106004</v>
      </c>
      <c r="G2404">
        <v>0.90963470147850001</v>
      </c>
      <c r="H2404" t="str">
        <f t="shared" si="37"/>
        <v>Q4</v>
      </c>
    </row>
    <row r="2405" spans="1:8">
      <c r="A2405">
        <v>700340</v>
      </c>
      <c r="B2405" t="s">
        <v>1838</v>
      </c>
      <c r="C2405">
        <v>173</v>
      </c>
      <c r="D2405">
        <v>1.70191045785915</v>
      </c>
      <c r="E2405">
        <v>294.43050920963299</v>
      </c>
      <c r="F2405">
        <v>0.95116812760994696</v>
      </c>
      <c r="G2405">
        <v>0.90959708062149702</v>
      </c>
      <c r="H2405" t="str">
        <f t="shared" si="37"/>
        <v>Q2</v>
      </c>
    </row>
    <row r="2406" spans="1:8">
      <c r="A2406">
        <v>783751</v>
      </c>
      <c r="B2406" t="s">
        <v>4535</v>
      </c>
      <c r="C2406">
        <v>74</v>
      </c>
      <c r="D2406">
        <v>3.9748282222127602</v>
      </c>
      <c r="E2406">
        <v>294.13728844374401</v>
      </c>
      <c r="F2406">
        <v>0.88307437643429498</v>
      </c>
      <c r="G2406">
        <v>0.90955945976449304</v>
      </c>
      <c r="H2406" t="str">
        <f t="shared" si="37"/>
        <v>Q4</v>
      </c>
    </row>
    <row r="2407" spans="1:8">
      <c r="A2407">
        <v>710611</v>
      </c>
      <c r="B2407" t="s">
        <v>3402</v>
      </c>
      <c r="C2407">
        <v>61</v>
      </c>
      <c r="D2407">
        <v>4.8214504892220296</v>
      </c>
      <c r="E2407">
        <v>294.108479842544</v>
      </c>
      <c r="F2407">
        <v>0.86035137880440904</v>
      </c>
      <c r="G2407">
        <v>0.90952183890749005</v>
      </c>
      <c r="H2407" t="str">
        <f t="shared" si="37"/>
        <v>Q4</v>
      </c>
    </row>
    <row r="2408" spans="1:8">
      <c r="A2408">
        <v>777756</v>
      </c>
      <c r="B2408" t="s">
        <v>1173</v>
      </c>
      <c r="C2408">
        <v>66</v>
      </c>
      <c r="D2408">
        <v>4.4540319337763599</v>
      </c>
      <c r="E2408">
        <v>293.96610762924001</v>
      </c>
      <c r="F2408">
        <v>0.86968135134118396</v>
      </c>
      <c r="G2408">
        <v>0.90948421805048696</v>
      </c>
      <c r="H2408" t="str">
        <f t="shared" si="37"/>
        <v>Q4</v>
      </c>
    </row>
    <row r="2409" spans="1:8">
      <c r="A2409">
        <v>827637</v>
      </c>
      <c r="B2409" t="s">
        <v>902</v>
      </c>
      <c r="C2409">
        <v>45</v>
      </c>
      <c r="D2409">
        <v>6.5189453545543898</v>
      </c>
      <c r="E2409">
        <v>293.35254095494702</v>
      </c>
      <c r="F2409">
        <v>0.82069899552311798</v>
      </c>
      <c r="G2409">
        <v>0.90944659719348397</v>
      </c>
      <c r="H2409" t="str">
        <f t="shared" si="37"/>
        <v>Q3</v>
      </c>
    </row>
    <row r="2410" spans="1:8">
      <c r="A2410">
        <v>754404</v>
      </c>
      <c r="B2410" t="s">
        <v>1300</v>
      </c>
      <c r="C2410">
        <v>119</v>
      </c>
      <c r="D2410">
        <v>2.4646489145312498</v>
      </c>
      <c r="E2410">
        <v>293.29322082921902</v>
      </c>
      <c r="F2410">
        <v>0.92667694970091397</v>
      </c>
      <c r="G2410">
        <v>0.90940897633648099</v>
      </c>
      <c r="H2410" t="str">
        <f t="shared" si="37"/>
        <v>Q4</v>
      </c>
    </row>
    <row r="2411" spans="1:8">
      <c r="A2411">
        <v>789326</v>
      </c>
      <c r="B2411" t="s">
        <v>3469</v>
      </c>
      <c r="C2411">
        <v>76</v>
      </c>
      <c r="D2411">
        <v>3.8588091008071101</v>
      </c>
      <c r="E2411">
        <v>293.26949166134</v>
      </c>
      <c r="F2411">
        <v>0.88612166585154795</v>
      </c>
      <c r="G2411">
        <v>0.90937135547947801</v>
      </c>
      <c r="H2411" t="str">
        <f t="shared" si="37"/>
        <v>Q4</v>
      </c>
    </row>
    <row r="2412" spans="1:8">
      <c r="A2412">
        <v>796137</v>
      </c>
      <c r="B2412" t="s">
        <v>3993</v>
      </c>
      <c r="C2412">
        <v>99</v>
      </c>
      <c r="D2412">
        <v>2.9615990403625698</v>
      </c>
      <c r="E2412">
        <v>293.19830499589398</v>
      </c>
      <c r="F2412">
        <v>0.91076332718859299</v>
      </c>
      <c r="G2412">
        <v>0.90933373462247502</v>
      </c>
      <c r="H2412" t="str">
        <f t="shared" si="37"/>
        <v>Q4</v>
      </c>
    </row>
    <row r="2413" spans="1:8">
      <c r="A2413">
        <v>714026</v>
      </c>
      <c r="B2413" t="s">
        <v>3018</v>
      </c>
      <c r="C2413">
        <v>60</v>
      </c>
      <c r="D2413">
        <v>4.8857063055038497</v>
      </c>
      <c r="E2413">
        <v>293.142378330231</v>
      </c>
      <c r="F2413">
        <v>0.85805650652721899</v>
      </c>
      <c r="G2413">
        <v>0.90929611376547204</v>
      </c>
      <c r="H2413" t="str">
        <f t="shared" si="37"/>
        <v>Q4</v>
      </c>
    </row>
    <row r="2414" spans="1:8">
      <c r="A2414">
        <v>787849</v>
      </c>
      <c r="B2414" t="s">
        <v>437</v>
      </c>
      <c r="C2414">
        <v>72</v>
      </c>
      <c r="D2414">
        <v>4.0714218488169998</v>
      </c>
      <c r="E2414">
        <v>293.14237311482401</v>
      </c>
      <c r="F2414">
        <v>0.87957563673300498</v>
      </c>
      <c r="G2414">
        <v>0.90925849290846805</v>
      </c>
      <c r="H2414" t="str">
        <f t="shared" si="37"/>
        <v>Q4</v>
      </c>
    </row>
    <row r="2415" spans="1:8">
      <c r="A2415">
        <v>766201</v>
      </c>
      <c r="B2415" t="s">
        <v>3739</v>
      </c>
      <c r="C2415">
        <v>122</v>
      </c>
      <c r="D2415">
        <v>2.4021533630849401</v>
      </c>
      <c r="E2415">
        <v>293.06271029636298</v>
      </c>
      <c r="F2415">
        <v>0.92855799255106997</v>
      </c>
      <c r="G2415">
        <v>0.90922087205146496</v>
      </c>
      <c r="H2415" t="str">
        <f t="shared" si="37"/>
        <v>Q4</v>
      </c>
    </row>
    <row r="2416" spans="1:8">
      <c r="A2416">
        <v>743840</v>
      </c>
      <c r="B2416" t="s">
        <v>3440</v>
      </c>
      <c r="C2416">
        <v>94</v>
      </c>
      <c r="D2416">
        <v>3.1158311837451902</v>
      </c>
      <c r="E2416">
        <v>292.88813127204799</v>
      </c>
      <c r="F2416">
        <v>0.906700274632256</v>
      </c>
      <c r="G2416">
        <v>0.90918325119446197</v>
      </c>
      <c r="H2416" t="str">
        <f t="shared" si="37"/>
        <v>Q4</v>
      </c>
    </row>
    <row r="2417" spans="1:8">
      <c r="A2417">
        <v>745186</v>
      </c>
      <c r="B2417" t="s">
        <v>3994</v>
      </c>
      <c r="C2417">
        <v>92</v>
      </c>
      <c r="D2417">
        <v>3.1829771150470401</v>
      </c>
      <c r="E2417">
        <v>292.83389458432799</v>
      </c>
      <c r="F2417">
        <v>0.90429253978405599</v>
      </c>
      <c r="G2417">
        <v>0.90914563033745899</v>
      </c>
      <c r="H2417" t="str">
        <f t="shared" si="37"/>
        <v>Q4</v>
      </c>
    </row>
    <row r="2418" spans="1:8">
      <c r="A2418">
        <v>783925</v>
      </c>
      <c r="B2418" t="s">
        <v>3953</v>
      </c>
      <c r="C2418">
        <v>62</v>
      </c>
      <c r="D2418">
        <v>4.7229908106307796</v>
      </c>
      <c r="E2418">
        <v>292.825430259109</v>
      </c>
      <c r="F2418">
        <v>0.86238290508257798</v>
      </c>
      <c r="G2418">
        <v>0.909108009480456</v>
      </c>
      <c r="H2418" t="str">
        <f t="shared" si="37"/>
        <v>Q4</v>
      </c>
    </row>
    <row r="2419" spans="1:8">
      <c r="A2419">
        <v>788093</v>
      </c>
      <c r="B2419" t="s">
        <v>873</v>
      </c>
      <c r="C2419">
        <v>130</v>
      </c>
      <c r="D2419">
        <v>2.2514341599666201</v>
      </c>
      <c r="E2419">
        <v>292.68644079566002</v>
      </c>
      <c r="F2419">
        <v>0.93307249539144499</v>
      </c>
      <c r="G2419">
        <v>0.90907038862345302</v>
      </c>
      <c r="H2419" t="str">
        <f t="shared" si="37"/>
        <v>Q4</v>
      </c>
    </row>
    <row r="2420" spans="1:8">
      <c r="A2420">
        <v>727880</v>
      </c>
      <c r="B2420" t="s">
        <v>3232</v>
      </c>
      <c r="C2420">
        <v>199</v>
      </c>
      <c r="D2420">
        <v>1.47041983799494</v>
      </c>
      <c r="E2420">
        <v>292.61354776099301</v>
      </c>
      <c r="F2420">
        <v>0.95872991986757505</v>
      </c>
      <c r="G2420">
        <v>0.90903276776645003</v>
      </c>
      <c r="H2420" t="str">
        <f t="shared" si="37"/>
        <v>Q2</v>
      </c>
    </row>
    <row r="2421" spans="1:8">
      <c r="A2421">
        <v>774106</v>
      </c>
      <c r="B2421" t="s">
        <v>1414</v>
      </c>
      <c r="C2421">
        <v>92</v>
      </c>
      <c r="D2421">
        <v>3.1797530979889901</v>
      </c>
      <c r="E2421">
        <v>292.53728501498699</v>
      </c>
      <c r="F2421">
        <v>0.90429253978405599</v>
      </c>
      <c r="G2421">
        <v>0.90899514690944705</v>
      </c>
      <c r="H2421" t="str">
        <f t="shared" si="37"/>
        <v>Q4</v>
      </c>
    </row>
    <row r="2422" spans="1:8">
      <c r="A2422">
        <v>556527</v>
      </c>
      <c r="B2422" t="s">
        <v>4486</v>
      </c>
      <c r="C2422">
        <v>78</v>
      </c>
      <c r="D2422">
        <v>3.7474576742030101</v>
      </c>
      <c r="E2422">
        <v>292.30169858783501</v>
      </c>
      <c r="F2422">
        <v>0.88867988412776</v>
      </c>
      <c r="G2422">
        <v>0.90895752605244395</v>
      </c>
      <c r="H2422" t="str">
        <f t="shared" si="37"/>
        <v>Q4</v>
      </c>
    </row>
    <row r="2423" spans="1:8">
      <c r="A2423">
        <v>733696</v>
      </c>
      <c r="B2423" t="s">
        <v>3699</v>
      </c>
      <c r="C2423">
        <v>33</v>
      </c>
      <c r="D2423">
        <v>8.8537238199602495</v>
      </c>
      <c r="E2423">
        <v>292.17288605868799</v>
      </c>
      <c r="F2423">
        <v>0.77551634626236798</v>
      </c>
      <c r="G2423">
        <v>0.90891990519543997</v>
      </c>
      <c r="H2423" t="str">
        <f t="shared" si="37"/>
        <v>Q3</v>
      </c>
    </row>
    <row r="2424" spans="1:8">
      <c r="A2424">
        <v>696410</v>
      </c>
      <c r="B2424" t="s">
        <v>290</v>
      </c>
      <c r="C2424">
        <v>110</v>
      </c>
      <c r="D2424">
        <v>2.6517103066329302</v>
      </c>
      <c r="E2424">
        <v>291.688133729622</v>
      </c>
      <c r="F2424">
        <v>0.92001805801136105</v>
      </c>
      <c r="G2424">
        <v>0.90888228433843699</v>
      </c>
      <c r="H2424" t="str">
        <f t="shared" si="37"/>
        <v>Q4</v>
      </c>
    </row>
    <row r="2425" spans="1:8">
      <c r="A2425">
        <v>735550</v>
      </c>
      <c r="B2425" t="s">
        <v>1818</v>
      </c>
      <c r="C2425">
        <v>276</v>
      </c>
      <c r="D2425">
        <v>1.05590148056196</v>
      </c>
      <c r="E2425">
        <v>291.42880863510101</v>
      </c>
      <c r="F2425">
        <v>0.97272487867273605</v>
      </c>
      <c r="G2425">
        <v>0.908844663481434</v>
      </c>
      <c r="H2425" t="str">
        <f t="shared" si="37"/>
        <v>Q2</v>
      </c>
    </row>
    <row r="2426" spans="1:8">
      <c r="A2426">
        <v>768085</v>
      </c>
      <c r="B2426" t="s">
        <v>1683</v>
      </c>
      <c r="C2426">
        <v>64</v>
      </c>
      <c r="D2426">
        <v>4.5532574833487196</v>
      </c>
      <c r="E2426">
        <v>291.408478934318</v>
      </c>
      <c r="F2426">
        <v>0.86633309506790601</v>
      </c>
      <c r="G2426">
        <v>0.90880704262443102</v>
      </c>
      <c r="H2426" t="str">
        <f t="shared" si="37"/>
        <v>Q4</v>
      </c>
    </row>
    <row r="2427" spans="1:8">
      <c r="A2427">
        <v>787164</v>
      </c>
      <c r="B2427" t="s">
        <v>3766</v>
      </c>
      <c r="C2427">
        <v>37</v>
      </c>
      <c r="D2427">
        <v>7.8742556475304299</v>
      </c>
      <c r="E2427">
        <v>291.34745895862602</v>
      </c>
      <c r="F2427">
        <v>0.79304766562582296</v>
      </c>
      <c r="G2427">
        <v>0.90876942176742803</v>
      </c>
      <c r="H2427" t="str">
        <f t="shared" si="37"/>
        <v>Q3</v>
      </c>
    </row>
    <row r="2428" spans="1:8">
      <c r="A2428">
        <v>721997</v>
      </c>
      <c r="B2428" t="s">
        <v>1068</v>
      </c>
      <c r="C2428">
        <v>92</v>
      </c>
      <c r="D2428">
        <v>3.16635957797584</v>
      </c>
      <c r="E2428">
        <v>291.30508117377798</v>
      </c>
      <c r="F2428">
        <v>0.90429253978405599</v>
      </c>
      <c r="G2428">
        <v>0.90873180091042505</v>
      </c>
      <c r="H2428" t="str">
        <f t="shared" si="37"/>
        <v>Q4</v>
      </c>
    </row>
    <row r="2429" spans="1:8">
      <c r="A2429">
        <v>789377</v>
      </c>
      <c r="B2429" t="s">
        <v>4296</v>
      </c>
      <c r="C2429">
        <v>25</v>
      </c>
      <c r="D2429">
        <v>11.647525280714</v>
      </c>
      <c r="E2429">
        <v>291.18813201785099</v>
      </c>
      <c r="F2429">
        <v>0.72991986757458305</v>
      </c>
      <c r="G2429">
        <v>0.90869418005342195</v>
      </c>
      <c r="H2429" t="str">
        <f t="shared" si="37"/>
        <v>Q3</v>
      </c>
    </row>
    <row r="2430" spans="1:8">
      <c r="A2430">
        <v>502186</v>
      </c>
      <c r="B2430" t="s">
        <v>4971</v>
      </c>
      <c r="C2430">
        <v>138</v>
      </c>
      <c r="D2430">
        <v>2.10912549004391</v>
      </c>
      <c r="E2430">
        <v>291.059317626059</v>
      </c>
      <c r="F2430">
        <v>0.93747413566080995</v>
      </c>
      <c r="G2430">
        <v>0.90865655919641897</v>
      </c>
      <c r="H2430" t="str">
        <f t="shared" si="37"/>
        <v>Q4</v>
      </c>
    </row>
    <row r="2431" spans="1:8">
      <c r="A2431">
        <v>679525</v>
      </c>
      <c r="B2431" t="s">
        <v>371</v>
      </c>
      <c r="C2431">
        <v>67</v>
      </c>
      <c r="D2431">
        <v>4.3440172685059997</v>
      </c>
      <c r="E2431">
        <v>291.04915698990197</v>
      </c>
      <c r="F2431">
        <v>0.87118618562130801</v>
      </c>
      <c r="G2431">
        <v>0.90861893833941498</v>
      </c>
      <c r="H2431" t="str">
        <f t="shared" si="37"/>
        <v>Q4</v>
      </c>
    </row>
    <row r="2432" spans="1:8">
      <c r="A2432">
        <v>597918</v>
      </c>
      <c r="B2432" t="s">
        <v>4745</v>
      </c>
      <c r="C2432">
        <v>133</v>
      </c>
      <c r="D2432">
        <v>2.1872562615382898</v>
      </c>
      <c r="E2432">
        <v>290.90508278459299</v>
      </c>
      <c r="F2432">
        <v>0.93476543395658596</v>
      </c>
      <c r="G2432">
        <v>0.908581317482412</v>
      </c>
      <c r="H2432" t="str">
        <f t="shared" si="37"/>
        <v>Q4</v>
      </c>
    </row>
    <row r="2433" spans="1:8">
      <c r="A2433">
        <v>716548</v>
      </c>
      <c r="B2433" t="s">
        <v>737</v>
      </c>
      <c r="C2433">
        <v>107</v>
      </c>
      <c r="D2433">
        <v>2.7175352377730002</v>
      </c>
      <c r="E2433">
        <v>290.77627044171101</v>
      </c>
      <c r="F2433">
        <v>0.91791129001918703</v>
      </c>
      <c r="G2433">
        <v>0.90854369662540901</v>
      </c>
      <c r="H2433" t="str">
        <f t="shared" si="37"/>
        <v>Q4</v>
      </c>
    </row>
    <row r="2434" spans="1:8">
      <c r="A2434">
        <v>733424</v>
      </c>
      <c r="B2434" t="s">
        <v>1936</v>
      </c>
      <c r="C2434">
        <v>79</v>
      </c>
      <c r="D2434">
        <v>3.6806050699817199</v>
      </c>
      <c r="E2434">
        <v>290.76780052855599</v>
      </c>
      <c r="F2434">
        <v>0.89022233926488803</v>
      </c>
      <c r="G2434">
        <v>0.90850607576840603</v>
      </c>
      <c r="H2434" t="str">
        <f t="shared" si="37"/>
        <v>Q4</v>
      </c>
    </row>
    <row r="2435" spans="1:8">
      <c r="A2435">
        <v>771602</v>
      </c>
      <c r="B2435" t="s">
        <v>2168</v>
      </c>
      <c r="C2435">
        <v>61</v>
      </c>
      <c r="D2435">
        <v>4.7662407190340499</v>
      </c>
      <c r="E2435">
        <v>290.740683861077</v>
      </c>
      <c r="F2435">
        <v>0.86035137880440904</v>
      </c>
      <c r="G2435">
        <v>0.90846845491140304</v>
      </c>
      <c r="H2435" t="str">
        <f t="shared" ref="H2435:H2498" si="38">IF(C2435&gt;$J$2,
   IF(D2435&gt;$J$3,"Q1","Q2"),
   IF(D2435&gt;$J$3,"Q3","Q4"))</f>
        <v>Q4</v>
      </c>
    </row>
    <row r="2436" spans="1:8">
      <c r="A2436">
        <v>179208</v>
      </c>
      <c r="B2436" t="s">
        <v>1111</v>
      </c>
      <c r="C2436">
        <v>225</v>
      </c>
      <c r="D2436">
        <v>1.2921732412651199</v>
      </c>
      <c r="E2436">
        <v>290.73897928465198</v>
      </c>
      <c r="F2436">
        <v>0.96467401527406804</v>
      </c>
      <c r="G2436">
        <v>0.90843083405439995</v>
      </c>
      <c r="H2436" t="str">
        <f t="shared" si="38"/>
        <v>Q2</v>
      </c>
    </row>
    <row r="2437" spans="1:8">
      <c r="A2437">
        <v>759909</v>
      </c>
      <c r="B2437" t="s">
        <v>1040</v>
      </c>
      <c r="C2437">
        <v>112</v>
      </c>
      <c r="D2437">
        <v>2.5942947499321001</v>
      </c>
      <c r="E2437">
        <v>290.56101199239498</v>
      </c>
      <c r="F2437">
        <v>0.92156051314848997</v>
      </c>
      <c r="G2437">
        <v>0.90839321319739696</v>
      </c>
      <c r="H2437" t="str">
        <f t="shared" si="38"/>
        <v>Q4</v>
      </c>
    </row>
    <row r="2438" spans="1:8">
      <c r="A2438">
        <v>654410</v>
      </c>
      <c r="B2438" t="s">
        <v>3357</v>
      </c>
      <c r="C2438">
        <v>120</v>
      </c>
      <c r="D2438">
        <v>2.4195904020840899</v>
      </c>
      <c r="E2438">
        <v>290.35084825009102</v>
      </c>
      <c r="F2438">
        <v>0.92731650426996703</v>
      </c>
      <c r="G2438">
        <v>0.90835559234039398</v>
      </c>
      <c r="H2438" t="str">
        <f t="shared" si="38"/>
        <v>Q4</v>
      </c>
    </row>
    <row r="2439" spans="1:8">
      <c r="A2439">
        <v>690491</v>
      </c>
      <c r="B2439" t="s">
        <v>2983</v>
      </c>
      <c r="C2439">
        <v>16</v>
      </c>
      <c r="D2439">
        <v>18.140678014606198</v>
      </c>
      <c r="E2439">
        <v>290.25084823370003</v>
      </c>
      <c r="F2439">
        <v>0.64756781159474797</v>
      </c>
      <c r="G2439">
        <v>0.90831797148339</v>
      </c>
      <c r="H2439" t="str">
        <f t="shared" si="38"/>
        <v>Q3</v>
      </c>
    </row>
    <row r="2440" spans="1:8">
      <c r="A2440">
        <v>678558</v>
      </c>
      <c r="B2440" t="s">
        <v>515</v>
      </c>
      <c r="C2440">
        <v>71</v>
      </c>
      <c r="D2440">
        <v>4.08804010547383</v>
      </c>
      <c r="E2440">
        <v>290.25084748864202</v>
      </c>
      <c r="F2440">
        <v>0.87799556073887397</v>
      </c>
      <c r="G2440">
        <v>0.90828035062638701</v>
      </c>
      <c r="H2440" t="str">
        <f t="shared" si="38"/>
        <v>Q4</v>
      </c>
    </row>
    <row r="2441" spans="1:8">
      <c r="A2441">
        <v>622745</v>
      </c>
      <c r="B2441" t="s">
        <v>4575</v>
      </c>
      <c r="C2441">
        <v>79</v>
      </c>
      <c r="D2441">
        <v>3.67251665484679</v>
      </c>
      <c r="E2441">
        <v>290.12881573289599</v>
      </c>
      <c r="F2441">
        <v>0.89022233926488803</v>
      </c>
      <c r="G2441">
        <v>0.90824272976938403</v>
      </c>
      <c r="H2441" t="str">
        <f t="shared" si="38"/>
        <v>Q4</v>
      </c>
    </row>
    <row r="2442" spans="1:8">
      <c r="A2442">
        <v>806516</v>
      </c>
      <c r="B2442" t="s">
        <v>3341</v>
      </c>
      <c r="C2442">
        <v>30</v>
      </c>
      <c r="D2442">
        <v>9.6696047484874708</v>
      </c>
      <c r="E2442">
        <v>290.08814245462401</v>
      </c>
      <c r="F2442">
        <v>0.760430382604116</v>
      </c>
      <c r="G2442">
        <v>0.90820510891238104</v>
      </c>
      <c r="H2442" t="str">
        <f t="shared" si="38"/>
        <v>Q3</v>
      </c>
    </row>
    <row r="2443" spans="1:8">
      <c r="A2443">
        <v>796806</v>
      </c>
      <c r="B2443" t="s">
        <v>963</v>
      </c>
      <c r="C2443">
        <v>143</v>
      </c>
      <c r="D2443">
        <v>2.02716597505695</v>
      </c>
      <c r="E2443">
        <v>289.88473443314399</v>
      </c>
      <c r="F2443">
        <v>0.940032353937023</v>
      </c>
      <c r="G2443">
        <v>0.90816748805537795</v>
      </c>
      <c r="H2443" t="str">
        <f t="shared" si="38"/>
        <v>Q4</v>
      </c>
    </row>
    <row r="2444" spans="1:8">
      <c r="A2444">
        <v>589440</v>
      </c>
      <c r="B2444" t="s">
        <v>5026</v>
      </c>
      <c r="C2444">
        <v>64</v>
      </c>
      <c r="D2444">
        <v>4.52913140761666</v>
      </c>
      <c r="E2444">
        <v>289.86441008746601</v>
      </c>
      <c r="F2444">
        <v>0.86633309506790601</v>
      </c>
      <c r="G2444">
        <v>0.90812986719837496</v>
      </c>
      <c r="H2444" t="str">
        <f t="shared" si="38"/>
        <v>Q4</v>
      </c>
    </row>
    <row r="2445" spans="1:8">
      <c r="A2445">
        <v>721135</v>
      </c>
      <c r="B2445" t="s">
        <v>4622</v>
      </c>
      <c r="C2445">
        <v>86</v>
      </c>
      <c r="D2445">
        <v>3.36925500765616</v>
      </c>
      <c r="E2445">
        <v>289.75593065842997</v>
      </c>
      <c r="F2445">
        <v>0.89864941123358799</v>
      </c>
      <c r="G2445">
        <v>0.90809224634137198</v>
      </c>
      <c r="H2445" t="str">
        <f t="shared" si="38"/>
        <v>Q4</v>
      </c>
    </row>
    <row r="2446" spans="1:8">
      <c r="A2446">
        <v>742794</v>
      </c>
      <c r="B2446" t="s">
        <v>835</v>
      </c>
      <c r="C2446">
        <v>101</v>
      </c>
      <c r="D2446">
        <v>2.8674441887674398</v>
      </c>
      <c r="E2446">
        <v>289.61186306551099</v>
      </c>
      <c r="F2446">
        <v>0.91245626575373395</v>
      </c>
      <c r="G2446">
        <v>0.90805462548436899</v>
      </c>
      <c r="H2446" t="str">
        <f t="shared" si="38"/>
        <v>Q4</v>
      </c>
    </row>
    <row r="2447" spans="1:8">
      <c r="A2447">
        <v>572400</v>
      </c>
      <c r="B2447" t="s">
        <v>4806</v>
      </c>
      <c r="C2447">
        <v>125</v>
      </c>
      <c r="D2447">
        <v>2.31568808555603</v>
      </c>
      <c r="E2447">
        <v>289.46101069450401</v>
      </c>
      <c r="F2447">
        <v>0.93028855197321403</v>
      </c>
      <c r="G2447">
        <v>0.90801700462736501</v>
      </c>
      <c r="H2447" t="str">
        <f t="shared" si="38"/>
        <v>Q4</v>
      </c>
    </row>
    <row r="2448" spans="1:8">
      <c r="A2448">
        <v>816375</v>
      </c>
      <c r="B2448" t="s">
        <v>3134</v>
      </c>
      <c r="C2448">
        <v>46</v>
      </c>
      <c r="D2448">
        <v>6.2921517164163001</v>
      </c>
      <c r="E2448">
        <v>289.43897895514999</v>
      </c>
      <c r="F2448">
        <v>0.82378390579737404</v>
      </c>
      <c r="G2448">
        <v>0.90797938377036203</v>
      </c>
      <c r="H2448" t="str">
        <f t="shared" si="38"/>
        <v>Q3</v>
      </c>
    </row>
    <row r="2449" spans="1:8">
      <c r="A2449">
        <v>764568</v>
      </c>
      <c r="B2449" t="s">
        <v>4152</v>
      </c>
      <c r="C2449">
        <v>60</v>
      </c>
      <c r="D2449">
        <v>4.8235876671969899</v>
      </c>
      <c r="E2449">
        <v>289.415260031819</v>
      </c>
      <c r="F2449">
        <v>0.85805650652721899</v>
      </c>
      <c r="G2449">
        <v>0.90794176291335904</v>
      </c>
      <c r="H2449" t="str">
        <f t="shared" si="38"/>
        <v>Q4</v>
      </c>
    </row>
    <row r="2450" spans="1:8">
      <c r="A2450">
        <v>701792</v>
      </c>
      <c r="B2450" t="s">
        <v>4142</v>
      </c>
      <c r="C2450">
        <v>91</v>
      </c>
      <c r="D2450">
        <v>3.1775935317625099</v>
      </c>
      <c r="E2450">
        <v>289.16101139038801</v>
      </c>
      <c r="F2450">
        <v>0.90350250178699099</v>
      </c>
      <c r="G2450">
        <v>0.90790414205635595</v>
      </c>
      <c r="H2450" t="str">
        <f t="shared" si="38"/>
        <v>Q4</v>
      </c>
    </row>
    <row r="2451" spans="1:8">
      <c r="A2451">
        <v>740330</v>
      </c>
      <c r="B2451" t="s">
        <v>1041</v>
      </c>
      <c r="C2451">
        <v>39</v>
      </c>
      <c r="D2451">
        <v>7.4082135294492399</v>
      </c>
      <c r="E2451">
        <v>288.92032764852001</v>
      </c>
      <c r="F2451">
        <v>0.80087280388247195</v>
      </c>
      <c r="G2451">
        <v>0.90786652119935296</v>
      </c>
      <c r="H2451" t="str">
        <f t="shared" si="38"/>
        <v>Q3</v>
      </c>
    </row>
    <row r="2452" spans="1:8">
      <c r="A2452">
        <v>784722</v>
      </c>
      <c r="B2452" t="s">
        <v>829</v>
      </c>
      <c r="C2452">
        <v>71</v>
      </c>
      <c r="D2452">
        <v>4.0690141270907798</v>
      </c>
      <c r="E2452">
        <v>288.900003023446</v>
      </c>
      <c r="F2452">
        <v>0.87799556073887397</v>
      </c>
      <c r="G2452">
        <v>0.90782890034234998</v>
      </c>
      <c r="H2452" t="str">
        <f t="shared" si="38"/>
        <v>Q4</v>
      </c>
    </row>
    <row r="2453" spans="1:8">
      <c r="A2453">
        <v>708868</v>
      </c>
      <c r="B2453" t="s">
        <v>4191</v>
      </c>
      <c r="C2453">
        <v>63</v>
      </c>
      <c r="D2453">
        <v>4.5830508294914498</v>
      </c>
      <c r="E2453">
        <v>288.73220225796098</v>
      </c>
      <c r="F2453">
        <v>0.86445205221775001</v>
      </c>
      <c r="G2453">
        <v>0.90779127948534699</v>
      </c>
      <c r="H2453" t="str">
        <f t="shared" si="38"/>
        <v>Q4</v>
      </c>
    </row>
    <row r="2454" spans="1:8">
      <c r="A2454">
        <v>661806</v>
      </c>
      <c r="B2454" t="s">
        <v>2659</v>
      </c>
      <c r="C2454">
        <v>73</v>
      </c>
      <c r="D2454">
        <v>3.9540051597438399</v>
      </c>
      <c r="E2454">
        <v>288.642376661301</v>
      </c>
      <c r="F2454">
        <v>0.88111809187013301</v>
      </c>
      <c r="G2454">
        <v>0.90775365862834401</v>
      </c>
      <c r="H2454" t="str">
        <f t="shared" si="38"/>
        <v>Q4</v>
      </c>
    </row>
    <row r="2455" spans="1:8">
      <c r="A2455">
        <v>740803</v>
      </c>
      <c r="B2455" t="s">
        <v>3676</v>
      </c>
      <c r="C2455">
        <v>77</v>
      </c>
      <c r="D2455">
        <v>3.7484701747050502</v>
      </c>
      <c r="E2455">
        <v>288.63220345228899</v>
      </c>
      <c r="F2455">
        <v>0.88740077498965397</v>
      </c>
      <c r="G2455">
        <v>0.90771603777134002</v>
      </c>
      <c r="H2455" t="str">
        <f t="shared" si="38"/>
        <v>Q4</v>
      </c>
    </row>
    <row r="2456" spans="1:8">
      <c r="A2456">
        <v>803990</v>
      </c>
      <c r="B2456" t="s">
        <v>3655</v>
      </c>
      <c r="C2456">
        <v>53</v>
      </c>
      <c r="D2456">
        <v>5.4427247564747603</v>
      </c>
      <c r="E2456">
        <v>288.46441209316299</v>
      </c>
      <c r="F2456">
        <v>0.84218050487190099</v>
      </c>
      <c r="G2456">
        <v>0.90767841691433704</v>
      </c>
      <c r="H2456" t="str">
        <f t="shared" si="38"/>
        <v>Q3</v>
      </c>
    </row>
    <row r="2457" spans="1:8">
      <c r="A2457">
        <v>765535</v>
      </c>
      <c r="B2457" t="s">
        <v>1171</v>
      </c>
      <c r="C2457">
        <v>87</v>
      </c>
      <c r="D2457">
        <v>3.3153515822928501</v>
      </c>
      <c r="E2457">
        <v>288.43558765947802</v>
      </c>
      <c r="F2457">
        <v>0.89955231180166295</v>
      </c>
      <c r="G2457">
        <v>0.90764079605733405</v>
      </c>
      <c r="H2457" t="str">
        <f t="shared" si="38"/>
        <v>Q4</v>
      </c>
    </row>
    <row r="2458" spans="1:8">
      <c r="A2458">
        <v>578630</v>
      </c>
      <c r="B2458" t="s">
        <v>4147</v>
      </c>
      <c r="C2458">
        <v>89</v>
      </c>
      <c r="D2458">
        <v>3.2402589477682402</v>
      </c>
      <c r="E2458">
        <v>288.38304635137303</v>
      </c>
      <c r="F2458">
        <v>0.90135811293781298</v>
      </c>
      <c r="G2458">
        <v>0.90760317520033096</v>
      </c>
      <c r="H2458" t="str">
        <f t="shared" si="38"/>
        <v>Q4</v>
      </c>
    </row>
    <row r="2459" spans="1:8">
      <c r="A2459">
        <v>711464</v>
      </c>
      <c r="B2459" t="s">
        <v>1584</v>
      </c>
      <c r="C2459">
        <v>131</v>
      </c>
      <c r="D2459">
        <v>2.2010997591810399</v>
      </c>
      <c r="E2459">
        <v>288.34406845271599</v>
      </c>
      <c r="F2459">
        <v>0.93374967081750104</v>
      </c>
      <c r="G2459">
        <v>0.90756555434332797</v>
      </c>
      <c r="H2459" t="str">
        <f t="shared" si="38"/>
        <v>Q4</v>
      </c>
    </row>
    <row r="2460" spans="1:8">
      <c r="A2460">
        <v>474461</v>
      </c>
      <c r="B2460" t="s">
        <v>1670</v>
      </c>
      <c r="C2460">
        <v>126</v>
      </c>
      <c r="D2460">
        <v>2.2878665554647601</v>
      </c>
      <c r="E2460">
        <v>288.27118598855998</v>
      </c>
      <c r="F2460">
        <v>0.93096572739926997</v>
      </c>
      <c r="G2460">
        <v>0.90752793348632499</v>
      </c>
      <c r="H2460" t="str">
        <f t="shared" si="38"/>
        <v>Q4</v>
      </c>
    </row>
    <row r="2461" spans="1:8">
      <c r="A2461">
        <v>819866</v>
      </c>
      <c r="B2461" t="s">
        <v>2493</v>
      </c>
      <c r="C2461">
        <v>92</v>
      </c>
      <c r="D2461">
        <v>3.1327191750397501</v>
      </c>
      <c r="E2461">
        <v>288.21016410365701</v>
      </c>
      <c r="F2461">
        <v>0.90429253978405599</v>
      </c>
      <c r="G2461">
        <v>0.907490312629322</v>
      </c>
      <c r="H2461" t="str">
        <f t="shared" si="38"/>
        <v>Q4</v>
      </c>
    </row>
    <row r="2462" spans="1:8">
      <c r="A2462">
        <v>701078</v>
      </c>
      <c r="B2462" t="s">
        <v>2051</v>
      </c>
      <c r="C2462">
        <v>180</v>
      </c>
      <c r="D2462">
        <v>1.6004801598481</v>
      </c>
      <c r="E2462">
        <v>288.086428772658</v>
      </c>
      <c r="F2462">
        <v>0.95346299988713701</v>
      </c>
      <c r="G2462">
        <v>0.90745269177231902</v>
      </c>
      <c r="H2462" t="str">
        <f t="shared" si="38"/>
        <v>Q2</v>
      </c>
    </row>
    <row r="2463" spans="1:8">
      <c r="A2463">
        <v>744437</v>
      </c>
      <c r="B2463" t="s">
        <v>1692</v>
      </c>
      <c r="C2463">
        <v>72</v>
      </c>
      <c r="D2463">
        <v>3.99816384694229</v>
      </c>
      <c r="E2463">
        <v>287.86779697984502</v>
      </c>
      <c r="F2463">
        <v>0.87957563673300498</v>
      </c>
      <c r="G2463">
        <v>0.90741507091531504</v>
      </c>
      <c r="H2463" t="str">
        <f t="shared" si="38"/>
        <v>Q4</v>
      </c>
    </row>
    <row r="2464" spans="1:8">
      <c r="A2464">
        <v>782797</v>
      </c>
      <c r="B2464" t="s">
        <v>1245</v>
      </c>
      <c r="C2464">
        <v>45</v>
      </c>
      <c r="D2464">
        <v>6.3917136813203497</v>
      </c>
      <c r="E2464">
        <v>287.62711565941601</v>
      </c>
      <c r="F2464">
        <v>0.82069899552311798</v>
      </c>
      <c r="G2464">
        <v>0.90737745005831205</v>
      </c>
      <c r="H2464" t="str">
        <f t="shared" si="38"/>
        <v>Q3</v>
      </c>
    </row>
    <row r="2465" spans="1:8">
      <c r="A2465">
        <v>767775</v>
      </c>
      <c r="B2465" t="s">
        <v>1262</v>
      </c>
      <c r="C2465">
        <v>90</v>
      </c>
      <c r="D2465">
        <v>3.1950281829469702</v>
      </c>
      <c r="E2465">
        <v>287.552536465228</v>
      </c>
      <c r="F2465">
        <v>0.90267484293292199</v>
      </c>
      <c r="G2465">
        <v>0.90733982920130896</v>
      </c>
      <c r="H2465" t="str">
        <f t="shared" si="38"/>
        <v>Q4</v>
      </c>
    </row>
    <row r="2466" spans="1:8">
      <c r="A2466">
        <v>662888</v>
      </c>
      <c r="B2466" t="s">
        <v>3256</v>
      </c>
      <c r="C2466">
        <v>118</v>
      </c>
      <c r="D2466">
        <v>2.4367135799474098</v>
      </c>
      <c r="E2466">
        <v>287.53220243379502</v>
      </c>
      <c r="F2466">
        <v>0.92592453256085205</v>
      </c>
      <c r="G2466">
        <v>0.90730220834430597</v>
      </c>
      <c r="H2466" t="str">
        <f t="shared" si="38"/>
        <v>Q4</v>
      </c>
    </row>
    <row r="2467" spans="1:8">
      <c r="A2467">
        <v>634825</v>
      </c>
      <c r="B2467" t="s">
        <v>2020</v>
      </c>
      <c r="C2467">
        <v>25</v>
      </c>
      <c r="D2467">
        <v>11.501017257571201</v>
      </c>
      <c r="E2467">
        <v>287.52543143928102</v>
      </c>
      <c r="F2467">
        <v>0.72991986757458305</v>
      </c>
      <c r="G2467">
        <v>0.90726458748730299</v>
      </c>
      <c r="H2467" t="str">
        <f t="shared" si="38"/>
        <v>Q3</v>
      </c>
    </row>
    <row r="2468" spans="1:8">
      <c r="A2468">
        <v>701030</v>
      </c>
      <c r="B2468" t="s">
        <v>4345</v>
      </c>
      <c r="C2468">
        <v>59</v>
      </c>
      <c r="D2468">
        <v>4.87247925188582</v>
      </c>
      <c r="E2468">
        <v>287.47627586126299</v>
      </c>
      <c r="F2468">
        <v>0.85617546367706299</v>
      </c>
      <c r="G2468">
        <v>0.9072269666303</v>
      </c>
      <c r="H2468" t="str">
        <f t="shared" si="38"/>
        <v>Q4</v>
      </c>
    </row>
    <row r="2469" spans="1:8">
      <c r="A2469">
        <v>780807</v>
      </c>
      <c r="B2469" t="s">
        <v>2800</v>
      </c>
      <c r="C2469">
        <v>59</v>
      </c>
      <c r="D2469">
        <v>4.8711003325248203</v>
      </c>
      <c r="E2469">
        <v>287.39491961896402</v>
      </c>
      <c r="F2469">
        <v>0.85617546367706299</v>
      </c>
      <c r="G2469">
        <v>0.90718934577329702</v>
      </c>
      <c r="H2469" t="str">
        <f t="shared" si="38"/>
        <v>Q4</v>
      </c>
    </row>
    <row r="2470" spans="1:8">
      <c r="A2470">
        <v>738526</v>
      </c>
      <c r="B2470" t="s">
        <v>1766</v>
      </c>
      <c r="C2470">
        <v>90</v>
      </c>
      <c r="D2470">
        <v>3.1929377952797502</v>
      </c>
      <c r="E2470">
        <v>287.36440157517802</v>
      </c>
      <c r="F2470">
        <v>0.90267484293292199</v>
      </c>
      <c r="G2470">
        <v>0.90715172491629403</v>
      </c>
      <c r="H2470" t="str">
        <f t="shared" si="38"/>
        <v>Q4</v>
      </c>
    </row>
    <row r="2471" spans="1:8">
      <c r="A2471">
        <v>801512</v>
      </c>
      <c r="B2471" t="s">
        <v>782</v>
      </c>
      <c r="C2471">
        <v>73</v>
      </c>
      <c r="D2471">
        <v>3.9348734746853</v>
      </c>
      <c r="E2471">
        <v>287.24576365202699</v>
      </c>
      <c r="F2471">
        <v>0.88111809187013301</v>
      </c>
      <c r="G2471">
        <v>0.90711410405929005</v>
      </c>
      <c r="H2471" t="str">
        <f t="shared" si="38"/>
        <v>Q4</v>
      </c>
    </row>
    <row r="2472" spans="1:8">
      <c r="A2472">
        <v>757266</v>
      </c>
      <c r="B2472" t="s">
        <v>4258</v>
      </c>
      <c r="C2472">
        <v>60</v>
      </c>
      <c r="D2472">
        <v>4.7853955688575898</v>
      </c>
      <c r="E2472">
        <v>287.12373413145502</v>
      </c>
      <c r="F2472">
        <v>0.85805650652721899</v>
      </c>
      <c r="G2472">
        <v>0.90707648320228695</v>
      </c>
      <c r="H2472" t="str">
        <f t="shared" si="38"/>
        <v>Q4</v>
      </c>
    </row>
    <row r="2473" spans="1:8">
      <c r="A2473">
        <v>673799</v>
      </c>
      <c r="B2473" t="s">
        <v>678</v>
      </c>
      <c r="C2473">
        <v>110</v>
      </c>
      <c r="D2473">
        <v>2.6101232159205501</v>
      </c>
      <c r="E2473">
        <v>287.11355375125999</v>
      </c>
      <c r="F2473">
        <v>0.92001805801136105</v>
      </c>
      <c r="G2473">
        <v>0.90703886234528397</v>
      </c>
      <c r="H2473" t="str">
        <f t="shared" si="38"/>
        <v>Q4</v>
      </c>
    </row>
    <row r="2474" spans="1:8">
      <c r="A2474">
        <v>400319</v>
      </c>
      <c r="B2474" t="s">
        <v>692</v>
      </c>
      <c r="C2474">
        <v>80</v>
      </c>
      <c r="D2474">
        <v>3.5877542500384201</v>
      </c>
      <c r="E2474">
        <v>287.02034000307299</v>
      </c>
      <c r="F2474">
        <v>0.89150144840299494</v>
      </c>
      <c r="G2474">
        <v>0.90700124148828098</v>
      </c>
      <c r="H2474" t="str">
        <f t="shared" si="38"/>
        <v>Q4</v>
      </c>
    </row>
    <row r="2475" spans="1:8">
      <c r="A2475">
        <v>341782</v>
      </c>
      <c r="B2475" t="s">
        <v>4055</v>
      </c>
      <c r="C2475">
        <v>181</v>
      </c>
      <c r="D2475">
        <v>1.58493299994268</v>
      </c>
      <c r="E2475">
        <v>286.87287298962502</v>
      </c>
      <c r="F2475">
        <v>0.95387682931417195</v>
      </c>
      <c r="G2475">
        <v>0.906963620631278</v>
      </c>
      <c r="H2475" t="str">
        <f t="shared" si="38"/>
        <v>Q2</v>
      </c>
    </row>
    <row r="2476" spans="1:8">
      <c r="A2476">
        <v>640156</v>
      </c>
      <c r="B2476" t="s">
        <v>2603</v>
      </c>
      <c r="C2476">
        <v>59</v>
      </c>
      <c r="D2476">
        <v>4.8614766701298198</v>
      </c>
      <c r="E2476">
        <v>286.82712353765999</v>
      </c>
      <c r="F2476">
        <v>0.85617546367706299</v>
      </c>
      <c r="G2476">
        <v>0.90692599977427502</v>
      </c>
      <c r="H2476" t="str">
        <f t="shared" si="38"/>
        <v>Q4</v>
      </c>
    </row>
    <row r="2477" spans="1:8">
      <c r="A2477">
        <v>787711</v>
      </c>
      <c r="B2477" t="s">
        <v>1671</v>
      </c>
      <c r="C2477">
        <v>109</v>
      </c>
      <c r="D2477">
        <v>2.6314258720691601</v>
      </c>
      <c r="E2477">
        <v>286.82542005553802</v>
      </c>
      <c r="F2477">
        <v>0.91922802001429604</v>
      </c>
      <c r="G2477">
        <v>0.90688837891727203</v>
      </c>
      <c r="H2477" t="str">
        <f t="shared" si="38"/>
        <v>Q4</v>
      </c>
    </row>
    <row r="2478" spans="1:8">
      <c r="A2478">
        <v>747737</v>
      </c>
      <c r="B2478" t="s">
        <v>398</v>
      </c>
      <c r="C2478">
        <v>297</v>
      </c>
      <c r="D2478">
        <v>0.965730728023381</v>
      </c>
      <c r="E2478">
        <v>286.82202622294398</v>
      </c>
      <c r="F2478">
        <v>0.97562168466197696</v>
      </c>
      <c r="G2478">
        <v>0.90685075806026905</v>
      </c>
      <c r="H2478" t="str">
        <f t="shared" si="38"/>
        <v>Q2</v>
      </c>
    </row>
    <row r="2479" spans="1:8">
      <c r="A2479">
        <v>671777</v>
      </c>
      <c r="B2479" t="s">
        <v>4114</v>
      </c>
      <c r="C2479">
        <v>187</v>
      </c>
      <c r="D2479">
        <v>1.5322123953006801</v>
      </c>
      <c r="E2479">
        <v>286.52371792122699</v>
      </c>
      <c r="F2479">
        <v>0.95553214702230904</v>
      </c>
      <c r="G2479">
        <v>0.90681313720326595</v>
      </c>
      <c r="H2479" t="str">
        <f t="shared" si="38"/>
        <v>Q2</v>
      </c>
    </row>
    <row r="2480" spans="1:8">
      <c r="A2480">
        <v>701244</v>
      </c>
      <c r="B2480" t="s">
        <v>958</v>
      </c>
      <c r="C2480">
        <v>120</v>
      </c>
      <c r="D2480">
        <v>2.3870621474149298</v>
      </c>
      <c r="E2480">
        <v>286.44745768979197</v>
      </c>
      <c r="F2480">
        <v>0.92731650426996703</v>
      </c>
      <c r="G2480">
        <v>0.90677551634626197</v>
      </c>
      <c r="H2480" t="str">
        <f t="shared" si="38"/>
        <v>Q4</v>
      </c>
    </row>
    <row r="2481" spans="1:8">
      <c r="A2481">
        <v>696084</v>
      </c>
      <c r="B2481" t="s">
        <v>2631</v>
      </c>
      <c r="C2481">
        <v>121</v>
      </c>
      <c r="D2481">
        <v>2.3672922795315201</v>
      </c>
      <c r="E2481">
        <v>286.44236582331399</v>
      </c>
      <c r="F2481">
        <v>0.92788081712501402</v>
      </c>
      <c r="G2481">
        <v>0.90673789548925898</v>
      </c>
      <c r="H2481" t="str">
        <f t="shared" si="38"/>
        <v>Q4</v>
      </c>
    </row>
    <row r="2482" spans="1:8">
      <c r="A2482">
        <v>749541</v>
      </c>
      <c r="B2482" t="s">
        <v>4130</v>
      </c>
      <c r="C2482">
        <v>45</v>
      </c>
      <c r="D2482">
        <v>6.3621468345324201</v>
      </c>
      <c r="E2482">
        <v>286.29660755395901</v>
      </c>
      <c r="F2482">
        <v>0.82069899552311798</v>
      </c>
      <c r="G2482">
        <v>0.906700274632256</v>
      </c>
      <c r="H2482" t="str">
        <f t="shared" si="38"/>
        <v>Q3</v>
      </c>
    </row>
    <row r="2483" spans="1:8">
      <c r="A2483">
        <v>479095</v>
      </c>
      <c r="B2483" t="s">
        <v>5165</v>
      </c>
      <c r="C2483">
        <v>80</v>
      </c>
      <c r="D2483">
        <v>3.57851695385762</v>
      </c>
      <c r="E2483">
        <v>286.28135630860902</v>
      </c>
      <c r="F2483">
        <v>0.89150144840299494</v>
      </c>
      <c r="G2483">
        <v>0.90666265377525301</v>
      </c>
      <c r="H2483" t="str">
        <f t="shared" si="38"/>
        <v>Q4</v>
      </c>
    </row>
    <row r="2484" spans="1:8">
      <c r="A2484">
        <v>622963</v>
      </c>
      <c r="B2484" t="s">
        <v>2029</v>
      </c>
      <c r="C2484">
        <v>76</v>
      </c>
      <c r="D2484">
        <v>3.7657672208488799</v>
      </c>
      <c r="E2484">
        <v>286.19830878451501</v>
      </c>
      <c r="F2484">
        <v>0.88612166585154795</v>
      </c>
      <c r="G2484">
        <v>0.90662503291825003</v>
      </c>
      <c r="H2484" t="str">
        <f t="shared" si="38"/>
        <v>Q4</v>
      </c>
    </row>
    <row r="2485" spans="1:8">
      <c r="A2485">
        <v>729609</v>
      </c>
      <c r="B2485" t="s">
        <v>2784</v>
      </c>
      <c r="C2485">
        <v>33</v>
      </c>
      <c r="D2485">
        <v>8.6711352070172598</v>
      </c>
      <c r="E2485">
        <v>286.14746183157001</v>
      </c>
      <c r="F2485">
        <v>0.77551634626236798</v>
      </c>
      <c r="G2485">
        <v>0.90658741206124704</v>
      </c>
      <c r="H2485" t="str">
        <f t="shared" si="38"/>
        <v>Q3</v>
      </c>
    </row>
    <row r="2486" spans="1:8">
      <c r="A2486">
        <v>606814</v>
      </c>
      <c r="B2486" t="s">
        <v>5105</v>
      </c>
      <c r="C2486">
        <v>39</v>
      </c>
      <c r="D2486">
        <v>7.3362887192231003</v>
      </c>
      <c r="E2486">
        <v>286.11526004970102</v>
      </c>
      <c r="F2486">
        <v>0.80087280388247195</v>
      </c>
      <c r="G2486">
        <v>0.90654979120424395</v>
      </c>
      <c r="H2486" t="str">
        <f t="shared" si="38"/>
        <v>Q3</v>
      </c>
    </row>
    <row r="2487" spans="1:8">
      <c r="A2487">
        <v>720228</v>
      </c>
      <c r="B2487" t="s">
        <v>3071</v>
      </c>
      <c r="C2487">
        <v>131</v>
      </c>
      <c r="D2487">
        <v>2.1832966757582799</v>
      </c>
      <c r="E2487">
        <v>286.01186452433501</v>
      </c>
      <c r="F2487">
        <v>0.93374967081750104</v>
      </c>
      <c r="G2487">
        <v>0.90651217034724096</v>
      </c>
      <c r="H2487" t="str">
        <f t="shared" si="38"/>
        <v>Q4</v>
      </c>
    </row>
    <row r="2488" spans="1:8">
      <c r="A2488">
        <v>644300</v>
      </c>
      <c r="B2488" t="s">
        <v>3202</v>
      </c>
      <c r="C2488">
        <v>79</v>
      </c>
      <c r="D2488">
        <v>3.6204033401570701</v>
      </c>
      <c r="E2488">
        <v>286.01186387240898</v>
      </c>
      <c r="F2488">
        <v>0.89022233926488803</v>
      </c>
      <c r="G2488">
        <v>0.90647454949023698</v>
      </c>
      <c r="H2488" t="str">
        <f t="shared" si="38"/>
        <v>Q4</v>
      </c>
    </row>
    <row r="2489" spans="1:8">
      <c r="A2489">
        <v>758942</v>
      </c>
      <c r="B2489" t="s">
        <v>2831</v>
      </c>
      <c r="C2489">
        <v>52</v>
      </c>
      <c r="D2489">
        <v>5.4977185021226198</v>
      </c>
      <c r="E2489">
        <v>285.88136211037602</v>
      </c>
      <c r="F2489">
        <v>0.84003611602272299</v>
      </c>
      <c r="G2489">
        <v>0.906436928633234</v>
      </c>
      <c r="H2489" t="str">
        <f t="shared" si="38"/>
        <v>Q3</v>
      </c>
    </row>
    <row r="2490" spans="1:8">
      <c r="A2490">
        <v>783507</v>
      </c>
      <c r="B2490" t="s">
        <v>3426</v>
      </c>
      <c r="C2490">
        <v>88</v>
      </c>
      <c r="D2490">
        <v>3.2481316900388801</v>
      </c>
      <c r="E2490">
        <v>285.83558872342098</v>
      </c>
      <c r="F2490">
        <v>0.90045521236973802</v>
      </c>
      <c r="G2490">
        <v>0.90639930777623101</v>
      </c>
      <c r="H2490" t="str">
        <f t="shared" si="38"/>
        <v>Q4</v>
      </c>
    </row>
    <row r="2491" spans="1:8">
      <c r="A2491">
        <v>439285</v>
      </c>
      <c r="B2491" t="s">
        <v>4666</v>
      </c>
      <c r="C2491">
        <v>59</v>
      </c>
      <c r="D2491">
        <v>4.8444700743055904</v>
      </c>
      <c r="E2491">
        <v>285.82373438402999</v>
      </c>
      <c r="F2491">
        <v>0.85617546367706299</v>
      </c>
      <c r="G2491">
        <v>0.90636168691922803</v>
      </c>
      <c r="H2491" t="str">
        <f t="shared" si="38"/>
        <v>Q4</v>
      </c>
    </row>
    <row r="2492" spans="1:8">
      <c r="A2492">
        <v>726764</v>
      </c>
      <c r="B2492" t="s">
        <v>3436</v>
      </c>
      <c r="C2492">
        <v>44</v>
      </c>
      <c r="D2492">
        <v>6.4935669683936004</v>
      </c>
      <c r="E2492">
        <v>285.71694660931797</v>
      </c>
      <c r="F2492">
        <v>0.817689326962868</v>
      </c>
      <c r="G2492">
        <v>0.90632406606222504</v>
      </c>
      <c r="H2492" t="str">
        <f t="shared" si="38"/>
        <v>Q3</v>
      </c>
    </row>
    <row r="2493" spans="1:8">
      <c r="A2493">
        <v>820037</v>
      </c>
      <c r="B2493" t="s">
        <v>3096</v>
      </c>
      <c r="C2493">
        <v>15</v>
      </c>
      <c r="D2493">
        <v>19.043954908847802</v>
      </c>
      <c r="E2493">
        <v>285.65932363271702</v>
      </c>
      <c r="F2493">
        <v>0.63496482449870195</v>
      </c>
      <c r="G2493">
        <v>0.90628644520522195</v>
      </c>
      <c r="H2493" t="str">
        <f t="shared" si="38"/>
        <v>Q3</v>
      </c>
    </row>
    <row r="2494" spans="1:8">
      <c r="A2494">
        <v>567418</v>
      </c>
      <c r="B2494" t="s">
        <v>3142</v>
      </c>
      <c r="C2494">
        <v>151</v>
      </c>
      <c r="D2494">
        <v>1.8912222868584001</v>
      </c>
      <c r="E2494">
        <v>285.574565315619</v>
      </c>
      <c r="F2494">
        <v>0.94323012678228801</v>
      </c>
      <c r="G2494">
        <v>0.90624882434821896</v>
      </c>
      <c r="H2494" t="str">
        <f t="shared" si="38"/>
        <v>Q4</v>
      </c>
    </row>
    <row r="2495" spans="1:8">
      <c r="A2495">
        <v>780852</v>
      </c>
      <c r="B2495" t="s">
        <v>986</v>
      </c>
      <c r="C2495">
        <v>116</v>
      </c>
      <c r="D2495">
        <v>2.4594535352662201</v>
      </c>
      <c r="E2495">
        <v>285.29661009088198</v>
      </c>
      <c r="F2495">
        <v>0.924720665136752</v>
      </c>
      <c r="G2495">
        <v>0.90621120349121598</v>
      </c>
      <c r="H2495" t="str">
        <f t="shared" si="38"/>
        <v>Q4</v>
      </c>
    </row>
    <row r="2496" spans="1:8">
      <c r="A2496">
        <v>745522</v>
      </c>
      <c r="B2496" t="s">
        <v>3288</v>
      </c>
      <c r="C2496">
        <v>109</v>
      </c>
      <c r="D2496">
        <v>2.6164670637167902</v>
      </c>
      <c r="E2496">
        <v>285.19490994513001</v>
      </c>
      <c r="F2496">
        <v>0.91922802001429604</v>
      </c>
      <c r="G2496">
        <v>0.90617358263421199</v>
      </c>
      <c r="H2496" t="str">
        <f t="shared" si="38"/>
        <v>Q4</v>
      </c>
    </row>
    <row r="2497" spans="1:8">
      <c r="A2497">
        <v>553069</v>
      </c>
      <c r="B2497" t="s">
        <v>4809</v>
      </c>
      <c r="C2497">
        <v>89</v>
      </c>
      <c r="D2497">
        <v>3.2027803570701798</v>
      </c>
      <c r="E2497">
        <v>285.04745177924599</v>
      </c>
      <c r="F2497">
        <v>0.90135811293781298</v>
      </c>
      <c r="G2497">
        <v>0.90613596177720901</v>
      </c>
      <c r="H2497" t="str">
        <f t="shared" si="38"/>
        <v>Q4</v>
      </c>
    </row>
    <row r="2498" spans="1:8">
      <c r="A2498">
        <v>692745</v>
      </c>
      <c r="B2498" t="s">
        <v>3740</v>
      </c>
      <c r="C2498">
        <v>242</v>
      </c>
      <c r="D2498">
        <v>1.1775738567360201</v>
      </c>
      <c r="E2498">
        <v>284.97287333011599</v>
      </c>
      <c r="F2498">
        <v>0.96760844212031105</v>
      </c>
      <c r="G2498">
        <v>0.90609834092020602</v>
      </c>
      <c r="H2498" t="str">
        <f t="shared" si="38"/>
        <v>Q2</v>
      </c>
    </row>
    <row r="2499" spans="1:8">
      <c r="A2499">
        <v>836226</v>
      </c>
      <c r="B2499" t="s">
        <v>2265</v>
      </c>
      <c r="C2499">
        <v>50</v>
      </c>
      <c r="D2499">
        <v>5.6989491134882</v>
      </c>
      <c r="E2499">
        <v>284.94745567440998</v>
      </c>
      <c r="F2499">
        <v>0.83559685489635405</v>
      </c>
      <c r="G2499">
        <v>0.90606072006320304</v>
      </c>
      <c r="H2499" t="str">
        <f t="shared" ref="H2499:H2562" si="39">IF(C2499&gt;$J$2,
   IF(D2499&gt;$J$3,"Q1","Q2"),
   IF(D2499&gt;$J$3,"Q3","Q4"))</f>
        <v>Q3</v>
      </c>
    </row>
    <row r="2500" spans="1:8">
      <c r="A2500">
        <v>777036</v>
      </c>
      <c r="B2500" t="s">
        <v>4144</v>
      </c>
      <c r="C2500">
        <v>36</v>
      </c>
      <c r="D2500">
        <v>7.9129002470936998</v>
      </c>
      <c r="E2500">
        <v>284.864408895373</v>
      </c>
      <c r="F2500">
        <v>0.78890937135547901</v>
      </c>
      <c r="G2500">
        <v>0.90602309920620006</v>
      </c>
      <c r="H2500" t="str">
        <f t="shared" si="39"/>
        <v>Q3</v>
      </c>
    </row>
    <row r="2501" spans="1:8">
      <c r="A2501">
        <v>717811</v>
      </c>
      <c r="B2501" t="s">
        <v>994</v>
      </c>
      <c r="C2501">
        <v>29</v>
      </c>
      <c r="D2501">
        <v>9.8167156479482003</v>
      </c>
      <c r="E2501">
        <v>284.68475379049801</v>
      </c>
      <c r="F2501">
        <v>0.75501297919566601</v>
      </c>
      <c r="G2501">
        <v>0.90598547834919696</v>
      </c>
      <c r="H2501" t="str">
        <f t="shared" si="39"/>
        <v>Q3</v>
      </c>
    </row>
    <row r="2502" spans="1:8">
      <c r="A2502">
        <v>704029</v>
      </c>
      <c r="B2502" t="s">
        <v>4063</v>
      </c>
      <c r="C2502">
        <v>70</v>
      </c>
      <c r="D2502">
        <v>4.0660048276185998</v>
      </c>
      <c r="E2502">
        <v>284.62033793330198</v>
      </c>
      <c r="F2502">
        <v>0.87555020503367098</v>
      </c>
      <c r="G2502">
        <v>0.90594785749219398</v>
      </c>
      <c r="H2502" t="str">
        <f t="shared" si="39"/>
        <v>Q4</v>
      </c>
    </row>
    <row r="2503" spans="1:8">
      <c r="A2503">
        <v>751216</v>
      </c>
      <c r="B2503" t="s">
        <v>291</v>
      </c>
      <c r="C2503">
        <v>111</v>
      </c>
      <c r="D2503">
        <v>2.5621315749647402</v>
      </c>
      <c r="E2503">
        <v>284.39660482108599</v>
      </c>
      <c r="F2503">
        <v>0.92084571686543004</v>
      </c>
      <c r="G2503">
        <v>0.90591023663519099</v>
      </c>
      <c r="H2503" t="str">
        <f t="shared" si="39"/>
        <v>Q4</v>
      </c>
    </row>
    <row r="2504" spans="1:8">
      <c r="A2504">
        <v>589268</v>
      </c>
      <c r="B2504" t="s">
        <v>4986</v>
      </c>
      <c r="C2504">
        <v>56</v>
      </c>
      <c r="D2504">
        <v>5.0763014254958501</v>
      </c>
      <c r="E2504">
        <v>284.27287982776801</v>
      </c>
      <c r="F2504">
        <v>0.85004326398555397</v>
      </c>
      <c r="G2504">
        <v>0.90587261577818701</v>
      </c>
      <c r="H2504" t="str">
        <f t="shared" si="39"/>
        <v>Q3</v>
      </c>
    </row>
    <row r="2505" spans="1:8">
      <c r="A2505">
        <v>759326</v>
      </c>
      <c r="B2505" t="s">
        <v>2146</v>
      </c>
      <c r="C2505">
        <v>59</v>
      </c>
      <c r="D2505">
        <v>4.81680558078875</v>
      </c>
      <c r="E2505">
        <v>284.19152926653601</v>
      </c>
      <c r="F2505">
        <v>0.85617546367706299</v>
      </c>
      <c r="G2505">
        <v>0.90583499492118402</v>
      </c>
      <c r="H2505" t="str">
        <f t="shared" si="39"/>
        <v>Q4</v>
      </c>
    </row>
    <row r="2506" spans="1:8">
      <c r="A2506">
        <v>524061</v>
      </c>
      <c r="B2506" t="s">
        <v>4176</v>
      </c>
      <c r="C2506">
        <v>62</v>
      </c>
      <c r="D2506">
        <v>4.5826955367961197</v>
      </c>
      <c r="E2506">
        <v>284.12712328136001</v>
      </c>
      <c r="F2506">
        <v>0.86238290508257798</v>
      </c>
      <c r="G2506">
        <v>0.90579737406418104</v>
      </c>
      <c r="H2506" t="str">
        <f t="shared" si="39"/>
        <v>Q4</v>
      </c>
    </row>
    <row r="2507" spans="1:8">
      <c r="A2507">
        <v>685863</v>
      </c>
      <c r="B2507" t="s">
        <v>4752</v>
      </c>
      <c r="C2507">
        <v>68</v>
      </c>
      <c r="D2507">
        <v>4.1773928740226198</v>
      </c>
      <c r="E2507">
        <v>284.06271543353802</v>
      </c>
      <c r="F2507">
        <v>0.87223956961739602</v>
      </c>
      <c r="G2507">
        <v>0.90575975320717805</v>
      </c>
      <c r="H2507" t="str">
        <f t="shared" si="39"/>
        <v>Q4</v>
      </c>
    </row>
    <row r="2508" spans="1:8">
      <c r="A2508">
        <v>714495</v>
      </c>
      <c r="B2508" t="s">
        <v>3581</v>
      </c>
      <c r="C2508">
        <v>101</v>
      </c>
      <c r="D2508">
        <v>2.8116629689489301</v>
      </c>
      <c r="E2508">
        <v>283.97795986384199</v>
      </c>
      <c r="F2508">
        <v>0.91245626575373395</v>
      </c>
      <c r="G2508">
        <v>0.90572213235017496</v>
      </c>
      <c r="H2508" t="str">
        <f t="shared" si="39"/>
        <v>Q4</v>
      </c>
    </row>
    <row r="2509" spans="1:8">
      <c r="A2509">
        <v>729620</v>
      </c>
      <c r="B2509" t="s">
        <v>4212</v>
      </c>
      <c r="C2509">
        <v>86</v>
      </c>
      <c r="D2509">
        <v>3.3008473838657801</v>
      </c>
      <c r="E2509">
        <v>283.87287501245697</v>
      </c>
      <c r="F2509">
        <v>0.89864941123358799</v>
      </c>
      <c r="G2509">
        <v>0.90568451149317197</v>
      </c>
      <c r="H2509" t="str">
        <f t="shared" si="39"/>
        <v>Q4</v>
      </c>
    </row>
    <row r="2510" spans="1:8">
      <c r="A2510">
        <v>707075</v>
      </c>
      <c r="B2510" t="s">
        <v>3571</v>
      </c>
      <c r="C2510">
        <v>31</v>
      </c>
      <c r="D2510">
        <v>9.1566977001005601</v>
      </c>
      <c r="E2510">
        <v>283.85762870311697</v>
      </c>
      <c r="F2510">
        <v>0.766073511154584</v>
      </c>
      <c r="G2510">
        <v>0.90564689063616899</v>
      </c>
      <c r="H2510" t="str">
        <f t="shared" si="39"/>
        <v>Q3</v>
      </c>
    </row>
    <row r="2511" spans="1:8">
      <c r="A2511">
        <v>537688</v>
      </c>
      <c r="B2511" t="s">
        <v>3976</v>
      </c>
      <c r="C2511">
        <v>95</v>
      </c>
      <c r="D2511">
        <v>2.9878501545049598</v>
      </c>
      <c r="E2511">
        <v>283.845764677972</v>
      </c>
      <c r="F2511">
        <v>0.90760317520033096</v>
      </c>
      <c r="G2511">
        <v>0.905609269779166</v>
      </c>
      <c r="H2511" t="str">
        <f t="shared" si="39"/>
        <v>Q4</v>
      </c>
    </row>
    <row r="2512" spans="1:8">
      <c r="A2512">
        <v>703162</v>
      </c>
      <c r="B2512" t="s">
        <v>794</v>
      </c>
      <c r="C2512">
        <v>124</v>
      </c>
      <c r="D2512">
        <v>2.28758884759079</v>
      </c>
      <c r="E2512">
        <v>283.66101710125798</v>
      </c>
      <c r="F2512">
        <v>0.92957375569015499</v>
      </c>
      <c r="G2512">
        <v>0.90557164892216202</v>
      </c>
      <c r="H2512" t="str">
        <f t="shared" si="39"/>
        <v>Q4</v>
      </c>
    </row>
    <row r="2513" spans="1:8">
      <c r="A2513">
        <v>727710</v>
      </c>
      <c r="B2513" t="s">
        <v>4613</v>
      </c>
      <c r="C2513">
        <v>102</v>
      </c>
      <c r="D2513">
        <v>2.7787470272468302</v>
      </c>
      <c r="E2513">
        <v>283.43219677917699</v>
      </c>
      <c r="F2513">
        <v>0.91332154546480604</v>
      </c>
      <c r="G2513">
        <v>0.90553402806515904</v>
      </c>
      <c r="H2513" t="str">
        <f t="shared" si="39"/>
        <v>Q4</v>
      </c>
    </row>
    <row r="2514" spans="1:8">
      <c r="A2514">
        <v>785465</v>
      </c>
      <c r="B2514" t="s">
        <v>5021</v>
      </c>
      <c r="C2514">
        <v>55</v>
      </c>
      <c r="D2514">
        <v>5.1506317102096304</v>
      </c>
      <c r="E2514">
        <v>283.28474406152998</v>
      </c>
      <c r="F2514">
        <v>0.84763552913735396</v>
      </c>
      <c r="G2514">
        <v>0.90549640720815605</v>
      </c>
      <c r="H2514" t="str">
        <f t="shared" si="39"/>
        <v>Q3</v>
      </c>
    </row>
    <row r="2515" spans="1:8">
      <c r="A2515">
        <v>689511</v>
      </c>
      <c r="B2515" t="s">
        <v>3572</v>
      </c>
      <c r="C2515">
        <v>70</v>
      </c>
      <c r="D2515">
        <v>4.0433414014322402</v>
      </c>
      <c r="E2515">
        <v>283.03389810025698</v>
      </c>
      <c r="F2515">
        <v>0.87555020503367098</v>
      </c>
      <c r="G2515">
        <v>0.90545878635115296</v>
      </c>
      <c r="H2515" t="str">
        <f t="shared" si="39"/>
        <v>Q4</v>
      </c>
    </row>
    <row r="2516" spans="1:8">
      <c r="A2516">
        <v>774012</v>
      </c>
      <c r="B2516" t="s">
        <v>2698</v>
      </c>
      <c r="C2516">
        <v>65</v>
      </c>
      <c r="D2516">
        <v>4.3541852055260799</v>
      </c>
      <c r="E2516">
        <v>283.02203835919499</v>
      </c>
      <c r="F2516">
        <v>0.86802603363304598</v>
      </c>
      <c r="G2516">
        <v>0.90542116549414997</v>
      </c>
      <c r="H2516" t="str">
        <f t="shared" si="39"/>
        <v>Q4</v>
      </c>
    </row>
    <row r="2517" spans="1:8">
      <c r="A2517">
        <v>814686</v>
      </c>
      <c r="B2517" t="s">
        <v>3352</v>
      </c>
      <c r="C2517">
        <v>65</v>
      </c>
      <c r="D2517">
        <v>4.3528553728873902</v>
      </c>
      <c r="E2517">
        <v>282.93559923767998</v>
      </c>
      <c r="F2517">
        <v>0.86802603363304598</v>
      </c>
      <c r="G2517">
        <v>0.90538354463714699</v>
      </c>
      <c r="H2517" t="str">
        <f t="shared" si="39"/>
        <v>Q4</v>
      </c>
    </row>
    <row r="2518" spans="1:8">
      <c r="A2518">
        <v>796232</v>
      </c>
      <c r="B2518" t="s">
        <v>1709</v>
      </c>
      <c r="C2518">
        <v>88</v>
      </c>
      <c r="D2518">
        <v>3.2127310797064101</v>
      </c>
      <c r="E2518">
        <v>282.72033501416399</v>
      </c>
      <c r="F2518">
        <v>0.90045521236973802</v>
      </c>
      <c r="G2518">
        <v>0.905345923780144</v>
      </c>
      <c r="H2518" t="str">
        <f t="shared" si="39"/>
        <v>Q4</v>
      </c>
    </row>
    <row r="2519" spans="1:8">
      <c r="A2519">
        <v>744306</v>
      </c>
      <c r="B2519" t="s">
        <v>4008</v>
      </c>
      <c r="C2519">
        <v>71</v>
      </c>
      <c r="D2519">
        <v>3.9799952289273199</v>
      </c>
      <c r="E2519">
        <v>282.57966125384002</v>
      </c>
      <c r="F2519">
        <v>0.87799556073887397</v>
      </c>
      <c r="G2519">
        <v>0.90530830292314102</v>
      </c>
      <c r="H2519" t="str">
        <f t="shared" si="39"/>
        <v>Q4</v>
      </c>
    </row>
    <row r="2520" spans="1:8">
      <c r="A2520">
        <v>584298</v>
      </c>
      <c r="B2520" t="s">
        <v>3555</v>
      </c>
      <c r="C2520">
        <v>92</v>
      </c>
      <c r="D2520">
        <v>3.07138903856116</v>
      </c>
      <c r="E2520">
        <v>282.56779154762597</v>
      </c>
      <c r="F2520">
        <v>0.90429253978405599</v>
      </c>
      <c r="G2520">
        <v>0.90527068206613703</v>
      </c>
      <c r="H2520" t="str">
        <f t="shared" si="39"/>
        <v>Q4</v>
      </c>
    </row>
    <row r="2521" spans="1:8">
      <c r="A2521">
        <v>714746</v>
      </c>
      <c r="B2521" t="s">
        <v>5087</v>
      </c>
      <c r="C2521">
        <v>52</v>
      </c>
      <c r="D2521">
        <v>5.4294981922094596</v>
      </c>
      <c r="E2521">
        <v>282.33390599489201</v>
      </c>
      <c r="F2521">
        <v>0.84003611602272299</v>
      </c>
      <c r="G2521">
        <v>0.90523306120913405</v>
      </c>
      <c r="H2521" t="str">
        <f t="shared" si="39"/>
        <v>Q3</v>
      </c>
    </row>
    <row r="2522" spans="1:8">
      <c r="A2522">
        <v>123173</v>
      </c>
      <c r="B2522" t="s">
        <v>1115</v>
      </c>
      <c r="C2522">
        <v>230</v>
      </c>
      <c r="D2522">
        <v>1.2273765746099099</v>
      </c>
      <c r="E2522">
        <v>282.29661216028001</v>
      </c>
      <c r="F2522">
        <v>0.96538881155712697</v>
      </c>
      <c r="G2522">
        <v>0.90519544035213095</v>
      </c>
      <c r="H2522" t="str">
        <f t="shared" si="39"/>
        <v>Q2</v>
      </c>
    </row>
    <row r="2523" spans="1:8">
      <c r="A2523">
        <v>754425</v>
      </c>
      <c r="B2523" t="s">
        <v>2120</v>
      </c>
      <c r="C2523">
        <v>58</v>
      </c>
      <c r="D2523">
        <v>4.8654296595988598</v>
      </c>
      <c r="E2523">
        <v>282.19492025673401</v>
      </c>
      <c r="F2523">
        <v>0.853993453970881</v>
      </c>
      <c r="G2523">
        <v>0.90515781949512797</v>
      </c>
      <c r="H2523" t="str">
        <f t="shared" si="39"/>
        <v>Q4</v>
      </c>
    </row>
    <row r="2524" spans="1:8">
      <c r="A2524">
        <v>796239</v>
      </c>
      <c r="B2524" t="s">
        <v>1714</v>
      </c>
      <c r="C2524">
        <v>62</v>
      </c>
      <c r="D2524">
        <v>4.5514489463981098</v>
      </c>
      <c r="E2524">
        <v>282.18983467668301</v>
      </c>
      <c r="F2524">
        <v>0.86238290508257798</v>
      </c>
      <c r="G2524">
        <v>0.90512019863812498</v>
      </c>
      <c r="H2524" t="str">
        <f t="shared" si="39"/>
        <v>Q4</v>
      </c>
    </row>
    <row r="2525" spans="1:8">
      <c r="A2525">
        <v>769270</v>
      </c>
      <c r="B2525" t="s">
        <v>3996</v>
      </c>
      <c r="C2525">
        <v>43</v>
      </c>
      <c r="D2525">
        <v>6.5616869909125697</v>
      </c>
      <c r="E2525">
        <v>282.15254060924099</v>
      </c>
      <c r="F2525">
        <v>0.81437869154659304</v>
      </c>
      <c r="G2525">
        <v>0.905082577781122</v>
      </c>
      <c r="H2525" t="str">
        <f t="shared" si="39"/>
        <v>Q3</v>
      </c>
    </row>
    <row r="2526" spans="1:8">
      <c r="A2526">
        <v>621759</v>
      </c>
      <c r="B2526" t="s">
        <v>3278</v>
      </c>
      <c r="C2526">
        <v>166</v>
      </c>
      <c r="D2526">
        <v>1.69879518454917</v>
      </c>
      <c r="E2526">
        <v>282.000000635162</v>
      </c>
      <c r="F2526">
        <v>0.94860990933373501</v>
      </c>
      <c r="G2526">
        <v>0.90504495692411902</v>
      </c>
      <c r="H2526" t="str">
        <f t="shared" si="39"/>
        <v>Q4</v>
      </c>
    </row>
    <row r="2527" spans="1:8">
      <c r="A2527">
        <v>779910</v>
      </c>
      <c r="B2527" t="s">
        <v>1696</v>
      </c>
      <c r="C2527">
        <v>69</v>
      </c>
      <c r="D2527">
        <v>4.08609684934651</v>
      </c>
      <c r="E2527">
        <v>281.940682604909</v>
      </c>
      <c r="F2527">
        <v>0.87393250818253598</v>
      </c>
      <c r="G2527">
        <v>0.90500733606711603</v>
      </c>
      <c r="H2527" t="str">
        <f t="shared" si="39"/>
        <v>Q4</v>
      </c>
    </row>
    <row r="2528" spans="1:8">
      <c r="A2528">
        <v>725325</v>
      </c>
      <c r="B2528" t="s">
        <v>1607</v>
      </c>
      <c r="C2528">
        <v>39</v>
      </c>
      <c r="D2528">
        <v>7.2249454661057504</v>
      </c>
      <c r="E2528">
        <v>281.77287317812397</v>
      </c>
      <c r="F2528">
        <v>0.80087280388247195</v>
      </c>
      <c r="G2528">
        <v>0.90496971521011205</v>
      </c>
      <c r="H2528" t="str">
        <f t="shared" si="39"/>
        <v>Q3</v>
      </c>
    </row>
    <row r="2529" spans="1:8">
      <c r="A2529">
        <v>551566</v>
      </c>
      <c r="B2529" t="s">
        <v>1478</v>
      </c>
      <c r="C2529">
        <v>75</v>
      </c>
      <c r="D2529">
        <v>3.7541469186544401</v>
      </c>
      <c r="E2529">
        <v>281.56101889908302</v>
      </c>
      <c r="F2529">
        <v>0.88420300214438896</v>
      </c>
      <c r="G2529">
        <v>0.90493209435310895</v>
      </c>
      <c r="H2529" t="str">
        <f t="shared" si="39"/>
        <v>Q4</v>
      </c>
    </row>
    <row r="2530" spans="1:8">
      <c r="A2530">
        <v>770693</v>
      </c>
      <c r="B2530" t="s">
        <v>1893</v>
      </c>
      <c r="C2530">
        <v>89</v>
      </c>
      <c r="D2530">
        <v>3.1633593183889799</v>
      </c>
      <c r="E2530">
        <v>281.53897933661898</v>
      </c>
      <c r="F2530">
        <v>0.90135811293781298</v>
      </c>
      <c r="G2530">
        <v>0.90489447349610597</v>
      </c>
      <c r="H2530" t="str">
        <f t="shared" si="39"/>
        <v>Q4</v>
      </c>
    </row>
    <row r="2531" spans="1:8">
      <c r="A2531">
        <v>677351</v>
      </c>
      <c r="B2531" t="s">
        <v>1719</v>
      </c>
      <c r="C2531">
        <v>90</v>
      </c>
      <c r="D2531">
        <v>3.1266854517161802</v>
      </c>
      <c r="E2531">
        <v>281.40169065445701</v>
      </c>
      <c r="F2531">
        <v>0.90267484293292199</v>
      </c>
      <c r="G2531">
        <v>0.90485685263910298</v>
      </c>
      <c r="H2531" t="str">
        <f t="shared" si="39"/>
        <v>Q4</v>
      </c>
    </row>
    <row r="2532" spans="1:8">
      <c r="A2532">
        <v>697686</v>
      </c>
      <c r="B2532" t="s">
        <v>2387</v>
      </c>
      <c r="C2532">
        <v>130</v>
      </c>
      <c r="D2532">
        <v>2.1638461514017902</v>
      </c>
      <c r="E2532">
        <v>281.29999968223302</v>
      </c>
      <c r="F2532">
        <v>0.93307249539144499</v>
      </c>
      <c r="G2532">
        <v>0.9048192317821</v>
      </c>
      <c r="H2532" t="str">
        <f t="shared" si="39"/>
        <v>Q4</v>
      </c>
    </row>
    <row r="2533" spans="1:8">
      <c r="A2533">
        <v>744390</v>
      </c>
      <c r="B2533" t="s">
        <v>5015</v>
      </c>
      <c r="C2533">
        <v>51</v>
      </c>
      <c r="D2533">
        <v>5.5147889508482297</v>
      </c>
      <c r="E2533">
        <v>281.25423649326001</v>
      </c>
      <c r="F2533">
        <v>0.83762838117452298</v>
      </c>
      <c r="G2533">
        <v>0.90478161092509701</v>
      </c>
      <c r="H2533" t="str">
        <f t="shared" si="39"/>
        <v>Q3</v>
      </c>
    </row>
    <row r="2534" spans="1:8">
      <c r="A2534">
        <v>715116</v>
      </c>
      <c r="B2534" t="s">
        <v>355</v>
      </c>
      <c r="C2534">
        <v>107</v>
      </c>
      <c r="D2534">
        <v>2.6272769973865699</v>
      </c>
      <c r="E2534">
        <v>281.11863872036298</v>
      </c>
      <c r="F2534">
        <v>0.91791129001918703</v>
      </c>
      <c r="G2534">
        <v>0.90474399006809403</v>
      </c>
      <c r="H2534" t="str">
        <f t="shared" si="39"/>
        <v>Q4</v>
      </c>
    </row>
    <row r="2535" spans="1:8">
      <c r="A2535">
        <v>665477</v>
      </c>
      <c r="B2535" t="s">
        <v>3242</v>
      </c>
      <c r="C2535">
        <v>100</v>
      </c>
      <c r="D2535">
        <v>2.8096779026091099</v>
      </c>
      <c r="E2535">
        <v>280.96779026091099</v>
      </c>
      <c r="F2535">
        <v>0.91155336518565899</v>
      </c>
      <c r="G2535">
        <v>0.90470636921109104</v>
      </c>
      <c r="H2535" t="str">
        <f t="shared" si="39"/>
        <v>Q4</v>
      </c>
    </row>
    <row r="2536" spans="1:8">
      <c r="A2536">
        <v>819404</v>
      </c>
      <c r="B2536" t="s">
        <v>2597</v>
      </c>
      <c r="C2536">
        <v>65</v>
      </c>
      <c r="D2536">
        <v>4.3188788111393297</v>
      </c>
      <c r="E2536">
        <v>280.72712272405602</v>
      </c>
      <c r="F2536">
        <v>0.86802603363304598</v>
      </c>
      <c r="G2536">
        <v>0.90466874835408795</v>
      </c>
      <c r="H2536" t="str">
        <f t="shared" si="39"/>
        <v>Q4</v>
      </c>
    </row>
    <row r="2537" spans="1:8">
      <c r="A2537">
        <v>743626</v>
      </c>
      <c r="B2537" t="s">
        <v>1744</v>
      </c>
      <c r="C2537">
        <v>116</v>
      </c>
      <c r="D2537">
        <v>2.4188340159839599</v>
      </c>
      <c r="E2537">
        <v>280.58474585413899</v>
      </c>
      <c r="F2537">
        <v>0.924720665136752</v>
      </c>
      <c r="G2537">
        <v>0.90463112749708396</v>
      </c>
      <c r="H2537" t="str">
        <f t="shared" si="39"/>
        <v>Q4</v>
      </c>
    </row>
    <row r="2538" spans="1:8">
      <c r="A2538">
        <v>417951</v>
      </c>
      <c r="B2538" t="s">
        <v>4742</v>
      </c>
      <c r="C2538">
        <v>225</v>
      </c>
      <c r="D2538">
        <v>1.2470357822150799</v>
      </c>
      <c r="E2538">
        <v>280.58305099839299</v>
      </c>
      <c r="F2538">
        <v>0.96467401527406804</v>
      </c>
      <c r="G2538">
        <v>0.90459350664008098</v>
      </c>
      <c r="H2538" t="str">
        <f t="shared" si="39"/>
        <v>Q2</v>
      </c>
    </row>
    <row r="2539" spans="1:8">
      <c r="A2539">
        <v>570319</v>
      </c>
      <c r="B2539" t="s">
        <v>2802</v>
      </c>
      <c r="C2539">
        <v>164</v>
      </c>
      <c r="D2539">
        <v>1.7108101881870099</v>
      </c>
      <c r="E2539">
        <v>280.57287086267002</v>
      </c>
      <c r="F2539">
        <v>0.94823370076370295</v>
      </c>
      <c r="G2539">
        <v>0.904555885783078</v>
      </c>
      <c r="H2539" t="str">
        <f t="shared" si="39"/>
        <v>Q4</v>
      </c>
    </row>
    <row r="2540" spans="1:8">
      <c r="A2540">
        <v>557248</v>
      </c>
      <c r="B2540" t="s">
        <v>4045</v>
      </c>
      <c r="C2540">
        <v>94</v>
      </c>
      <c r="D2540">
        <v>2.9839703728979901</v>
      </c>
      <c r="E2540">
        <v>280.49321505241102</v>
      </c>
      <c r="F2540">
        <v>0.906700274632256</v>
      </c>
      <c r="G2540">
        <v>0.90451826492607501</v>
      </c>
      <c r="H2540" t="str">
        <f t="shared" si="39"/>
        <v>Q4</v>
      </c>
    </row>
    <row r="2541" spans="1:8">
      <c r="A2541">
        <v>757983</v>
      </c>
      <c r="B2541" t="s">
        <v>2403</v>
      </c>
      <c r="C2541">
        <v>66</v>
      </c>
      <c r="D2541">
        <v>4.24804833548313</v>
      </c>
      <c r="E2541">
        <v>280.37119014188602</v>
      </c>
      <c r="F2541">
        <v>0.86968135134118396</v>
      </c>
      <c r="G2541">
        <v>0.90448064406907203</v>
      </c>
      <c r="H2541" t="str">
        <f t="shared" si="39"/>
        <v>Q4</v>
      </c>
    </row>
    <row r="2542" spans="1:8">
      <c r="A2542">
        <v>726718</v>
      </c>
      <c r="B2542" t="s">
        <v>3008</v>
      </c>
      <c r="C2542">
        <v>88</v>
      </c>
      <c r="D2542">
        <v>3.1857857724059002</v>
      </c>
      <c r="E2542">
        <v>280.34914797172001</v>
      </c>
      <c r="F2542">
        <v>0.90045521236973802</v>
      </c>
      <c r="G2542">
        <v>0.90444302321206904</v>
      </c>
      <c r="H2542" t="str">
        <f t="shared" si="39"/>
        <v>Q4</v>
      </c>
    </row>
    <row r="2543" spans="1:8">
      <c r="A2543">
        <v>717995</v>
      </c>
      <c r="B2543" t="s">
        <v>4113</v>
      </c>
      <c r="C2543">
        <v>92</v>
      </c>
      <c r="D2543">
        <v>3.04672064097679</v>
      </c>
      <c r="E2543">
        <v>280.29829896986502</v>
      </c>
      <c r="F2543">
        <v>0.90429253978405599</v>
      </c>
      <c r="G2543">
        <v>0.90440540235506595</v>
      </c>
      <c r="H2543" t="str">
        <f t="shared" si="39"/>
        <v>Q4</v>
      </c>
    </row>
    <row r="2544" spans="1:8">
      <c r="A2544">
        <v>369796</v>
      </c>
      <c r="B2544" t="s">
        <v>2377</v>
      </c>
      <c r="C2544">
        <v>233</v>
      </c>
      <c r="D2544">
        <v>1.20280787634539</v>
      </c>
      <c r="E2544">
        <v>280.25423518847703</v>
      </c>
      <c r="F2544">
        <v>0.96614122869718999</v>
      </c>
      <c r="G2544">
        <v>0.90436778149806296</v>
      </c>
      <c r="H2544" t="str">
        <f t="shared" si="39"/>
        <v>Q2</v>
      </c>
    </row>
    <row r="2545" spans="1:8">
      <c r="A2545">
        <v>721952</v>
      </c>
      <c r="B2545" t="s">
        <v>2938</v>
      </c>
      <c r="C2545">
        <v>57</v>
      </c>
      <c r="D2545">
        <v>4.9153732756773598</v>
      </c>
      <c r="E2545">
        <v>280.17627671360998</v>
      </c>
      <c r="F2545">
        <v>0.851849065121703</v>
      </c>
      <c r="G2545">
        <v>0.90433016064105898</v>
      </c>
      <c r="H2545" t="str">
        <f t="shared" si="39"/>
        <v>Q3</v>
      </c>
    </row>
    <row r="2546" spans="1:8">
      <c r="A2546">
        <v>751282</v>
      </c>
      <c r="B2546" t="s">
        <v>500</v>
      </c>
      <c r="C2546">
        <v>97</v>
      </c>
      <c r="D2546">
        <v>2.8879783413920199</v>
      </c>
      <c r="E2546">
        <v>280.133899115026</v>
      </c>
      <c r="F2546">
        <v>0.909108009480456</v>
      </c>
      <c r="G2546">
        <v>0.90429253978405599</v>
      </c>
      <c r="H2546" t="str">
        <f t="shared" si="39"/>
        <v>Q4</v>
      </c>
    </row>
    <row r="2547" spans="1:8">
      <c r="A2547">
        <v>766194</v>
      </c>
      <c r="B2547" t="s">
        <v>345</v>
      </c>
      <c r="C2547">
        <v>158</v>
      </c>
      <c r="D2547">
        <v>1.77237716167458</v>
      </c>
      <c r="E2547">
        <v>280.03559154458299</v>
      </c>
      <c r="F2547">
        <v>0.94563786163048802</v>
      </c>
      <c r="G2547">
        <v>0.90425491892705301</v>
      </c>
      <c r="H2547" t="str">
        <f t="shared" si="39"/>
        <v>Q4</v>
      </c>
    </row>
    <row r="2548" spans="1:8">
      <c r="A2548">
        <v>607154</v>
      </c>
      <c r="B2548" t="s">
        <v>336</v>
      </c>
      <c r="C2548">
        <v>70</v>
      </c>
      <c r="D2548">
        <v>3.9983293014977699</v>
      </c>
      <c r="E2548">
        <v>279.88305110484401</v>
      </c>
      <c r="F2548">
        <v>0.87555020503367098</v>
      </c>
      <c r="G2548">
        <v>0.90421729807005002</v>
      </c>
      <c r="H2548" t="str">
        <f t="shared" si="39"/>
        <v>Q4</v>
      </c>
    </row>
    <row r="2549" spans="1:8">
      <c r="A2549">
        <v>680846</v>
      </c>
      <c r="B2549" t="s">
        <v>5139</v>
      </c>
      <c r="C2549">
        <v>180</v>
      </c>
      <c r="D2549">
        <v>1.5547645568019799</v>
      </c>
      <c r="E2549">
        <v>279.85762022435699</v>
      </c>
      <c r="F2549">
        <v>0.95346299988713701</v>
      </c>
      <c r="G2549">
        <v>0.90417967721304704</v>
      </c>
      <c r="H2549" t="str">
        <f t="shared" si="39"/>
        <v>Q2</v>
      </c>
    </row>
    <row r="2550" spans="1:8">
      <c r="A2550">
        <v>726106</v>
      </c>
      <c r="B2550" t="s">
        <v>5010</v>
      </c>
      <c r="C2550">
        <v>48</v>
      </c>
      <c r="D2550">
        <v>5.82817791340252</v>
      </c>
      <c r="E2550">
        <v>279.75253984332102</v>
      </c>
      <c r="F2550">
        <v>0.82957751777585498</v>
      </c>
      <c r="G2550">
        <v>0.90414205635604405</v>
      </c>
      <c r="H2550" t="str">
        <f t="shared" si="39"/>
        <v>Q3</v>
      </c>
    </row>
    <row r="2551" spans="1:8">
      <c r="A2551">
        <v>803250</v>
      </c>
      <c r="B2551" t="s">
        <v>540</v>
      </c>
      <c r="C2551">
        <v>82</v>
      </c>
      <c r="D2551">
        <v>3.41008679214411</v>
      </c>
      <c r="E2551">
        <v>279.62711695581697</v>
      </c>
      <c r="F2551">
        <v>0.894323012678229</v>
      </c>
      <c r="G2551">
        <v>0.90410443549904096</v>
      </c>
      <c r="H2551" t="str">
        <f t="shared" si="39"/>
        <v>Q4</v>
      </c>
    </row>
    <row r="2552" spans="1:8">
      <c r="A2552">
        <v>805510</v>
      </c>
      <c r="B2552" t="s">
        <v>279</v>
      </c>
      <c r="C2552">
        <v>180</v>
      </c>
      <c r="D2552">
        <v>1.5531826117593399</v>
      </c>
      <c r="E2552">
        <v>279.57287011668097</v>
      </c>
      <c r="F2552">
        <v>0.95346299988713701</v>
      </c>
      <c r="G2552">
        <v>0.90406681464203797</v>
      </c>
      <c r="H2552" t="str">
        <f t="shared" si="39"/>
        <v>Q2</v>
      </c>
    </row>
    <row r="2553" spans="1:8">
      <c r="A2553">
        <v>578311</v>
      </c>
      <c r="B2553" t="s">
        <v>3522</v>
      </c>
      <c r="C2553">
        <v>62</v>
      </c>
      <c r="D2553">
        <v>4.5089666010631699</v>
      </c>
      <c r="E2553">
        <v>279.55592926591601</v>
      </c>
      <c r="F2553">
        <v>0.86238290508257798</v>
      </c>
      <c r="G2553">
        <v>0.90402919378503399</v>
      </c>
      <c r="H2553" t="str">
        <f t="shared" si="39"/>
        <v>Q4</v>
      </c>
    </row>
    <row r="2554" spans="1:8">
      <c r="A2554">
        <v>797065</v>
      </c>
      <c r="B2554" t="s">
        <v>763</v>
      </c>
      <c r="C2554">
        <v>43</v>
      </c>
      <c r="D2554">
        <v>6.4990933464710103</v>
      </c>
      <c r="E2554">
        <v>279.46101389825299</v>
      </c>
      <c r="F2554">
        <v>0.81437869154659304</v>
      </c>
      <c r="G2554">
        <v>0.90399157292803101</v>
      </c>
      <c r="H2554" t="str">
        <f t="shared" si="39"/>
        <v>Q3</v>
      </c>
    </row>
    <row r="2555" spans="1:8">
      <c r="A2555">
        <v>705964</v>
      </c>
      <c r="B2555" t="s">
        <v>3717</v>
      </c>
      <c r="C2555">
        <v>81</v>
      </c>
      <c r="D2555">
        <v>3.4492781230559002</v>
      </c>
      <c r="E2555">
        <v>279.39152796752802</v>
      </c>
      <c r="F2555">
        <v>0.89293104096911302</v>
      </c>
      <c r="G2555">
        <v>0.90395395207102802</v>
      </c>
      <c r="H2555" t="str">
        <f t="shared" si="39"/>
        <v>Q4</v>
      </c>
    </row>
    <row r="2556" spans="1:8">
      <c r="A2556">
        <v>685468</v>
      </c>
      <c r="B2556" t="s">
        <v>3253</v>
      </c>
      <c r="C2556">
        <v>95</v>
      </c>
      <c r="D2556">
        <v>2.9391792798904999</v>
      </c>
      <c r="E2556">
        <v>279.22203158959701</v>
      </c>
      <c r="F2556">
        <v>0.90760317520033096</v>
      </c>
      <c r="G2556">
        <v>0.90391633121402504</v>
      </c>
      <c r="H2556" t="str">
        <f t="shared" si="39"/>
        <v>Q4</v>
      </c>
    </row>
    <row r="2557" spans="1:8">
      <c r="A2557">
        <v>741843</v>
      </c>
      <c r="B2557" t="s">
        <v>2908</v>
      </c>
      <c r="C2557">
        <v>123</v>
      </c>
      <c r="D2557">
        <v>2.2669147079189602</v>
      </c>
      <c r="E2557">
        <v>278.83050907403202</v>
      </c>
      <c r="F2557">
        <v>0.92893420112110203</v>
      </c>
      <c r="G2557">
        <v>0.90387871035702205</v>
      </c>
      <c r="H2557" t="str">
        <f t="shared" si="39"/>
        <v>Q4</v>
      </c>
    </row>
    <row r="2558" spans="1:8">
      <c r="A2558">
        <v>779630</v>
      </c>
      <c r="B2558" t="s">
        <v>2924</v>
      </c>
      <c r="C2558">
        <v>133</v>
      </c>
      <c r="D2558">
        <v>2.0958582047877199</v>
      </c>
      <c r="E2558">
        <v>278.749141236767</v>
      </c>
      <c r="F2558">
        <v>0.93476543395658596</v>
      </c>
      <c r="G2558">
        <v>0.90384108950001896</v>
      </c>
      <c r="H2558" t="str">
        <f t="shared" si="39"/>
        <v>Q4</v>
      </c>
    </row>
    <row r="2559" spans="1:8">
      <c r="A2559">
        <v>378124</v>
      </c>
      <c r="B2559" t="s">
        <v>2615</v>
      </c>
      <c r="C2559">
        <v>45</v>
      </c>
      <c r="D2559">
        <v>6.19329562617673</v>
      </c>
      <c r="E2559">
        <v>278.69830317795299</v>
      </c>
      <c r="F2559">
        <v>0.82069899552311798</v>
      </c>
      <c r="G2559">
        <v>0.90380346864301597</v>
      </c>
      <c r="H2559" t="str">
        <f t="shared" si="39"/>
        <v>Q3</v>
      </c>
    </row>
    <row r="2560" spans="1:8">
      <c r="A2560">
        <v>727593</v>
      </c>
      <c r="B2560" t="s">
        <v>4891</v>
      </c>
      <c r="C2560">
        <v>215</v>
      </c>
      <c r="D2560">
        <v>1.2960504158399999</v>
      </c>
      <c r="E2560">
        <v>278.65083940559998</v>
      </c>
      <c r="F2560">
        <v>0.96275535156690895</v>
      </c>
      <c r="G2560">
        <v>0.90376584778601299</v>
      </c>
      <c r="H2560" t="str">
        <f t="shared" si="39"/>
        <v>Q2</v>
      </c>
    </row>
    <row r="2561" spans="1:8">
      <c r="A2561">
        <v>723367</v>
      </c>
      <c r="B2561" t="s">
        <v>804</v>
      </c>
      <c r="C2561">
        <v>139</v>
      </c>
      <c r="D2561">
        <v>2.00323131280489</v>
      </c>
      <c r="E2561">
        <v>278.44915247988001</v>
      </c>
      <c r="F2561">
        <v>0.93796320680185097</v>
      </c>
      <c r="G2561">
        <v>0.903728226929009</v>
      </c>
      <c r="H2561" t="str">
        <f t="shared" si="39"/>
        <v>Q4</v>
      </c>
    </row>
    <row r="2562" spans="1:8">
      <c r="A2562">
        <v>759465</v>
      </c>
      <c r="B2562" t="s">
        <v>4877</v>
      </c>
      <c r="C2562">
        <v>249</v>
      </c>
      <c r="D2562">
        <v>1.1178340644100599</v>
      </c>
      <c r="E2562">
        <v>278.34068203810602</v>
      </c>
      <c r="F2562">
        <v>0.96873706783040503</v>
      </c>
      <c r="G2562">
        <v>0.90369060607200602</v>
      </c>
      <c r="H2562" t="str">
        <f t="shared" si="39"/>
        <v>Q2</v>
      </c>
    </row>
    <row r="2563" spans="1:8">
      <c r="A2563">
        <v>681376</v>
      </c>
      <c r="B2563" t="s">
        <v>3467</v>
      </c>
      <c r="C2563">
        <v>69</v>
      </c>
      <c r="D2563">
        <v>4.0338982922443396</v>
      </c>
      <c r="E2563">
        <v>278.33898216486</v>
      </c>
      <c r="F2563">
        <v>0.87393250818253598</v>
      </c>
      <c r="G2563">
        <v>0.90365298521500304</v>
      </c>
      <c r="H2563" t="str">
        <f t="shared" ref="H2563:H2626" si="40">IF(C2563&gt;$J$2,
   IF(D2563&gt;$J$3,"Q1","Q2"),
   IF(D2563&gt;$J$3,"Q3","Q4"))</f>
        <v>Q4</v>
      </c>
    </row>
    <row r="2564" spans="1:8">
      <c r="A2564">
        <v>831918</v>
      </c>
      <c r="B2564" t="s">
        <v>2305</v>
      </c>
      <c r="C2564">
        <v>55</v>
      </c>
      <c r="D2564">
        <v>5.0603389739990199</v>
      </c>
      <c r="E2564">
        <v>278.318643569946</v>
      </c>
      <c r="F2564">
        <v>0.84763552913735396</v>
      </c>
      <c r="G2564">
        <v>0.90361536435800005</v>
      </c>
      <c r="H2564" t="str">
        <f t="shared" si="40"/>
        <v>Q3</v>
      </c>
    </row>
    <row r="2565" spans="1:8">
      <c r="A2565">
        <v>760111</v>
      </c>
      <c r="B2565" t="s">
        <v>4443</v>
      </c>
      <c r="C2565">
        <v>106</v>
      </c>
      <c r="D2565">
        <v>2.6243523575963001</v>
      </c>
      <c r="E2565">
        <v>278.18134990520798</v>
      </c>
      <c r="F2565">
        <v>0.91730935630713695</v>
      </c>
      <c r="G2565">
        <v>0.90357774350099695</v>
      </c>
      <c r="H2565" t="str">
        <f t="shared" si="40"/>
        <v>Q4</v>
      </c>
    </row>
    <row r="2566" spans="1:8">
      <c r="A2566">
        <v>725293</v>
      </c>
      <c r="B2566" t="s">
        <v>3091</v>
      </c>
      <c r="C2566">
        <v>114</v>
      </c>
      <c r="D2566">
        <v>2.4400832687030798</v>
      </c>
      <c r="E2566">
        <v>278.16949263215099</v>
      </c>
      <c r="F2566">
        <v>0.92306534742861401</v>
      </c>
      <c r="G2566">
        <v>0.90354012264399397</v>
      </c>
      <c r="H2566" t="str">
        <f t="shared" si="40"/>
        <v>Q4</v>
      </c>
    </row>
    <row r="2567" spans="1:8">
      <c r="A2567">
        <v>765123</v>
      </c>
      <c r="B2567" t="s">
        <v>4789</v>
      </c>
      <c r="C2567">
        <v>34</v>
      </c>
      <c r="D2567">
        <v>8.1787637489683505</v>
      </c>
      <c r="E2567">
        <v>278.07796746492397</v>
      </c>
      <c r="F2567">
        <v>0.77969226138971404</v>
      </c>
      <c r="G2567">
        <v>0.90350250178699099</v>
      </c>
      <c r="H2567" t="str">
        <f t="shared" si="40"/>
        <v>Q3</v>
      </c>
    </row>
    <row r="2568" spans="1:8">
      <c r="A2568">
        <v>808305</v>
      </c>
      <c r="B2568" t="s">
        <v>294</v>
      </c>
      <c r="C2568">
        <v>116</v>
      </c>
      <c r="D2568">
        <v>2.3966101752915301</v>
      </c>
      <c r="E2568">
        <v>278.00678033381701</v>
      </c>
      <c r="F2568">
        <v>0.924720665136752</v>
      </c>
      <c r="G2568">
        <v>0.903464880929988</v>
      </c>
      <c r="H2568" t="str">
        <f t="shared" si="40"/>
        <v>Q4</v>
      </c>
    </row>
    <row r="2569" spans="1:8">
      <c r="A2569">
        <v>726998</v>
      </c>
      <c r="B2569" t="s">
        <v>2171</v>
      </c>
      <c r="C2569">
        <v>83</v>
      </c>
      <c r="D2569">
        <v>3.3482744437025298</v>
      </c>
      <c r="E2569">
        <v>277.90677882731001</v>
      </c>
      <c r="F2569">
        <v>0.89530115496031004</v>
      </c>
      <c r="G2569">
        <v>0.90342726007298402</v>
      </c>
      <c r="H2569" t="str">
        <f t="shared" si="40"/>
        <v>Q4</v>
      </c>
    </row>
    <row r="2570" spans="1:8">
      <c r="A2570">
        <v>750444</v>
      </c>
      <c r="B2570" t="s">
        <v>4517</v>
      </c>
      <c r="C2570">
        <v>49</v>
      </c>
      <c r="D2570">
        <v>5.6713941145916396</v>
      </c>
      <c r="E2570">
        <v>277.89831161499001</v>
      </c>
      <c r="F2570">
        <v>0.83258718633610496</v>
      </c>
      <c r="G2570">
        <v>0.90338963921598103</v>
      </c>
      <c r="H2570" t="str">
        <f t="shared" si="40"/>
        <v>Q3</v>
      </c>
    </row>
    <row r="2571" spans="1:8">
      <c r="A2571">
        <v>710312</v>
      </c>
      <c r="B2571" t="s">
        <v>3534</v>
      </c>
      <c r="C2571">
        <v>52</v>
      </c>
      <c r="D2571">
        <v>5.3440025774761999</v>
      </c>
      <c r="E2571">
        <v>277.88813402876298</v>
      </c>
      <c r="F2571">
        <v>0.84003611602272299</v>
      </c>
      <c r="G2571">
        <v>0.90335201835897805</v>
      </c>
      <c r="H2571" t="str">
        <f t="shared" si="40"/>
        <v>Q3</v>
      </c>
    </row>
    <row r="2572" spans="1:8">
      <c r="A2572">
        <v>753076</v>
      </c>
      <c r="B2572" t="s">
        <v>384</v>
      </c>
      <c r="C2572">
        <v>42</v>
      </c>
      <c r="D2572">
        <v>6.6158998580206001</v>
      </c>
      <c r="E2572">
        <v>277.86779403686501</v>
      </c>
      <c r="F2572">
        <v>0.81103043527331597</v>
      </c>
      <c r="G2572">
        <v>0.90331439750197495</v>
      </c>
      <c r="H2572" t="str">
        <f t="shared" si="40"/>
        <v>Q3</v>
      </c>
    </row>
    <row r="2573" spans="1:8">
      <c r="A2573">
        <v>771806</v>
      </c>
      <c r="B2573" t="s">
        <v>956</v>
      </c>
      <c r="C2573">
        <v>118</v>
      </c>
      <c r="D2573">
        <v>2.3538782008750001</v>
      </c>
      <c r="E2573">
        <v>277.757627703249</v>
      </c>
      <c r="F2573">
        <v>0.92592453256085205</v>
      </c>
      <c r="G2573">
        <v>0.90327677664497197</v>
      </c>
      <c r="H2573" t="str">
        <f t="shared" si="40"/>
        <v>Q4</v>
      </c>
    </row>
    <row r="2574" spans="1:8">
      <c r="A2574">
        <v>788383</v>
      </c>
      <c r="B2574" t="s">
        <v>5173</v>
      </c>
      <c r="C2574">
        <v>85</v>
      </c>
      <c r="D2574">
        <v>3.2634296465446</v>
      </c>
      <c r="E2574">
        <v>277.39151995629101</v>
      </c>
      <c r="F2574">
        <v>0.89721981866746903</v>
      </c>
      <c r="G2574">
        <v>0.90323915578796898</v>
      </c>
      <c r="H2574" t="str">
        <f t="shared" si="40"/>
        <v>Q4</v>
      </c>
    </row>
    <row r="2575" spans="1:8">
      <c r="A2575">
        <v>782061</v>
      </c>
      <c r="B2575" t="s">
        <v>4855</v>
      </c>
      <c r="C2575">
        <v>28</v>
      </c>
      <c r="D2575">
        <v>9.9052060129387005</v>
      </c>
      <c r="E2575">
        <v>277.34576836228399</v>
      </c>
      <c r="F2575">
        <v>0.74974605921522897</v>
      </c>
      <c r="G2575">
        <v>0.903201534930966</v>
      </c>
      <c r="H2575" t="str">
        <f t="shared" si="40"/>
        <v>Q3</v>
      </c>
    </row>
    <row r="2576" spans="1:8">
      <c r="A2576">
        <v>763469</v>
      </c>
      <c r="B2576" t="s">
        <v>1381</v>
      </c>
      <c r="C2576">
        <v>70</v>
      </c>
      <c r="D2576">
        <v>3.9614528071667499</v>
      </c>
      <c r="E2576">
        <v>277.30169650167198</v>
      </c>
      <c r="F2576">
        <v>0.87555020503367098</v>
      </c>
      <c r="G2576">
        <v>0.90316391407396301</v>
      </c>
      <c r="H2576" t="str">
        <f t="shared" si="40"/>
        <v>Q4</v>
      </c>
    </row>
    <row r="2577" spans="1:8">
      <c r="A2577">
        <v>516000</v>
      </c>
      <c r="B2577" t="s">
        <v>1627</v>
      </c>
      <c r="C2577">
        <v>185</v>
      </c>
      <c r="D2577">
        <v>1.4988822233233901</v>
      </c>
      <c r="E2577">
        <v>277.29321131482698</v>
      </c>
      <c r="F2577">
        <v>0.95515593845227797</v>
      </c>
      <c r="G2577">
        <v>0.90312629321695903</v>
      </c>
      <c r="H2577" t="str">
        <f t="shared" si="40"/>
        <v>Q2</v>
      </c>
    </row>
    <row r="2578" spans="1:8">
      <c r="A2578">
        <v>557246</v>
      </c>
      <c r="B2578" t="s">
        <v>2149</v>
      </c>
      <c r="C2578">
        <v>116</v>
      </c>
      <c r="D2578">
        <v>2.39041492519579</v>
      </c>
      <c r="E2578">
        <v>277.28813132271199</v>
      </c>
      <c r="F2578">
        <v>0.924720665136752</v>
      </c>
      <c r="G2578">
        <v>0.90308867235995605</v>
      </c>
      <c r="H2578" t="str">
        <f t="shared" si="40"/>
        <v>Q4</v>
      </c>
    </row>
    <row r="2579" spans="1:8">
      <c r="A2579">
        <v>696942</v>
      </c>
      <c r="B2579" t="s">
        <v>4800</v>
      </c>
      <c r="C2579">
        <v>58</v>
      </c>
      <c r="D2579">
        <v>4.77919343473582</v>
      </c>
      <c r="E2579">
        <v>277.19321921467798</v>
      </c>
      <c r="F2579">
        <v>0.853993453970881</v>
      </c>
      <c r="G2579">
        <v>0.90305105150295295</v>
      </c>
      <c r="H2579" t="str">
        <f t="shared" si="40"/>
        <v>Q4</v>
      </c>
    </row>
    <row r="2580" spans="1:8">
      <c r="A2580">
        <v>735577</v>
      </c>
      <c r="B2580" t="s">
        <v>2274</v>
      </c>
      <c r="C2580">
        <v>21</v>
      </c>
      <c r="D2580">
        <v>13.195803548608501</v>
      </c>
      <c r="E2580">
        <v>277.111874520779</v>
      </c>
      <c r="F2580">
        <v>0.70008652797110704</v>
      </c>
      <c r="G2580">
        <v>0.90301343064594997</v>
      </c>
      <c r="H2580" t="str">
        <f t="shared" si="40"/>
        <v>Q3</v>
      </c>
    </row>
    <row r="2581" spans="1:8">
      <c r="A2581">
        <v>717930</v>
      </c>
      <c r="B2581" t="s">
        <v>4256</v>
      </c>
      <c r="C2581">
        <v>82</v>
      </c>
      <c r="D2581">
        <v>3.3778007312609701</v>
      </c>
      <c r="E2581">
        <v>276.979659963399</v>
      </c>
      <c r="F2581">
        <v>0.894323012678229</v>
      </c>
      <c r="G2581">
        <v>0.90297580978894698</v>
      </c>
      <c r="H2581" t="str">
        <f t="shared" si="40"/>
        <v>Q4</v>
      </c>
    </row>
    <row r="2582" spans="1:8">
      <c r="A2582">
        <v>598755</v>
      </c>
      <c r="B2582" t="s">
        <v>4811</v>
      </c>
      <c r="C2582">
        <v>215</v>
      </c>
      <c r="D2582">
        <v>1.28819075997832</v>
      </c>
      <c r="E2582">
        <v>276.96101339533902</v>
      </c>
      <c r="F2582">
        <v>0.96275535156690895</v>
      </c>
      <c r="G2582">
        <v>0.902938188931944</v>
      </c>
      <c r="H2582" t="str">
        <f t="shared" si="40"/>
        <v>Q2</v>
      </c>
    </row>
    <row r="2583" spans="1:8">
      <c r="A2583">
        <v>743229</v>
      </c>
      <c r="B2583" t="s">
        <v>3290</v>
      </c>
      <c r="C2583">
        <v>136</v>
      </c>
      <c r="D2583">
        <v>2.03472075038863</v>
      </c>
      <c r="E2583">
        <v>276.72202205285402</v>
      </c>
      <c r="F2583">
        <v>0.93630788909371399</v>
      </c>
      <c r="G2583">
        <v>0.90290056807494101</v>
      </c>
      <c r="H2583" t="str">
        <f t="shared" si="40"/>
        <v>Q4</v>
      </c>
    </row>
    <row r="2584" spans="1:8">
      <c r="A2584">
        <v>699203</v>
      </c>
      <c r="B2584" t="s">
        <v>1882</v>
      </c>
      <c r="C2584">
        <v>37</v>
      </c>
      <c r="D2584">
        <v>7.4781951897249002</v>
      </c>
      <c r="E2584">
        <v>276.69322201982101</v>
      </c>
      <c r="F2584">
        <v>0.79304766562582296</v>
      </c>
      <c r="G2584">
        <v>0.90286294721793803</v>
      </c>
      <c r="H2584" t="str">
        <f t="shared" si="40"/>
        <v>Q3</v>
      </c>
    </row>
    <row r="2585" spans="1:8">
      <c r="A2585">
        <v>733310</v>
      </c>
      <c r="B2585" t="s">
        <v>1724</v>
      </c>
      <c r="C2585">
        <v>109</v>
      </c>
      <c r="D2585">
        <v>2.5366194900808798</v>
      </c>
      <c r="E2585">
        <v>276.49152441881603</v>
      </c>
      <c r="F2585">
        <v>0.91922802001429604</v>
      </c>
      <c r="G2585">
        <v>0.90282532636093404</v>
      </c>
      <c r="H2585" t="str">
        <f t="shared" si="40"/>
        <v>Q4</v>
      </c>
    </row>
    <row r="2586" spans="1:8">
      <c r="A2586">
        <v>742258</v>
      </c>
      <c r="B2586" t="s">
        <v>4967</v>
      </c>
      <c r="C2586">
        <v>91</v>
      </c>
      <c r="D2586">
        <v>3.0372508453553202</v>
      </c>
      <c r="E2586">
        <v>276.38982692733401</v>
      </c>
      <c r="F2586">
        <v>0.90350250178699099</v>
      </c>
      <c r="G2586">
        <v>0.90278770550393095</v>
      </c>
      <c r="H2586" t="str">
        <f t="shared" si="40"/>
        <v>Q4</v>
      </c>
    </row>
    <row r="2587" spans="1:8">
      <c r="A2587">
        <v>688605</v>
      </c>
      <c r="B2587" t="s">
        <v>4362</v>
      </c>
      <c r="C2587">
        <v>224</v>
      </c>
      <c r="D2587">
        <v>1.2333837339351099</v>
      </c>
      <c r="E2587">
        <v>276.277956401464</v>
      </c>
      <c r="F2587">
        <v>0.96437304841804306</v>
      </c>
      <c r="G2587">
        <v>0.90275008464692796</v>
      </c>
      <c r="H2587" t="str">
        <f t="shared" si="40"/>
        <v>Q2</v>
      </c>
    </row>
    <row r="2588" spans="1:8">
      <c r="A2588">
        <v>575466</v>
      </c>
      <c r="B2588" t="s">
        <v>3353</v>
      </c>
      <c r="C2588">
        <v>57</v>
      </c>
      <c r="D2588">
        <v>4.8461493480493099</v>
      </c>
      <c r="E2588">
        <v>276.23051283881102</v>
      </c>
      <c r="F2588">
        <v>0.851849065121703</v>
      </c>
      <c r="G2588">
        <v>0.90271246378992498</v>
      </c>
      <c r="H2588" t="str">
        <f t="shared" si="40"/>
        <v>Q4</v>
      </c>
    </row>
    <row r="2589" spans="1:8">
      <c r="A2589">
        <v>765569</v>
      </c>
      <c r="B2589" t="s">
        <v>4310</v>
      </c>
      <c r="C2589">
        <v>51</v>
      </c>
      <c r="D2589">
        <v>5.4147225822888201</v>
      </c>
      <c r="E2589">
        <v>276.15085169673</v>
      </c>
      <c r="F2589">
        <v>0.83762838117452298</v>
      </c>
      <c r="G2589">
        <v>0.90267484293292199</v>
      </c>
      <c r="H2589" t="str">
        <f t="shared" si="40"/>
        <v>Q3</v>
      </c>
    </row>
    <row r="2590" spans="1:8">
      <c r="A2590">
        <v>771131</v>
      </c>
      <c r="B2590" t="s">
        <v>324</v>
      </c>
      <c r="C2590">
        <v>86</v>
      </c>
      <c r="D2590">
        <v>3.2082380315418901</v>
      </c>
      <c r="E2590">
        <v>275.90847071260202</v>
      </c>
      <c r="F2590">
        <v>0.89864941123358799</v>
      </c>
      <c r="G2590">
        <v>0.90263722207591901</v>
      </c>
      <c r="H2590" t="str">
        <f t="shared" si="40"/>
        <v>Q4</v>
      </c>
    </row>
    <row r="2591" spans="1:8">
      <c r="A2591">
        <v>764280</v>
      </c>
      <c r="B2591" t="s">
        <v>2411</v>
      </c>
      <c r="C2591">
        <v>87</v>
      </c>
      <c r="D2591">
        <v>3.1701733315384901</v>
      </c>
      <c r="E2591">
        <v>275.805079843849</v>
      </c>
      <c r="F2591">
        <v>0.89955231180166295</v>
      </c>
      <c r="G2591">
        <v>0.90259960121891603</v>
      </c>
      <c r="H2591" t="str">
        <f t="shared" si="40"/>
        <v>Q4</v>
      </c>
    </row>
    <row r="2592" spans="1:8">
      <c r="A2592">
        <v>797624</v>
      </c>
      <c r="B2592" t="s">
        <v>2266</v>
      </c>
      <c r="C2592">
        <v>111</v>
      </c>
      <c r="D2592">
        <v>2.4842723784548699</v>
      </c>
      <c r="E2592">
        <v>275.75423400849098</v>
      </c>
      <c r="F2592">
        <v>0.92084571686543004</v>
      </c>
      <c r="G2592">
        <v>0.90256198036191304</v>
      </c>
      <c r="H2592" t="str">
        <f t="shared" si="40"/>
        <v>Q4</v>
      </c>
    </row>
    <row r="2593" spans="1:8">
      <c r="A2593">
        <v>779649</v>
      </c>
      <c r="B2593" t="s">
        <v>4024</v>
      </c>
      <c r="C2593">
        <v>49</v>
      </c>
      <c r="D2593">
        <v>5.62666912696191</v>
      </c>
      <c r="E2593">
        <v>275.70678722113399</v>
      </c>
      <c r="F2593">
        <v>0.83258718633610496</v>
      </c>
      <c r="G2593">
        <v>0.90252435950490995</v>
      </c>
      <c r="H2593" t="str">
        <f t="shared" si="40"/>
        <v>Q3</v>
      </c>
    </row>
    <row r="2594" spans="1:8">
      <c r="A2594">
        <v>763178</v>
      </c>
      <c r="B2594" t="s">
        <v>4943</v>
      </c>
      <c r="C2594">
        <v>47</v>
      </c>
      <c r="D2594">
        <v>5.8626397175991798</v>
      </c>
      <c r="E2594">
        <v>275.54406672716101</v>
      </c>
      <c r="F2594">
        <v>0.82641736578759295</v>
      </c>
      <c r="G2594">
        <v>0.90248673864790596</v>
      </c>
      <c r="H2594" t="str">
        <f t="shared" si="40"/>
        <v>Q3</v>
      </c>
    </row>
    <row r="2595" spans="1:8">
      <c r="A2595">
        <v>739323</v>
      </c>
      <c r="B2595" t="s">
        <v>5040</v>
      </c>
      <c r="C2595">
        <v>42</v>
      </c>
      <c r="D2595">
        <v>6.5587570181205201</v>
      </c>
      <c r="E2595">
        <v>275.46779476106201</v>
      </c>
      <c r="F2595">
        <v>0.81103043527331597</v>
      </c>
      <c r="G2595">
        <v>0.90244911779090298</v>
      </c>
      <c r="H2595" t="str">
        <f t="shared" si="40"/>
        <v>Q3</v>
      </c>
    </row>
    <row r="2596" spans="1:8">
      <c r="A2596">
        <v>742038</v>
      </c>
      <c r="B2596" t="s">
        <v>2707</v>
      </c>
      <c r="C2596">
        <v>119</v>
      </c>
      <c r="D2596">
        <v>2.31482695021174</v>
      </c>
      <c r="E2596">
        <v>275.46440707519702</v>
      </c>
      <c r="F2596">
        <v>0.92667694970091397</v>
      </c>
      <c r="G2596">
        <v>0.90241149693389999</v>
      </c>
      <c r="H2596" t="str">
        <f t="shared" si="40"/>
        <v>Q4</v>
      </c>
    </row>
    <row r="2597" spans="1:8">
      <c r="A2597">
        <v>832494</v>
      </c>
      <c r="B2597" t="s">
        <v>1779</v>
      </c>
      <c r="C2597">
        <v>48</v>
      </c>
      <c r="D2597">
        <v>5.7354874210432198</v>
      </c>
      <c r="E2597">
        <v>275.30339621007403</v>
      </c>
      <c r="F2597">
        <v>0.82957751777585498</v>
      </c>
      <c r="G2597">
        <v>0.90237387607689701</v>
      </c>
      <c r="H2597" t="str">
        <f t="shared" si="40"/>
        <v>Q3</v>
      </c>
    </row>
    <row r="2598" spans="1:8">
      <c r="A2598">
        <v>749801</v>
      </c>
      <c r="B2598" t="s">
        <v>656</v>
      </c>
      <c r="C2598">
        <v>99</v>
      </c>
      <c r="D2598">
        <v>2.7801574753465701</v>
      </c>
      <c r="E2598">
        <v>275.23559005931003</v>
      </c>
      <c r="F2598">
        <v>0.91076332718859299</v>
      </c>
      <c r="G2598">
        <v>0.90233625521989402</v>
      </c>
      <c r="H2598" t="str">
        <f t="shared" si="40"/>
        <v>Q4</v>
      </c>
    </row>
    <row r="2599" spans="1:8">
      <c r="A2599">
        <v>738713</v>
      </c>
      <c r="B2599" t="s">
        <v>3949</v>
      </c>
      <c r="C2599">
        <v>73</v>
      </c>
      <c r="D2599">
        <v>3.7703041612387498</v>
      </c>
      <c r="E2599">
        <v>275.23220377042901</v>
      </c>
      <c r="F2599">
        <v>0.88111809187013301</v>
      </c>
      <c r="G2599">
        <v>0.90229863436289104</v>
      </c>
      <c r="H2599" t="str">
        <f t="shared" si="40"/>
        <v>Q4</v>
      </c>
    </row>
    <row r="2600" spans="1:8">
      <c r="A2600">
        <v>700371</v>
      </c>
      <c r="B2600" t="s">
        <v>891</v>
      </c>
      <c r="C2600">
        <v>174</v>
      </c>
      <c r="D2600">
        <v>1.5815117265948799</v>
      </c>
      <c r="E2600">
        <v>275.18304042750998</v>
      </c>
      <c r="F2600">
        <v>0.95150671532297504</v>
      </c>
      <c r="G2600">
        <v>0.90226101350588805</v>
      </c>
      <c r="H2600" t="str">
        <f t="shared" si="40"/>
        <v>Q2</v>
      </c>
    </row>
    <row r="2601" spans="1:8">
      <c r="A2601">
        <v>708090</v>
      </c>
      <c r="B2601" t="s">
        <v>2682</v>
      </c>
      <c r="C2601">
        <v>129</v>
      </c>
      <c r="D2601">
        <v>2.1330310464944899</v>
      </c>
      <c r="E2601">
        <v>275.16100499778997</v>
      </c>
      <c r="F2601">
        <v>0.93247056167939502</v>
      </c>
      <c r="G2601">
        <v>0.90222339264888496</v>
      </c>
      <c r="H2601" t="str">
        <f t="shared" si="40"/>
        <v>Q4</v>
      </c>
    </row>
    <row r="2602" spans="1:8">
      <c r="A2602">
        <v>725177</v>
      </c>
      <c r="B2602" t="s">
        <v>1447</v>
      </c>
      <c r="C2602">
        <v>56</v>
      </c>
      <c r="D2602">
        <v>4.9087772079344303</v>
      </c>
      <c r="E2602">
        <v>274.891523644328</v>
      </c>
      <c r="F2602">
        <v>0.85004326398555397</v>
      </c>
      <c r="G2602">
        <v>0.90218577179188097</v>
      </c>
      <c r="H2602" t="str">
        <f t="shared" si="40"/>
        <v>Q3</v>
      </c>
    </row>
    <row r="2603" spans="1:8">
      <c r="A2603">
        <v>788281</v>
      </c>
      <c r="B2603" t="s">
        <v>4760</v>
      </c>
      <c r="C2603">
        <v>23</v>
      </c>
      <c r="D2603">
        <v>11.9506265806115</v>
      </c>
      <c r="E2603">
        <v>274.864411354065</v>
      </c>
      <c r="F2603">
        <v>0.71547345848538402</v>
      </c>
      <c r="G2603">
        <v>0.90214815093487799</v>
      </c>
      <c r="H2603" t="str">
        <f t="shared" si="40"/>
        <v>Q3</v>
      </c>
    </row>
    <row r="2604" spans="1:8">
      <c r="A2604">
        <v>782566</v>
      </c>
      <c r="B2604" t="s">
        <v>5044</v>
      </c>
      <c r="C2604">
        <v>88</v>
      </c>
      <c r="D2604">
        <v>3.1188943931324902</v>
      </c>
      <c r="E2604">
        <v>274.46270659565897</v>
      </c>
      <c r="F2604">
        <v>0.90045521236973802</v>
      </c>
      <c r="G2604">
        <v>0.90211053007787501</v>
      </c>
      <c r="H2604" t="str">
        <f t="shared" si="40"/>
        <v>Q4</v>
      </c>
    </row>
    <row r="2605" spans="1:8">
      <c r="A2605">
        <v>687016</v>
      </c>
      <c r="B2605" t="s">
        <v>1383</v>
      </c>
      <c r="C2605">
        <v>69</v>
      </c>
      <c r="D2605">
        <v>3.9770081625792399</v>
      </c>
      <c r="E2605">
        <v>274.41356321796798</v>
      </c>
      <c r="F2605">
        <v>0.87393250818253598</v>
      </c>
      <c r="G2605">
        <v>0.90207290922087202</v>
      </c>
      <c r="H2605" t="str">
        <f t="shared" si="40"/>
        <v>Q4</v>
      </c>
    </row>
    <row r="2606" spans="1:8">
      <c r="A2606">
        <v>742380</v>
      </c>
      <c r="B2606" t="s">
        <v>4000</v>
      </c>
      <c r="C2606">
        <v>88</v>
      </c>
      <c r="D2606">
        <v>3.1180469361557202</v>
      </c>
      <c r="E2606">
        <v>274.38813038170298</v>
      </c>
      <c r="F2606">
        <v>0.90045521236973802</v>
      </c>
      <c r="G2606">
        <v>0.90203528836386904</v>
      </c>
      <c r="H2606" t="str">
        <f t="shared" si="40"/>
        <v>Q4</v>
      </c>
    </row>
    <row r="2607" spans="1:8">
      <c r="A2607">
        <v>658506</v>
      </c>
      <c r="B2607" t="s">
        <v>4501</v>
      </c>
      <c r="C2607">
        <v>48</v>
      </c>
      <c r="D2607">
        <v>5.7122176823516702</v>
      </c>
      <c r="E2607">
        <v>274.18644875287998</v>
      </c>
      <c r="F2607">
        <v>0.82957751777585498</v>
      </c>
      <c r="G2607">
        <v>0.90199766750686605</v>
      </c>
      <c r="H2607" t="str">
        <f t="shared" si="40"/>
        <v>Q3</v>
      </c>
    </row>
    <row r="2608" spans="1:8">
      <c r="A2608">
        <v>710307</v>
      </c>
      <c r="B2608" t="s">
        <v>3509</v>
      </c>
      <c r="C2608">
        <v>56</v>
      </c>
      <c r="D2608">
        <v>4.8958838484915201</v>
      </c>
      <c r="E2608">
        <v>274.169495515525</v>
      </c>
      <c r="F2608">
        <v>0.85004326398555397</v>
      </c>
      <c r="G2608">
        <v>0.90196004664986296</v>
      </c>
      <c r="H2608" t="str">
        <f t="shared" si="40"/>
        <v>Q4</v>
      </c>
    </row>
    <row r="2609" spans="1:8">
      <c r="A2609">
        <v>789147</v>
      </c>
      <c r="B2609" t="s">
        <v>4785</v>
      </c>
      <c r="C2609">
        <v>61</v>
      </c>
      <c r="D2609">
        <v>4.4923868579942701</v>
      </c>
      <c r="E2609">
        <v>274.03559833765001</v>
      </c>
      <c r="F2609">
        <v>0.86035137880440904</v>
      </c>
      <c r="G2609">
        <v>0.90192242579285997</v>
      </c>
      <c r="H2609" t="str">
        <f t="shared" si="40"/>
        <v>Q4</v>
      </c>
    </row>
    <row r="2610" spans="1:8">
      <c r="A2610">
        <v>508691</v>
      </c>
      <c r="B2610" t="s">
        <v>2431</v>
      </c>
      <c r="C2610">
        <v>129</v>
      </c>
      <c r="D2610">
        <v>2.1230850076346202</v>
      </c>
      <c r="E2610">
        <v>273.87796598486602</v>
      </c>
      <c r="F2610">
        <v>0.93247056167939502</v>
      </c>
      <c r="G2610">
        <v>0.90188480493585599</v>
      </c>
      <c r="H2610" t="str">
        <f t="shared" si="40"/>
        <v>Q4</v>
      </c>
    </row>
    <row r="2611" spans="1:8">
      <c r="A2611">
        <v>751783</v>
      </c>
      <c r="B2611" t="s">
        <v>1006</v>
      </c>
      <c r="C2611">
        <v>47</v>
      </c>
      <c r="D2611">
        <v>5.8254236910254402</v>
      </c>
      <c r="E2611">
        <v>273.79491347819601</v>
      </c>
      <c r="F2611">
        <v>0.82641736578759295</v>
      </c>
      <c r="G2611">
        <v>0.901847184078853</v>
      </c>
      <c r="H2611" t="str">
        <f t="shared" si="40"/>
        <v>Q3</v>
      </c>
    </row>
    <row r="2612" spans="1:8">
      <c r="A2612">
        <v>761713</v>
      </c>
      <c r="B2612" t="s">
        <v>2721</v>
      </c>
      <c r="C2612">
        <v>98</v>
      </c>
      <c r="D2612">
        <v>2.7935316391783398</v>
      </c>
      <c r="E2612">
        <v>273.76610063947697</v>
      </c>
      <c r="F2612">
        <v>0.90997328919152798</v>
      </c>
      <c r="G2612">
        <v>0.90180956322185002</v>
      </c>
      <c r="H2612" t="str">
        <f t="shared" si="40"/>
        <v>Q4</v>
      </c>
    </row>
    <row r="2613" spans="1:8">
      <c r="A2613">
        <v>599718</v>
      </c>
      <c r="B2613" t="s">
        <v>2217</v>
      </c>
      <c r="C2613">
        <v>114</v>
      </c>
      <c r="D2613">
        <v>2.4002378896336301</v>
      </c>
      <c r="E2613">
        <v>273.62711941823397</v>
      </c>
      <c r="F2613">
        <v>0.92306534742861401</v>
      </c>
      <c r="G2613">
        <v>0.90177194236484703</v>
      </c>
      <c r="H2613" t="str">
        <f t="shared" si="40"/>
        <v>Q4</v>
      </c>
    </row>
    <row r="2614" spans="1:8">
      <c r="A2614">
        <v>768915</v>
      </c>
      <c r="B2614" t="s">
        <v>5066</v>
      </c>
      <c r="C2614">
        <v>70</v>
      </c>
      <c r="D2614">
        <v>3.9065133168228998</v>
      </c>
      <c r="E2614">
        <v>273.45593217760302</v>
      </c>
      <c r="F2614">
        <v>0.87555020503367098</v>
      </c>
      <c r="G2614">
        <v>0.90173432150784405</v>
      </c>
      <c r="H2614" t="str">
        <f t="shared" si="40"/>
        <v>Q4</v>
      </c>
    </row>
    <row r="2615" spans="1:8">
      <c r="A2615">
        <v>773808</v>
      </c>
      <c r="B2615" t="s">
        <v>1509</v>
      </c>
      <c r="C2615">
        <v>57</v>
      </c>
      <c r="D2615">
        <v>4.7968778759241104</v>
      </c>
      <c r="E2615">
        <v>273.42203892767401</v>
      </c>
      <c r="F2615">
        <v>0.851849065121703</v>
      </c>
      <c r="G2615">
        <v>0.90169670065084095</v>
      </c>
      <c r="H2615" t="str">
        <f t="shared" si="40"/>
        <v>Q4</v>
      </c>
    </row>
    <row r="2616" spans="1:8">
      <c r="A2616">
        <v>733378</v>
      </c>
      <c r="B2616" t="s">
        <v>3343</v>
      </c>
      <c r="C2616">
        <v>92</v>
      </c>
      <c r="D2616">
        <v>2.9719601562449101</v>
      </c>
      <c r="E2616">
        <v>273.42033437453199</v>
      </c>
      <c r="F2616">
        <v>0.90429253978405599</v>
      </c>
      <c r="G2616">
        <v>0.90165907979383797</v>
      </c>
      <c r="H2616" t="str">
        <f t="shared" si="40"/>
        <v>Q4</v>
      </c>
    </row>
    <row r="2617" spans="1:8">
      <c r="A2617">
        <v>724046</v>
      </c>
      <c r="B2617" t="s">
        <v>2349</v>
      </c>
      <c r="C2617">
        <v>86</v>
      </c>
      <c r="D2617">
        <v>3.1774339201145398</v>
      </c>
      <c r="E2617">
        <v>273.25931712984999</v>
      </c>
      <c r="F2617">
        <v>0.89864941123358799</v>
      </c>
      <c r="G2617">
        <v>0.90162145893683499</v>
      </c>
      <c r="H2617" t="str">
        <f t="shared" si="40"/>
        <v>Q4</v>
      </c>
    </row>
    <row r="2618" spans="1:8">
      <c r="A2618">
        <v>657925</v>
      </c>
      <c r="B2618" t="s">
        <v>1107</v>
      </c>
      <c r="C2618">
        <v>81</v>
      </c>
      <c r="D2618">
        <v>3.3721908490047001</v>
      </c>
      <c r="E2618">
        <v>273.14745876938099</v>
      </c>
      <c r="F2618">
        <v>0.89293104096911302</v>
      </c>
      <c r="G2618">
        <v>0.901583838079831</v>
      </c>
      <c r="H2618" t="str">
        <f t="shared" si="40"/>
        <v>Q4</v>
      </c>
    </row>
    <row r="2619" spans="1:8">
      <c r="A2619">
        <v>739364</v>
      </c>
      <c r="B2619" t="s">
        <v>1673</v>
      </c>
      <c r="C2619">
        <v>96</v>
      </c>
      <c r="D2619">
        <v>2.8446327662095401</v>
      </c>
      <c r="E2619">
        <v>273.08474555611599</v>
      </c>
      <c r="F2619">
        <v>0.90812986719837496</v>
      </c>
      <c r="G2619">
        <v>0.90154621722282802</v>
      </c>
      <c r="H2619" t="str">
        <f t="shared" si="40"/>
        <v>Q4</v>
      </c>
    </row>
    <row r="2620" spans="1:8">
      <c r="A2620">
        <v>748595</v>
      </c>
      <c r="B2620" t="s">
        <v>719</v>
      </c>
      <c r="C2620">
        <v>42</v>
      </c>
      <c r="D2620">
        <v>6.4973768556401801</v>
      </c>
      <c r="E2620">
        <v>272.88982793688803</v>
      </c>
      <c r="F2620">
        <v>0.81103043527331597</v>
      </c>
      <c r="G2620">
        <v>0.90150859636582503</v>
      </c>
      <c r="H2620" t="str">
        <f t="shared" si="40"/>
        <v>Q3</v>
      </c>
    </row>
    <row r="2621" spans="1:8">
      <c r="A2621">
        <v>757557</v>
      </c>
      <c r="B2621" t="s">
        <v>3195</v>
      </c>
      <c r="C2621">
        <v>207</v>
      </c>
      <c r="D2621">
        <v>1.31808727921171</v>
      </c>
      <c r="E2621">
        <v>272.84406679682399</v>
      </c>
      <c r="F2621">
        <v>0.96083668785974896</v>
      </c>
      <c r="G2621">
        <v>0.90147097550882205</v>
      </c>
      <c r="H2621" t="str">
        <f t="shared" si="40"/>
        <v>Q2</v>
      </c>
    </row>
    <row r="2622" spans="1:8">
      <c r="A2622">
        <v>793855</v>
      </c>
      <c r="B2622" t="s">
        <v>4533</v>
      </c>
      <c r="C2622">
        <v>44</v>
      </c>
      <c r="D2622">
        <v>6.1993450773033203</v>
      </c>
      <c r="E2622">
        <v>272.77118340134598</v>
      </c>
      <c r="F2622">
        <v>0.817689326962868</v>
      </c>
      <c r="G2622">
        <v>0.90143335465181895</v>
      </c>
      <c r="H2622" t="str">
        <f t="shared" si="40"/>
        <v>Q3</v>
      </c>
    </row>
    <row r="2623" spans="1:8">
      <c r="A2623">
        <v>709188</v>
      </c>
      <c r="B2623" t="s">
        <v>3329</v>
      </c>
      <c r="C2623">
        <v>43</v>
      </c>
      <c r="D2623">
        <v>6.3400866680367001</v>
      </c>
      <c r="E2623">
        <v>272.62372672557802</v>
      </c>
      <c r="F2623">
        <v>0.81437869154659304</v>
      </c>
      <c r="G2623">
        <v>0.90139573379481597</v>
      </c>
      <c r="H2623" t="str">
        <f t="shared" si="40"/>
        <v>Q3</v>
      </c>
    </row>
    <row r="2624" spans="1:8">
      <c r="A2624">
        <v>562211</v>
      </c>
      <c r="B2624" t="s">
        <v>341</v>
      </c>
      <c r="C2624">
        <v>294</v>
      </c>
      <c r="D2624">
        <v>0.92714744703970897</v>
      </c>
      <c r="E2624">
        <v>272.58134942967399</v>
      </c>
      <c r="F2624">
        <v>0.97532071780595198</v>
      </c>
      <c r="G2624">
        <v>0.90135811293781298</v>
      </c>
      <c r="H2624" t="str">
        <f t="shared" si="40"/>
        <v>Q2</v>
      </c>
    </row>
    <row r="2625" spans="1:8">
      <c r="A2625">
        <v>774107</v>
      </c>
      <c r="B2625" t="s">
        <v>3550</v>
      </c>
      <c r="C2625">
        <v>53</v>
      </c>
      <c r="D2625">
        <v>5.1422131124813601</v>
      </c>
      <c r="E2625">
        <v>272.53729496151198</v>
      </c>
      <c r="F2625">
        <v>0.84218050487190099</v>
      </c>
      <c r="G2625">
        <v>0.90132049208081</v>
      </c>
      <c r="H2625" t="str">
        <f t="shared" si="40"/>
        <v>Q3</v>
      </c>
    </row>
    <row r="2626" spans="1:8">
      <c r="A2626">
        <v>817392</v>
      </c>
      <c r="B2626" t="s">
        <v>2310</v>
      </c>
      <c r="C2626">
        <v>127</v>
      </c>
      <c r="D2626">
        <v>2.1450954166747001</v>
      </c>
      <c r="E2626">
        <v>272.42711791768699</v>
      </c>
      <c r="F2626">
        <v>0.93141717768330801</v>
      </c>
      <c r="G2626">
        <v>0.90128287122380601</v>
      </c>
      <c r="H2626" t="str">
        <f t="shared" si="40"/>
        <v>Q4</v>
      </c>
    </row>
    <row r="2627" spans="1:8">
      <c r="A2627">
        <v>783627</v>
      </c>
      <c r="B2627" t="s">
        <v>2461</v>
      </c>
      <c r="C2627">
        <v>27</v>
      </c>
      <c r="D2627">
        <v>10.085122618410301</v>
      </c>
      <c r="E2627">
        <v>272.29831069707899</v>
      </c>
      <c r="F2627">
        <v>0.74312478838267904</v>
      </c>
      <c r="G2627">
        <v>0.90124525036680303</v>
      </c>
      <c r="H2627" t="str">
        <f t="shared" ref="H2627:H2690" si="41">IF(C2627&gt;$J$2,
   IF(D2627&gt;$J$3,"Q1","Q2"),
   IF(D2627&gt;$J$3,"Q3","Q4"))</f>
        <v>Q3</v>
      </c>
    </row>
    <row r="2628" spans="1:8">
      <c r="A2628">
        <v>771682</v>
      </c>
      <c r="B2628" t="s">
        <v>844</v>
      </c>
      <c r="C2628">
        <v>188</v>
      </c>
      <c r="D2628">
        <v>1.44825995939368</v>
      </c>
      <c r="E2628">
        <v>272.27287236601097</v>
      </c>
      <c r="F2628">
        <v>0.95583311387833403</v>
      </c>
      <c r="G2628">
        <v>0.90120762950980005</v>
      </c>
      <c r="H2628" t="str">
        <f t="shared" si="41"/>
        <v>Q2</v>
      </c>
    </row>
    <row r="2629" spans="1:8">
      <c r="A2629">
        <v>723688</v>
      </c>
      <c r="B2629" t="s">
        <v>4930</v>
      </c>
      <c r="C2629">
        <v>72</v>
      </c>
      <c r="D2629">
        <v>3.7804143580918499</v>
      </c>
      <c r="E2629">
        <v>272.18983378261299</v>
      </c>
      <c r="F2629">
        <v>0.87957563673300498</v>
      </c>
      <c r="G2629">
        <v>0.90117000865279695</v>
      </c>
      <c r="H2629" t="str">
        <f t="shared" si="41"/>
        <v>Q4</v>
      </c>
    </row>
    <row r="2630" spans="1:8">
      <c r="A2630">
        <v>717932</v>
      </c>
      <c r="B2630" t="s">
        <v>1948</v>
      </c>
      <c r="C2630">
        <v>91</v>
      </c>
      <c r="D2630">
        <v>2.99091072507448</v>
      </c>
      <c r="E2630">
        <v>272.17287598177802</v>
      </c>
      <c r="F2630">
        <v>0.90350250178699099</v>
      </c>
      <c r="G2630">
        <v>0.90113238779579397</v>
      </c>
      <c r="H2630" t="str">
        <f t="shared" si="41"/>
        <v>Q4</v>
      </c>
    </row>
    <row r="2631" spans="1:8">
      <c r="A2631">
        <v>700688</v>
      </c>
      <c r="B2631" t="s">
        <v>2544</v>
      </c>
      <c r="C2631">
        <v>191</v>
      </c>
      <c r="D2631">
        <v>1.4246161576087399</v>
      </c>
      <c r="E2631">
        <v>272.101686103269</v>
      </c>
      <c r="F2631">
        <v>0.95666077273240302</v>
      </c>
      <c r="G2631">
        <v>0.90109476693879098</v>
      </c>
      <c r="H2631" t="str">
        <f t="shared" si="41"/>
        <v>Q2</v>
      </c>
    </row>
    <row r="2632" spans="1:8">
      <c r="A2632">
        <v>443860</v>
      </c>
      <c r="B2632" t="s">
        <v>3862</v>
      </c>
      <c r="C2632">
        <v>57</v>
      </c>
      <c r="D2632">
        <v>4.7714541323090902</v>
      </c>
      <c r="E2632">
        <v>271.97288554161798</v>
      </c>
      <c r="F2632">
        <v>0.851849065121703</v>
      </c>
      <c r="G2632">
        <v>0.901057146081788</v>
      </c>
      <c r="H2632" t="str">
        <f t="shared" si="41"/>
        <v>Q4</v>
      </c>
    </row>
    <row r="2633" spans="1:8">
      <c r="A2633">
        <v>812218</v>
      </c>
      <c r="B2633" t="s">
        <v>1457</v>
      </c>
      <c r="C2633">
        <v>42</v>
      </c>
      <c r="D2633">
        <v>6.4743340591944403</v>
      </c>
      <c r="E2633">
        <v>271.92203048616602</v>
      </c>
      <c r="F2633">
        <v>0.81103043527331597</v>
      </c>
      <c r="G2633">
        <v>0.90101952522478501</v>
      </c>
      <c r="H2633" t="str">
        <f t="shared" si="41"/>
        <v>Q3</v>
      </c>
    </row>
    <row r="2634" spans="1:8">
      <c r="A2634">
        <v>789808</v>
      </c>
      <c r="B2634" t="s">
        <v>4510</v>
      </c>
      <c r="C2634">
        <v>96</v>
      </c>
      <c r="D2634">
        <v>2.8316207307701302</v>
      </c>
      <c r="E2634">
        <v>271.83559015393303</v>
      </c>
      <c r="F2634">
        <v>0.90812986719837496</v>
      </c>
      <c r="G2634">
        <v>0.90098190436778103</v>
      </c>
      <c r="H2634" t="str">
        <f t="shared" si="41"/>
        <v>Q4</v>
      </c>
    </row>
    <row r="2635" spans="1:8">
      <c r="A2635">
        <v>769753</v>
      </c>
      <c r="B2635" t="s">
        <v>459</v>
      </c>
      <c r="C2635">
        <v>63</v>
      </c>
      <c r="D2635">
        <v>4.3095238654622996</v>
      </c>
      <c r="E2635">
        <v>271.50000352412502</v>
      </c>
      <c r="F2635">
        <v>0.86445205221775001</v>
      </c>
      <c r="G2635">
        <v>0.90094428351077804</v>
      </c>
      <c r="H2635" t="str">
        <f t="shared" si="41"/>
        <v>Q4</v>
      </c>
    </row>
    <row r="2636" spans="1:8">
      <c r="A2636">
        <v>715786</v>
      </c>
      <c r="B2636" t="s">
        <v>3157</v>
      </c>
      <c r="C2636">
        <v>84</v>
      </c>
      <c r="D2636">
        <v>3.2321226250912498</v>
      </c>
      <c r="E2636">
        <v>271.49830050766502</v>
      </c>
      <c r="F2636">
        <v>0.89639215981340103</v>
      </c>
      <c r="G2636">
        <v>0.90090666265377495</v>
      </c>
      <c r="H2636" t="str">
        <f t="shared" si="41"/>
        <v>Q4</v>
      </c>
    </row>
    <row r="2637" spans="1:8">
      <c r="A2637">
        <v>766683</v>
      </c>
      <c r="B2637" t="s">
        <v>5188</v>
      </c>
      <c r="C2637">
        <v>29</v>
      </c>
      <c r="D2637">
        <v>9.3615430503569801</v>
      </c>
      <c r="E2637">
        <v>271.48474846035202</v>
      </c>
      <c r="F2637">
        <v>0.75501297919566601</v>
      </c>
      <c r="G2637">
        <v>0.90086904179677196</v>
      </c>
      <c r="H2637" t="str">
        <f t="shared" si="41"/>
        <v>Q3</v>
      </c>
    </row>
    <row r="2638" spans="1:8">
      <c r="A2638">
        <v>753071</v>
      </c>
      <c r="B2638" t="s">
        <v>556</v>
      </c>
      <c r="C2638">
        <v>114</v>
      </c>
      <c r="D2638">
        <v>2.3810883211952301</v>
      </c>
      <c r="E2638">
        <v>271.444068616256</v>
      </c>
      <c r="F2638">
        <v>0.92306534742861401</v>
      </c>
      <c r="G2638">
        <v>0.90083142093976898</v>
      </c>
      <c r="H2638" t="str">
        <f t="shared" si="41"/>
        <v>Q4</v>
      </c>
    </row>
    <row r="2639" spans="1:8">
      <c r="A2639">
        <v>733149</v>
      </c>
      <c r="B2639" t="s">
        <v>4766</v>
      </c>
      <c r="C2639">
        <v>25</v>
      </c>
      <c r="D2639">
        <v>10.855999827384901</v>
      </c>
      <c r="E2639">
        <v>271.399995684624</v>
      </c>
      <c r="F2639">
        <v>0.72991986757458305</v>
      </c>
      <c r="G2639">
        <v>0.90079380008276599</v>
      </c>
      <c r="H2639" t="str">
        <f t="shared" si="41"/>
        <v>Q3</v>
      </c>
    </row>
    <row r="2640" spans="1:8">
      <c r="A2640">
        <v>590489</v>
      </c>
      <c r="B2640" t="s">
        <v>2817</v>
      </c>
      <c r="C2640">
        <v>115</v>
      </c>
      <c r="D2640">
        <v>2.3597494367024199</v>
      </c>
      <c r="E2640">
        <v>271.37118522077799</v>
      </c>
      <c r="F2640">
        <v>0.92370490199766797</v>
      </c>
      <c r="G2640">
        <v>0.90075617922576301</v>
      </c>
      <c r="H2640" t="str">
        <f t="shared" si="41"/>
        <v>Q4</v>
      </c>
    </row>
    <row r="2641" spans="1:8">
      <c r="A2641">
        <v>761698</v>
      </c>
      <c r="B2641" t="s">
        <v>828</v>
      </c>
      <c r="C2641">
        <v>171</v>
      </c>
      <c r="D2641">
        <v>1.58583599888878</v>
      </c>
      <c r="E2641">
        <v>271.17795580998097</v>
      </c>
      <c r="F2641">
        <v>0.95041571046988405</v>
      </c>
      <c r="G2641">
        <v>0.90071855836876002</v>
      </c>
      <c r="H2641" t="str">
        <f t="shared" si="41"/>
        <v>Q2</v>
      </c>
    </row>
    <row r="2642" spans="1:8">
      <c r="A2642">
        <v>477507</v>
      </c>
      <c r="B2642" t="s">
        <v>4954</v>
      </c>
      <c r="C2642">
        <v>146</v>
      </c>
      <c r="D2642">
        <v>1.8571278539626599</v>
      </c>
      <c r="E2642">
        <v>271.14066667854797</v>
      </c>
      <c r="F2642">
        <v>0.94127384221812604</v>
      </c>
      <c r="G2642">
        <v>0.90068093751175604</v>
      </c>
      <c r="H2642" t="str">
        <f t="shared" si="41"/>
        <v>Q4</v>
      </c>
    </row>
    <row r="2643" spans="1:8">
      <c r="A2643">
        <v>714790</v>
      </c>
      <c r="B2643" t="s">
        <v>3300</v>
      </c>
      <c r="C2643">
        <v>58</v>
      </c>
      <c r="D2643">
        <v>4.6699007234439804</v>
      </c>
      <c r="E2643">
        <v>270.85424195975099</v>
      </c>
      <c r="F2643">
        <v>0.853993453970881</v>
      </c>
      <c r="G2643">
        <v>0.90064331665475295</v>
      </c>
      <c r="H2643" t="str">
        <f t="shared" si="41"/>
        <v>Q4</v>
      </c>
    </row>
    <row r="2644" spans="1:8">
      <c r="A2644">
        <v>753324</v>
      </c>
      <c r="B2644" t="s">
        <v>3306</v>
      </c>
      <c r="C2644">
        <v>72</v>
      </c>
      <c r="D2644">
        <v>3.76165254791785</v>
      </c>
      <c r="E2644">
        <v>270.83898345008498</v>
      </c>
      <c r="F2644">
        <v>0.87957563673300498</v>
      </c>
      <c r="G2644">
        <v>0.90060569579774996</v>
      </c>
      <c r="H2644" t="str">
        <f t="shared" si="41"/>
        <v>Q4</v>
      </c>
    </row>
    <row r="2645" spans="1:8">
      <c r="A2645">
        <v>560221</v>
      </c>
      <c r="B2645" t="s">
        <v>1374</v>
      </c>
      <c r="C2645">
        <v>183</v>
      </c>
      <c r="D2645">
        <v>1.4798555114749301</v>
      </c>
      <c r="E2645">
        <v>270.81355859991203</v>
      </c>
      <c r="F2645">
        <v>0.95447876302622203</v>
      </c>
      <c r="G2645">
        <v>0.90056807494074698</v>
      </c>
      <c r="H2645" t="str">
        <f t="shared" si="41"/>
        <v>Q2</v>
      </c>
    </row>
    <row r="2646" spans="1:8">
      <c r="A2646">
        <v>696678</v>
      </c>
      <c r="B2646" t="s">
        <v>4227</v>
      </c>
      <c r="C2646">
        <v>178</v>
      </c>
      <c r="D2646">
        <v>1.5211673312182199</v>
      </c>
      <c r="E2646">
        <v>270.767784956843</v>
      </c>
      <c r="F2646">
        <v>0.95274820360407797</v>
      </c>
      <c r="G2646">
        <v>0.90053045408374399</v>
      </c>
      <c r="H2646" t="str">
        <f t="shared" si="41"/>
        <v>Q2</v>
      </c>
    </row>
    <row r="2647" spans="1:8">
      <c r="A2647">
        <v>569984</v>
      </c>
      <c r="B2647" t="s">
        <v>4092</v>
      </c>
      <c r="C2647">
        <v>174</v>
      </c>
      <c r="D2647">
        <v>1.55598084929388</v>
      </c>
      <c r="E2647">
        <v>270.74066777713603</v>
      </c>
      <c r="F2647">
        <v>0.95150671532297504</v>
      </c>
      <c r="G2647">
        <v>0.90049283322674101</v>
      </c>
      <c r="H2647" t="str">
        <f t="shared" si="41"/>
        <v>Q2</v>
      </c>
    </row>
    <row r="2648" spans="1:8">
      <c r="A2648">
        <v>241412</v>
      </c>
      <c r="B2648" t="s">
        <v>326</v>
      </c>
      <c r="C2648">
        <v>121</v>
      </c>
      <c r="D2648">
        <v>2.2373161501874601</v>
      </c>
      <c r="E2648">
        <v>270.71525417268299</v>
      </c>
      <c r="F2648">
        <v>0.92788081712501402</v>
      </c>
      <c r="G2648">
        <v>0.90045521236973802</v>
      </c>
      <c r="H2648" t="str">
        <f t="shared" si="41"/>
        <v>Q4</v>
      </c>
    </row>
    <row r="2649" spans="1:8">
      <c r="A2649">
        <v>665817</v>
      </c>
      <c r="B2649" t="s">
        <v>5195</v>
      </c>
      <c r="C2649">
        <v>29</v>
      </c>
      <c r="D2649">
        <v>9.3333139373310701</v>
      </c>
      <c r="E2649">
        <v>270.66610418260098</v>
      </c>
      <c r="F2649">
        <v>0.75501297919566601</v>
      </c>
      <c r="G2649">
        <v>0.90041759151273504</v>
      </c>
      <c r="H2649" t="str">
        <f t="shared" si="41"/>
        <v>Q3</v>
      </c>
    </row>
    <row r="2650" spans="1:8">
      <c r="A2650">
        <v>763842</v>
      </c>
      <c r="B2650" t="s">
        <v>1067</v>
      </c>
      <c r="C2650">
        <v>54</v>
      </c>
      <c r="D2650">
        <v>5.0121156222842398</v>
      </c>
      <c r="E2650">
        <v>270.65424360334902</v>
      </c>
      <c r="F2650">
        <v>0.84515255257514799</v>
      </c>
      <c r="G2650">
        <v>0.90037997065573105</v>
      </c>
      <c r="H2650" t="str">
        <f t="shared" si="41"/>
        <v>Q3</v>
      </c>
    </row>
    <row r="2651" spans="1:8">
      <c r="A2651">
        <v>702208</v>
      </c>
      <c r="B2651" t="s">
        <v>2264</v>
      </c>
      <c r="C2651">
        <v>97</v>
      </c>
      <c r="D2651">
        <v>2.7902498831684399</v>
      </c>
      <c r="E2651">
        <v>270.65423866733897</v>
      </c>
      <c r="F2651">
        <v>0.909108009480456</v>
      </c>
      <c r="G2651">
        <v>0.90034234979872796</v>
      </c>
      <c r="H2651" t="str">
        <f t="shared" si="41"/>
        <v>Q4</v>
      </c>
    </row>
    <row r="2652" spans="1:8">
      <c r="A2652">
        <v>705684</v>
      </c>
      <c r="B2652" t="s">
        <v>3060</v>
      </c>
      <c r="C2652">
        <v>105</v>
      </c>
      <c r="D2652">
        <v>2.57706209307625</v>
      </c>
      <c r="E2652">
        <v>270.59151977300598</v>
      </c>
      <c r="F2652">
        <v>0.91618073059704297</v>
      </c>
      <c r="G2652">
        <v>0.90030472894172497</v>
      </c>
      <c r="H2652" t="str">
        <f t="shared" si="41"/>
        <v>Q4</v>
      </c>
    </row>
    <row r="2653" spans="1:8">
      <c r="A2653">
        <v>722349</v>
      </c>
      <c r="B2653" t="s">
        <v>5264</v>
      </c>
      <c r="C2653">
        <v>33</v>
      </c>
      <c r="D2653">
        <v>8.1989214840260392</v>
      </c>
      <c r="E2653">
        <v>270.56440897285898</v>
      </c>
      <c r="F2653">
        <v>0.77551634626236798</v>
      </c>
      <c r="G2653">
        <v>0.90026710808472199</v>
      </c>
      <c r="H2653" t="str">
        <f t="shared" si="41"/>
        <v>Q3</v>
      </c>
    </row>
    <row r="2654" spans="1:8">
      <c r="A2654">
        <v>842302</v>
      </c>
      <c r="B2654" t="s">
        <v>3126</v>
      </c>
      <c r="C2654">
        <v>85</v>
      </c>
      <c r="D2654">
        <v>3.18235289743718</v>
      </c>
      <c r="E2654">
        <v>270.49999628216</v>
      </c>
      <c r="F2654">
        <v>0.89721981866746903</v>
      </c>
      <c r="G2654">
        <v>0.90022948722771901</v>
      </c>
      <c r="H2654" t="str">
        <f t="shared" si="41"/>
        <v>Q4</v>
      </c>
    </row>
    <row r="2655" spans="1:8">
      <c r="A2655">
        <v>769057</v>
      </c>
      <c r="B2655" t="s">
        <v>1246</v>
      </c>
      <c r="C2655">
        <v>42</v>
      </c>
      <c r="D2655">
        <v>6.4353510293932201</v>
      </c>
      <c r="E2655">
        <v>270.28474323451502</v>
      </c>
      <c r="F2655">
        <v>0.81103043527331597</v>
      </c>
      <c r="G2655">
        <v>0.90019186637071602</v>
      </c>
      <c r="H2655" t="str">
        <f t="shared" si="41"/>
        <v>Q3</v>
      </c>
    </row>
    <row r="2656" spans="1:8">
      <c r="A2656">
        <v>757187</v>
      </c>
      <c r="B2656" t="s">
        <v>599</v>
      </c>
      <c r="C2656">
        <v>64</v>
      </c>
      <c r="D2656">
        <v>4.2215837369440097</v>
      </c>
      <c r="E2656">
        <v>270.18135916441702</v>
      </c>
      <c r="F2656">
        <v>0.86633309506790601</v>
      </c>
      <c r="G2656">
        <v>0.90015424551371304</v>
      </c>
      <c r="H2656" t="str">
        <f t="shared" si="41"/>
        <v>Q4</v>
      </c>
    </row>
    <row r="2657" spans="1:8">
      <c r="A2657">
        <v>785515</v>
      </c>
      <c r="B2657" t="s">
        <v>3124</v>
      </c>
      <c r="C2657">
        <v>47</v>
      </c>
      <c r="D2657">
        <v>5.7484314558987899</v>
      </c>
      <c r="E2657">
        <v>270.17627842724301</v>
      </c>
      <c r="F2657">
        <v>0.82641736578759295</v>
      </c>
      <c r="G2657">
        <v>0.90011662465671005</v>
      </c>
      <c r="H2657" t="str">
        <f t="shared" si="41"/>
        <v>Q3</v>
      </c>
    </row>
    <row r="2658" spans="1:8">
      <c r="A2658">
        <v>676052</v>
      </c>
      <c r="B2658" t="s">
        <v>766</v>
      </c>
      <c r="C2658">
        <v>288</v>
      </c>
      <c r="D2658">
        <v>0.93784132841392398</v>
      </c>
      <c r="E2658">
        <v>270.09830258321</v>
      </c>
      <c r="F2658">
        <v>0.97426733380986397</v>
      </c>
      <c r="G2658">
        <v>0.90007900379970696</v>
      </c>
      <c r="H2658" t="str">
        <f t="shared" si="41"/>
        <v>Q2</v>
      </c>
    </row>
    <row r="2659" spans="1:8">
      <c r="A2659">
        <v>764927</v>
      </c>
      <c r="B2659" t="s">
        <v>1750</v>
      </c>
      <c r="C2659">
        <v>42</v>
      </c>
      <c r="D2659">
        <v>6.4296609722077802</v>
      </c>
      <c r="E2659">
        <v>270.04576083272701</v>
      </c>
      <c r="F2659">
        <v>0.81103043527331597</v>
      </c>
      <c r="G2659">
        <v>0.90004138294270297</v>
      </c>
      <c r="H2659" t="str">
        <f t="shared" si="41"/>
        <v>Q3</v>
      </c>
    </row>
    <row r="2660" spans="1:8">
      <c r="A2660">
        <v>762143</v>
      </c>
      <c r="B2660" t="s">
        <v>2839</v>
      </c>
      <c r="C2660">
        <v>208</v>
      </c>
      <c r="D2660">
        <v>1.29821543389251</v>
      </c>
      <c r="E2660">
        <v>270.02881024964199</v>
      </c>
      <c r="F2660">
        <v>0.96102479214476499</v>
      </c>
      <c r="G2660">
        <v>0.90000376208569999</v>
      </c>
      <c r="H2660" t="str">
        <f t="shared" si="41"/>
        <v>Q2</v>
      </c>
    </row>
    <row r="2661" spans="1:8">
      <c r="A2661">
        <v>719201</v>
      </c>
      <c r="B2661" t="s">
        <v>1209</v>
      </c>
      <c r="C2661">
        <v>58</v>
      </c>
      <c r="D2661">
        <v>4.6543250181551601</v>
      </c>
      <c r="E2661">
        <v>269.95085105299898</v>
      </c>
      <c r="F2661">
        <v>0.853993453970881</v>
      </c>
      <c r="G2661">
        <v>0.899966141228697</v>
      </c>
      <c r="H2661" t="str">
        <f t="shared" si="41"/>
        <v>Q4</v>
      </c>
    </row>
    <row r="2662" spans="1:8">
      <c r="A2662">
        <v>715590</v>
      </c>
      <c r="B2662" t="s">
        <v>5245</v>
      </c>
      <c r="C2662">
        <v>55</v>
      </c>
      <c r="D2662">
        <v>4.9075501683083402</v>
      </c>
      <c r="E2662">
        <v>269.91525925695902</v>
      </c>
      <c r="F2662">
        <v>0.84763552913735396</v>
      </c>
      <c r="G2662">
        <v>0.89992852037169402</v>
      </c>
      <c r="H2662" t="str">
        <f t="shared" si="41"/>
        <v>Q3</v>
      </c>
    </row>
    <row r="2663" spans="1:8">
      <c r="A2663">
        <v>755467</v>
      </c>
      <c r="B2663" t="s">
        <v>2081</v>
      </c>
      <c r="C2663">
        <v>92</v>
      </c>
      <c r="D2663">
        <v>2.93181651352864</v>
      </c>
      <c r="E2663">
        <v>269.72711924463499</v>
      </c>
      <c r="F2663">
        <v>0.90429253978405599</v>
      </c>
      <c r="G2663">
        <v>0.89989089951469103</v>
      </c>
      <c r="H2663" t="str">
        <f t="shared" si="41"/>
        <v>Q4</v>
      </c>
    </row>
    <row r="2664" spans="1:8">
      <c r="A2664">
        <v>752293</v>
      </c>
      <c r="B2664" t="s">
        <v>1839</v>
      </c>
      <c r="C2664">
        <v>55</v>
      </c>
      <c r="D2664">
        <v>4.8977505017749303</v>
      </c>
      <c r="E2664">
        <v>269.37627759762103</v>
      </c>
      <c r="F2664">
        <v>0.84763552913735396</v>
      </c>
      <c r="G2664">
        <v>0.89985327865768805</v>
      </c>
      <c r="H2664" t="str">
        <f t="shared" si="41"/>
        <v>Q4</v>
      </c>
    </row>
    <row r="2665" spans="1:8">
      <c r="A2665">
        <v>729808</v>
      </c>
      <c r="B2665" t="s">
        <v>1918</v>
      </c>
      <c r="C2665">
        <v>42</v>
      </c>
      <c r="D2665">
        <v>6.41206611125242</v>
      </c>
      <c r="E2665">
        <v>269.30677667260198</v>
      </c>
      <c r="F2665">
        <v>0.81103043527331597</v>
      </c>
      <c r="G2665">
        <v>0.89981565780068495</v>
      </c>
      <c r="H2665" t="str">
        <f t="shared" si="41"/>
        <v>Q3</v>
      </c>
    </row>
    <row r="2666" spans="1:8">
      <c r="A2666">
        <v>621915</v>
      </c>
      <c r="B2666" t="s">
        <v>2434</v>
      </c>
      <c r="C2666">
        <v>112</v>
      </c>
      <c r="D2666">
        <v>2.4040556920226699</v>
      </c>
      <c r="E2666">
        <v>269.25423750653903</v>
      </c>
      <c r="F2666">
        <v>0.92156051314848997</v>
      </c>
      <c r="G2666">
        <v>0.89977803694368197</v>
      </c>
      <c r="H2666" t="str">
        <f t="shared" si="41"/>
        <v>Q4</v>
      </c>
    </row>
    <row r="2667" spans="1:8">
      <c r="A2667">
        <v>754713</v>
      </c>
      <c r="B2667" t="s">
        <v>2460</v>
      </c>
      <c r="C2667">
        <v>101</v>
      </c>
      <c r="D2667">
        <v>2.6656821158041502</v>
      </c>
      <c r="E2667">
        <v>269.23389369621901</v>
      </c>
      <c r="F2667">
        <v>0.91245626575373395</v>
      </c>
      <c r="G2667">
        <v>0.89974041608667799</v>
      </c>
      <c r="H2667" t="str">
        <f t="shared" si="41"/>
        <v>Q4</v>
      </c>
    </row>
    <row r="2668" spans="1:8">
      <c r="A2668">
        <v>803367</v>
      </c>
      <c r="B2668" t="s">
        <v>4015</v>
      </c>
      <c r="C2668">
        <v>65</v>
      </c>
      <c r="D2668">
        <v>4.1401043362342396</v>
      </c>
      <c r="E2668">
        <v>269.10678185522602</v>
      </c>
      <c r="F2668">
        <v>0.86802603363304598</v>
      </c>
      <c r="G2668">
        <v>0.899702795229675</v>
      </c>
      <c r="H2668" t="str">
        <f t="shared" si="41"/>
        <v>Q4</v>
      </c>
    </row>
    <row r="2669" spans="1:8">
      <c r="A2669">
        <v>738368</v>
      </c>
      <c r="B2669" t="s">
        <v>4843</v>
      </c>
      <c r="C2669">
        <v>86</v>
      </c>
      <c r="D2669">
        <v>3.1291288388676399</v>
      </c>
      <c r="E2669">
        <v>269.105080142617</v>
      </c>
      <c r="F2669">
        <v>0.89864941123358799</v>
      </c>
      <c r="G2669">
        <v>0.89966517437267202</v>
      </c>
      <c r="H2669" t="str">
        <f t="shared" si="41"/>
        <v>Q4</v>
      </c>
    </row>
    <row r="2670" spans="1:8">
      <c r="A2670">
        <v>734592</v>
      </c>
      <c r="B2670" t="s">
        <v>4751</v>
      </c>
      <c r="C2670">
        <v>57</v>
      </c>
      <c r="D2670">
        <v>4.7197146112458697</v>
      </c>
      <c r="E2670">
        <v>269.02373284101498</v>
      </c>
      <c r="F2670">
        <v>0.851849065121703</v>
      </c>
      <c r="G2670">
        <v>0.89962755351566903</v>
      </c>
      <c r="H2670" t="str">
        <f t="shared" si="41"/>
        <v>Q4</v>
      </c>
    </row>
    <row r="2671" spans="1:8">
      <c r="A2671">
        <v>702445</v>
      </c>
      <c r="B2671" t="s">
        <v>2067</v>
      </c>
      <c r="C2671">
        <v>47</v>
      </c>
      <c r="D2671">
        <v>5.7212765467293698</v>
      </c>
      <c r="E2671">
        <v>268.89999769628002</v>
      </c>
      <c r="F2671">
        <v>0.82641736578759295</v>
      </c>
      <c r="G2671">
        <v>0.89958993265866605</v>
      </c>
      <c r="H2671" t="str">
        <f t="shared" si="41"/>
        <v>Q3</v>
      </c>
    </row>
    <row r="2672" spans="1:8">
      <c r="A2672">
        <v>784053</v>
      </c>
      <c r="B2672" t="s">
        <v>2490</v>
      </c>
      <c r="C2672">
        <v>55</v>
      </c>
      <c r="D2672">
        <v>4.8850540139458403</v>
      </c>
      <c r="E2672">
        <v>268.67797076702101</v>
      </c>
      <c r="F2672">
        <v>0.84763552913735396</v>
      </c>
      <c r="G2672">
        <v>0.89955231180166295</v>
      </c>
      <c r="H2672" t="str">
        <f t="shared" si="41"/>
        <v>Q4</v>
      </c>
    </row>
    <row r="2673" spans="1:8">
      <c r="A2673">
        <v>525518</v>
      </c>
      <c r="B2673" t="s">
        <v>695</v>
      </c>
      <c r="C2673">
        <v>99</v>
      </c>
      <c r="D2673">
        <v>2.7114706283265901</v>
      </c>
      <c r="E2673">
        <v>268.43559220433201</v>
      </c>
      <c r="F2673">
        <v>0.91076332718859299</v>
      </c>
      <c r="G2673">
        <v>0.89951469094465997</v>
      </c>
      <c r="H2673" t="str">
        <f t="shared" si="41"/>
        <v>Q4</v>
      </c>
    </row>
    <row r="2674" spans="1:8">
      <c r="A2674">
        <v>797892</v>
      </c>
      <c r="B2674" t="s">
        <v>1508</v>
      </c>
      <c r="C2674">
        <v>81</v>
      </c>
      <c r="D2674">
        <v>3.3134127840583698</v>
      </c>
      <c r="E2674">
        <v>268.38643550872803</v>
      </c>
      <c r="F2674">
        <v>0.89293104096911302</v>
      </c>
      <c r="G2674">
        <v>0.89947707008765698</v>
      </c>
      <c r="H2674" t="str">
        <f t="shared" si="41"/>
        <v>Q4</v>
      </c>
    </row>
    <row r="2675" spans="1:8">
      <c r="A2675">
        <v>772031</v>
      </c>
      <c r="B2675" t="s">
        <v>2867</v>
      </c>
      <c r="C2675">
        <v>68</v>
      </c>
      <c r="D2675">
        <v>3.9465603322776799</v>
      </c>
      <c r="E2675">
        <v>268.36610259488202</v>
      </c>
      <c r="F2675">
        <v>0.87223956961739602</v>
      </c>
      <c r="G2675">
        <v>0.899439449230653</v>
      </c>
      <c r="H2675" t="str">
        <f t="shared" si="41"/>
        <v>Q4</v>
      </c>
    </row>
    <row r="2676" spans="1:8">
      <c r="A2676">
        <v>554546</v>
      </c>
      <c r="B2676" t="s">
        <v>4484</v>
      </c>
      <c r="C2676">
        <v>85</v>
      </c>
      <c r="D2676">
        <v>3.1554535754463302</v>
      </c>
      <c r="E2676">
        <v>268.21355391293798</v>
      </c>
      <c r="F2676">
        <v>0.89721981866746903</v>
      </c>
      <c r="G2676">
        <v>0.89940182837365001</v>
      </c>
      <c r="H2676" t="str">
        <f t="shared" si="41"/>
        <v>Q4</v>
      </c>
    </row>
    <row r="2677" spans="1:8">
      <c r="A2677">
        <v>792851</v>
      </c>
      <c r="B2677" t="s">
        <v>1248</v>
      </c>
      <c r="C2677">
        <v>115</v>
      </c>
      <c r="D2677">
        <v>2.33217392076293</v>
      </c>
      <c r="E2677">
        <v>268.20000088773702</v>
      </c>
      <c r="F2677">
        <v>0.92370490199766797</v>
      </c>
      <c r="G2677">
        <v>0.89936420751664703</v>
      </c>
      <c r="H2677" t="str">
        <f t="shared" si="41"/>
        <v>Q4</v>
      </c>
    </row>
    <row r="2678" spans="1:8">
      <c r="A2678">
        <v>747349</v>
      </c>
      <c r="B2678" t="s">
        <v>4379</v>
      </c>
      <c r="C2678">
        <v>54</v>
      </c>
      <c r="D2678">
        <v>4.9645324134164399</v>
      </c>
      <c r="E2678">
        <v>268.08475032448803</v>
      </c>
      <c r="F2678">
        <v>0.84515255257514799</v>
      </c>
      <c r="G2678">
        <v>0.89932658665964404</v>
      </c>
      <c r="H2678" t="str">
        <f t="shared" si="41"/>
        <v>Q3</v>
      </c>
    </row>
    <row r="2679" spans="1:8">
      <c r="A2679">
        <v>756787</v>
      </c>
      <c r="B2679" t="s">
        <v>806</v>
      </c>
      <c r="C2679">
        <v>54</v>
      </c>
      <c r="D2679">
        <v>4.9634024776794297</v>
      </c>
      <c r="E2679">
        <v>268.02373379468901</v>
      </c>
      <c r="F2679">
        <v>0.84515255257514799</v>
      </c>
      <c r="G2679">
        <v>0.89928896580264095</v>
      </c>
      <c r="H2679" t="str">
        <f t="shared" si="41"/>
        <v>Q3</v>
      </c>
    </row>
    <row r="2680" spans="1:8">
      <c r="A2680">
        <v>620573</v>
      </c>
      <c r="B2680" t="s">
        <v>1830</v>
      </c>
      <c r="C2680">
        <v>179</v>
      </c>
      <c r="D2680">
        <v>1.49731080466621</v>
      </c>
      <c r="E2680">
        <v>268.01863403525198</v>
      </c>
      <c r="F2680">
        <v>0.95308679131710605</v>
      </c>
      <c r="G2680">
        <v>0.89925134494563796</v>
      </c>
      <c r="H2680" t="str">
        <f t="shared" si="41"/>
        <v>Q2</v>
      </c>
    </row>
    <row r="2681" spans="1:8">
      <c r="A2681">
        <v>698971</v>
      </c>
      <c r="B2681" t="s">
        <v>2024</v>
      </c>
      <c r="C2681">
        <v>33</v>
      </c>
      <c r="D2681">
        <v>8.1192091333143601</v>
      </c>
      <c r="E2681">
        <v>267.93390139937401</v>
      </c>
      <c r="F2681">
        <v>0.77551634626236798</v>
      </c>
      <c r="G2681">
        <v>0.89921372408863498</v>
      </c>
      <c r="H2681" t="str">
        <f t="shared" si="41"/>
        <v>Q3</v>
      </c>
    </row>
    <row r="2682" spans="1:8">
      <c r="A2682">
        <v>745014</v>
      </c>
      <c r="B2682" t="s">
        <v>5177</v>
      </c>
      <c r="C2682">
        <v>82</v>
      </c>
      <c r="D2682">
        <v>3.2641586802172999</v>
      </c>
      <c r="E2682">
        <v>267.66101177781798</v>
      </c>
      <c r="F2682">
        <v>0.894323012678229</v>
      </c>
      <c r="G2682">
        <v>0.899176103231632</v>
      </c>
      <c r="H2682" t="str">
        <f t="shared" si="41"/>
        <v>Q4</v>
      </c>
    </row>
    <row r="2683" spans="1:8">
      <c r="A2683">
        <v>741985</v>
      </c>
      <c r="B2683" t="s">
        <v>4707</v>
      </c>
      <c r="C2683">
        <v>110</v>
      </c>
      <c r="D2683">
        <v>2.43297381495888</v>
      </c>
      <c r="E2683">
        <v>267.627119645476</v>
      </c>
      <c r="F2683">
        <v>0.92001805801136105</v>
      </c>
      <c r="G2683">
        <v>0.89913848237462801</v>
      </c>
      <c r="H2683" t="str">
        <f t="shared" si="41"/>
        <v>Q4</v>
      </c>
    </row>
    <row r="2684" spans="1:8">
      <c r="A2684">
        <v>758002</v>
      </c>
      <c r="B2684" t="s">
        <v>4956</v>
      </c>
      <c r="C2684">
        <v>130</v>
      </c>
      <c r="D2684">
        <v>2.0582528437416099</v>
      </c>
      <c r="E2684">
        <v>267.57286968641</v>
      </c>
      <c r="F2684">
        <v>0.93307249539144499</v>
      </c>
      <c r="G2684">
        <v>0.89910086151762503</v>
      </c>
      <c r="H2684" t="str">
        <f t="shared" si="41"/>
        <v>Q4</v>
      </c>
    </row>
    <row r="2685" spans="1:8">
      <c r="A2685">
        <v>685605</v>
      </c>
      <c r="B2685" t="s">
        <v>630</v>
      </c>
      <c r="C2685">
        <v>127</v>
      </c>
      <c r="D2685">
        <v>2.10661951481827</v>
      </c>
      <c r="E2685">
        <v>267.54067838191997</v>
      </c>
      <c r="F2685">
        <v>0.93141717768330801</v>
      </c>
      <c r="G2685">
        <v>0.89906324066062204</v>
      </c>
      <c r="H2685" t="str">
        <f t="shared" si="41"/>
        <v>Q4</v>
      </c>
    </row>
    <row r="2686" spans="1:8">
      <c r="A2686">
        <v>241602</v>
      </c>
      <c r="B2686" t="s">
        <v>3015</v>
      </c>
      <c r="C2686">
        <v>35</v>
      </c>
      <c r="D2686">
        <v>7.6406780816614601</v>
      </c>
      <c r="E2686">
        <v>267.42373285815103</v>
      </c>
      <c r="F2686">
        <v>0.78420676423008895</v>
      </c>
      <c r="G2686">
        <v>0.89902561980361895</v>
      </c>
      <c r="H2686" t="str">
        <f t="shared" si="41"/>
        <v>Q3</v>
      </c>
    </row>
    <row r="2687" spans="1:8">
      <c r="A2687">
        <v>586310</v>
      </c>
      <c r="B2687" t="s">
        <v>1196</v>
      </c>
      <c r="C2687">
        <v>121</v>
      </c>
      <c r="D2687">
        <v>2.20860063660243</v>
      </c>
      <c r="E2687">
        <v>267.24067702889403</v>
      </c>
      <c r="F2687">
        <v>0.92788081712501402</v>
      </c>
      <c r="G2687">
        <v>0.89898799894661596</v>
      </c>
      <c r="H2687" t="str">
        <f t="shared" si="41"/>
        <v>Q4</v>
      </c>
    </row>
    <row r="2688" spans="1:8">
      <c r="A2688">
        <v>718810</v>
      </c>
      <c r="B2688" t="s">
        <v>332</v>
      </c>
      <c r="C2688">
        <v>77</v>
      </c>
      <c r="D2688">
        <v>3.4683909158331199</v>
      </c>
      <c r="E2688">
        <v>267.06610051914998</v>
      </c>
      <c r="F2688">
        <v>0.88740077498965397</v>
      </c>
      <c r="G2688">
        <v>0.89895037808961298</v>
      </c>
      <c r="H2688" t="str">
        <f t="shared" si="41"/>
        <v>Q4</v>
      </c>
    </row>
    <row r="2689" spans="1:8">
      <c r="A2689">
        <v>635240</v>
      </c>
      <c r="B2689" t="s">
        <v>1958</v>
      </c>
      <c r="C2689">
        <v>92</v>
      </c>
      <c r="D2689">
        <v>2.9026160543055601</v>
      </c>
      <c r="E2689">
        <v>267.04067699611198</v>
      </c>
      <c r="F2689">
        <v>0.90429253978405599</v>
      </c>
      <c r="G2689">
        <v>0.89891275723260999</v>
      </c>
      <c r="H2689" t="str">
        <f t="shared" si="41"/>
        <v>Q4</v>
      </c>
    </row>
    <row r="2690" spans="1:8">
      <c r="A2690">
        <v>689811</v>
      </c>
      <c r="B2690" t="s">
        <v>5054</v>
      </c>
      <c r="C2690">
        <v>244</v>
      </c>
      <c r="D2690">
        <v>1.0937482338078099</v>
      </c>
      <c r="E2690">
        <v>266.87456904910499</v>
      </c>
      <c r="F2690">
        <v>0.96783416726232996</v>
      </c>
      <c r="G2690">
        <v>0.89887513637560701</v>
      </c>
      <c r="H2690" t="str">
        <f t="shared" si="41"/>
        <v>Q2</v>
      </c>
    </row>
    <row r="2691" spans="1:8">
      <c r="A2691">
        <v>786925</v>
      </c>
      <c r="B2691" t="s">
        <v>813</v>
      </c>
      <c r="C2691">
        <v>182</v>
      </c>
      <c r="D2691">
        <v>1.46413666278042</v>
      </c>
      <c r="E2691">
        <v>266.47287262603601</v>
      </c>
      <c r="F2691">
        <v>0.95425303788420301</v>
      </c>
      <c r="G2691">
        <v>0.89883751551860303</v>
      </c>
      <c r="H2691" t="str">
        <f t="shared" ref="H2691:H2754" si="42">IF(C2691&gt;$J$2,
   IF(D2691&gt;$J$3,"Q1","Q2"),
   IF(D2691&gt;$J$3,"Q3","Q4"))</f>
        <v>Q2</v>
      </c>
    </row>
    <row r="2692" spans="1:8">
      <c r="A2692">
        <v>399061</v>
      </c>
      <c r="B2692" t="s">
        <v>2256</v>
      </c>
      <c r="C2692">
        <v>47</v>
      </c>
      <c r="D2692">
        <v>5.6614137789670496</v>
      </c>
      <c r="E2692">
        <v>266.08644761145098</v>
      </c>
      <c r="F2692">
        <v>0.82641736578759295</v>
      </c>
      <c r="G2692">
        <v>0.89879989466160004</v>
      </c>
      <c r="H2692" t="str">
        <f t="shared" si="42"/>
        <v>Q3</v>
      </c>
    </row>
    <row r="2693" spans="1:8">
      <c r="A2693">
        <v>734137</v>
      </c>
      <c r="B2693" t="s">
        <v>4795</v>
      </c>
      <c r="C2693">
        <v>53</v>
      </c>
      <c r="D2693">
        <v>5.0185802445377901</v>
      </c>
      <c r="E2693">
        <v>265.98475296050299</v>
      </c>
      <c r="F2693">
        <v>0.84218050487190099</v>
      </c>
      <c r="G2693">
        <v>0.89876227380459695</v>
      </c>
      <c r="H2693" t="str">
        <f t="shared" si="42"/>
        <v>Q3</v>
      </c>
    </row>
    <row r="2694" spans="1:8">
      <c r="A2694">
        <v>752486</v>
      </c>
      <c r="B2694" t="s">
        <v>486</v>
      </c>
      <c r="C2694">
        <v>49</v>
      </c>
      <c r="D2694">
        <v>5.4272225506755802</v>
      </c>
      <c r="E2694">
        <v>265.93390498310299</v>
      </c>
      <c r="F2694">
        <v>0.83258718633610496</v>
      </c>
      <c r="G2694">
        <v>0.89872465294759396</v>
      </c>
      <c r="H2694" t="str">
        <f t="shared" si="42"/>
        <v>Q3</v>
      </c>
    </row>
    <row r="2695" spans="1:8">
      <c r="A2695">
        <v>767225</v>
      </c>
      <c r="B2695" t="s">
        <v>570</v>
      </c>
      <c r="C2695">
        <v>110</v>
      </c>
      <c r="D2695">
        <v>2.41648690859703</v>
      </c>
      <c r="E2695">
        <v>265.81355994567298</v>
      </c>
      <c r="F2695">
        <v>0.92001805801136105</v>
      </c>
      <c r="G2695">
        <v>0.89868703209059098</v>
      </c>
      <c r="H2695" t="str">
        <f t="shared" si="42"/>
        <v>Q4</v>
      </c>
    </row>
    <row r="2696" spans="1:8">
      <c r="A2696">
        <v>585158</v>
      </c>
      <c r="B2696" t="s">
        <v>2154</v>
      </c>
      <c r="C2696">
        <v>218</v>
      </c>
      <c r="D2696">
        <v>1.21896280800291</v>
      </c>
      <c r="E2696">
        <v>265.73389214463498</v>
      </c>
      <c r="F2696">
        <v>0.96335728527895903</v>
      </c>
      <c r="G2696">
        <v>0.89864941123358799</v>
      </c>
      <c r="H2696" t="str">
        <f t="shared" si="42"/>
        <v>Q2</v>
      </c>
    </row>
    <row r="2697" spans="1:8">
      <c r="A2697">
        <v>636892</v>
      </c>
      <c r="B2697" t="s">
        <v>3457</v>
      </c>
      <c r="C2697">
        <v>32</v>
      </c>
      <c r="D2697">
        <v>8.3005827968008798</v>
      </c>
      <c r="E2697">
        <v>265.61864949762798</v>
      </c>
      <c r="F2697">
        <v>0.77096422256498998</v>
      </c>
      <c r="G2697">
        <v>0.89861179037658501</v>
      </c>
      <c r="H2697" t="str">
        <f t="shared" si="42"/>
        <v>Q3</v>
      </c>
    </row>
    <row r="2698" spans="1:8">
      <c r="A2698">
        <v>553611</v>
      </c>
      <c r="B2698" t="s">
        <v>4037</v>
      </c>
      <c r="C2698">
        <v>81</v>
      </c>
      <c r="D2698">
        <v>3.2789495118238299</v>
      </c>
      <c r="E2698">
        <v>265.59491045773001</v>
      </c>
      <c r="F2698">
        <v>0.89293104096911302</v>
      </c>
      <c r="G2698">
        <v>0.89857416951958202</v>
      </c>
      <c r="H2698" t="str">
        <f t="shared" si="42"/>
        <v>Q4</v>
      </c>
    </row>
    <row r="2699" spans="1:8">
      <c r="A2699">
        <v>649440</v>
      </c>
      <c r="B2699" t="s">
        <v>3104</v>
      </c>
      <c r="C2699">
        <v>191</v>
      </c>
      <c r="D2699">
        <v>1.38977721299371</v>
      </c>
      <c r="E2699">
        <v>265.44744768179999</v>
      </c>
      <c r="F2699">
        <v>0.95666077273240302</v>
      </c>
      <c r="G2699">
        <v>0.89853654866257804</v>
      </c>
      <c r="H2699" t="str">
        <f t="shared" si="42"/>
        <v>Q2</v>
      </c>
    </row>
    <row r="2700" spans="1:8">
      <c r="A2700">
        <v>835730</v>
      </c>
      <c r="B2700" t="s">
        <v>2208</v>
      </c>
      <c r="C2700">
        <v>66</v>
      </c>
      <c r="D2700">
        <v>4.0210324029127804</v>
      </c>
      <c r="E2700">
        <v>265.38813859224302</v>
      </c>
      <c r="F2700">
        <v>0.86968135134118396</v>
      </c>
      <c r="G2700">
        <v>0.89849892780557505</v>
      </c>
      <c r="H2700" t="str">
        <f t="shared" si="42"/>
        <v>Q4</v>
      </c>
    </row>
    <row r="2701" spans="1:8">
      <c r="A2701">
        <v>708066</v>
      </c>
      <c r="B2701" t="s">
        <v>2566</v>
      </c>
      <c r="C2701">
        <v>43</v>
      </c>
      <c r="D2701">
        <v>6.17138347047013</v>
      </c>
      <c r="E2701">
        <v>265.369489230216</v>
      </c>
      <c r="F2701">
        <v>0.81437869154659304</v>
      </c>
      <c r="G2701">
        <v>0.89846130694857196</v>
      </c>
      <c r="H2701" t="str">
        <f t="shared" si="42"/>
        <v>Q3</v>
      </c>
    </row>
    <row r="2702" spans="1:8">
      <c r="A2702">
        <v>701574</v>
      </c>
      <c r="B2702" t="s">
        <v>3379</v>
      </c>
      <c r="C2702">
        <v>78</v>
      </c>
      <c r="D2702">
        <v>3.4005432210576099</v>
      </c>
      <c r="E2702">
        <v>265.24237124249299</v>
      </c>
      <c r="F2702">
        <v>0.88867988412776</v>
      </c>
      <c r="G2702">
        <v>0.89842368609156897</v>
      </c>
      <c r="H2702" t="str">
        <f t="shared" si="42"/>
        <v>Q4</v>
      </c>
    </row>
    <row r="2703" spans="1:8">
      <c r="A2703">
        <v>758266</v>
      </c>
      <c r="B2703" t="s">
        <v>3361</v>
      </c>
      <c r="C2703">
        <v>134</v>
      </c>
      <c r="D2703">
        <v>1.9769542020008899</v>
      </c>
      <c r="E2703">
        <v>264.91186306811898</v>
      </c>
      <c r="F2703">
        <v>0.93551785109664798</v>
      </c>
      <c r="G2703">
        <v>0.89838606523456599</v>
      </c>
      <c r="H2703" t="str">
        <f t="shared" si="42"/>
        <v>Q4</v>
      </c>
    </row>
    <row r="2704" spans="1:8">
      <c r="A2704">
        <v>519847</v>
      </c>
      <c r="B2704" t="s">
        <v>2435</v>
      </c>
      <c r="C2704">
        <v>125</v>
      </c>
      <c r="D2704">
        <v>2.1188745450228499</v>
      </c>
      <c r="E2704">
        <v>264.859318127856</v>
      </c>
      <c r="F2704">
        <v>0.93028855197321403</v>
      </c>
      <c r="G2704">
        <v>0.898348444377563</v>
      </c>
      <c r="H2704" t="str">
        <f t="shared" si="42"/>
        <v>Q4</v>
      </c>
    </row>
    <row r="2705" spans="1:8">
      <c r="A2705">
        <v>651591</v>
      </c>
      <c r="B2705" t="s">
        <v>3033</v>
      </c>
      <c r="C2705">
        <v>80</v>
      </c>
      <c r="D2705">
        <v>3.3104873087722799</v>
      </c>
      <c r="E2705">
        <v>264.83898470178201</v>
      </c>
      <c r="F2705">
        <v>0.89150144840299494</v>
      </c>
      <c r="G2705">
        <v>0.89831082352056002</v>
      </c>
      <c r="H2705" t="str">
        <f t="shared" si="42"/>
        <v>Q4</v>
      </c>
    </row>
    <row r="2706" spans="1:8">
      <c r="A2706">
        <v>458239</v>
      </c>
      <c r="B2706" t="s">
        <v>4837</v>
      </c>
      <c r="C2706">
        <v>126</v>
      </c>
      <c r="D2706">
        <v>2.1012778183267899</v>
      </c>
      <c r="E2706">
        <v>264.76100510917598</v>
      </c>
      <c r="F2706">
        <v>0.93096572739926997</v>
      </c>
      <c r="G2706">
        <v>0.89827320266355704</v>
      </c>
      <c r="H2706" t="str">
        <f t="shared" si="42"/>
        <v>Q4</v>
      </c>
    </row>
    <row r="2707" spans="1:8">
      <c r="A2707">
        <v>495884</v>
      </c>
      <c r="B2707" t="s">
        <v>5009</v>
      </c>
      <c r="C2707">
        <v>38</v>
      </c>
      <c r="D2707">
        <v>6.9654327180040498</v>
      </c>
      <c r="E2707">
        <v>264.686443284154</v>
      </c>
      <c r="F2707">
        <v>0.79696023475414801</v>
      </c>
      <c r="G2707">
        <v>0.89823558180655405</v>
      </c>
      <c r="H2707" t="str">
        <f t="shared" si="42"/>
        <v>Q3</v>
      </c>
    </row>
    <row r="2708" spans="1:8">
      <c r="A2708">
        <v>772329</v>
      </c>
      <c r="B2708" t="s">
        <v>2147</v>
      </c>
      <c r="C2708">
        <v>57</v>
      </c>
      <c r="D2708">
        <v>4.6426703075044999</v>
      </c>
      <c r="E2708">
        <v>264.63220752775698</v>
      </c>
      <c r="F2708">
        <v>0.851849065121703</v>
      </c>
      <c r="G2708">
        <v>0.89819796094954996</v>
      </c>
      <c r="H2708" t="str">
        <f t="shared" si="42"/>
        <v>Q4</v>
      </c>
    </row>
    <row r="2709" spans="1:8">
      <c r="A2709">
        <v>756099</v>
      </c>
      <c r="B2709" t="s">
        <v>3807</v>
      </c>
      <c r="C2709">
        <v>172</v>
      </c>
      <c r="D2709">
        <v>1.53712055829982</v>
      </c>
      <c r="E2709">
        <v>264.38473602756898</v>
      </c>
      <c r="F2709">
        <v>0.95082953989691898</v>
      </c>
      <c r="G2709">
        <v>0.89816034009254697</v>
      </c>
      <c r="H2709" t="str">
        <f t="shared" si="42"/>
        <v>Q2</v>
      </c>
    </row>
    <row r="2710" spans="1:8">
      <c r="A2710">
        <v>734700</v>
      </c>
      <c r="B2710" t="s">
        <v>2966</v>
      </c>
      <c r="C2710">
        <v>24</v>
      </c>
      <c r="D2710">
        <v>11.011793743819</v>
      </c>
      <c r="E2710">
        <v>264.28304985165602</v>
      </c>
      <c r="F2710">
        <v>0.72284714645799597</v>
      </c>
      <c r="G2710">
        <v>0.89812271923554399</v>
      </c>
      <c r="H2710" t="str">
        <f t="shared" si="42"/>
        <v>Q3</v>
      </c>
    </row>
    <row r="2711" spans="1:8">
      <c r="A2711">
        <v>640664</v>
      </c>
      <c r="B2711" t="s">
        <v>5174</v>
      </c>
      <c r="C2711">
        <v>150</v>
      </c>
      <c r="D2711">
        <v>1.7612994099035899</v>
      </c>
      <c r="E2711">
        <v>264.194911485538</v>
      </c>
      <c r="F2711">
        <v>0.94292915992626303</v>
      </c>
      <c r="G2711">
        <v>0.898085098378541</v>
      </c>
      <c r="H2711" t="str">
        <f t="shared" si="42"/>
        <v>Q4</v>
      </c>
    </row>
    <row r="2712" spans="1:8">
      <c r="A2712">
        <v>688105</v>
      </c>
      <c r="B2712" t="s">
        <v>4495</v>
      </c>
      <c r="C2712">
        <v>81</v>
      </c>
      <c r="D2712">
        <v>3.2611424528798199</v>
      </c>
      <c r="E2712">
        <v>264.15253868326499</v>
      </c>
      <c r="F2712">
        <v>0.89293104096911302</v>
      </c>
      <c r="G2712">
        <v>0.89804747752153802</v>
      </c>
      <c r="H2712" t="str">
        <f t="shared" si="42"/>
        <v>Q4</v>
      </c>
    </row>
    <row r="2713" spans="1:8">
      <c r="A2713">
        <v>792604</v>
      </c>
      <c r="B2713" t="s">
        <v>2891</v>
      </c>
      <c r="C2713">
        <v>108</v>
      </c>
      <c r="D2713">
        <v>2.4445856869634701</v>
      </c>
      <c r="E2713">
        <v>264.01525419205399</v>
      </c>
      <c r="F2713">
        <v>0.91866370715924905</v>
      </c>
      <c r="G2713">
        <v>0.89800985666453503</v>
      </c>
      <c r="H2713" t="str">
        <f t="shared" si="42"/>
        <v>Q4</v>
      </c>
    </row>
    <row r="2714" spans="1:8">
      <c r="A2714">
        <v>797088</v>
      </c>
      <c r="B2714" t="s">
        <v>3073</v>
      </c>
      <c r="C2714">
        <v>74</v>
      </c>
      <c r="D2714">
        <v>3.5671552718692499</v>
      </c>
      <c r="E2714">
        <v>263.96949011832498</v>
      </c>
      <c r="F2714">
        <v>0.88307437643429498</v>
      </c>
      <c r="G2714">
        <v>0.89797223580753205</v>
      </c>
      <c r="H2714" t="str">
        <f t="shared" si="42"/>
        <v>Q4</v>
      </c>
    </row>
    <row r="2715" spans="1:8">
      <c r="A2715">
        <v>765517</v>
      </c>
      <c r="B2715" t="s">
        <v>2079</v>
      </c>
      <c r="C2715">
        <v>58</v>
      </c>
      <c r="D2715">
        <v>4.5485097224470898</v>
      </c>
      <c r="E2715">
        <v>263.81356390193099</v>
      </c>
      <c r="F2715">
        <v>0.853993453970881</v>
      </c>
      <c r="G2715">
        <v>0.89793461495052895</v>
      </c>
      <c r="H2715" t="str">
        <f t="shared" si="42"/>
        <v>Q4</v>
      </c>
    </row>
    <row r="2716" spans="1:8">
      <c r="A2716">
        <v>752437</v>
      </c>
      <c r="B2716" t="s">
        <v>3287</v>
      </c>
      <c r="C2716">
        <v>47</v>
      </c>
      <c r="D2716">
        <v>5.6122612485543204</v>
      </c>
      <c r="E2716">
        <v>263.77627868205298</v>
      </c>
      <c r="F2716">
        <v>0.82641736578759295</v>
      </c>
      <c r="G2716">
        <v>0.89789699409352497</v>
      </c>
      <c r="H2716" t="str">
        <f t="shared" si="42"/>
        <v>Q3</v>
      </c>
    </row>
    <row r="2717" spans="1:8">
      <c r="A2717">
        <v>733348</v>
      </c>
      <c r="B2717" t="s">
        <v>4829</v>
      </c>
      <c r="C2717">
        <v>53</v>
      </c>
      <c r="D2717">
        <v>4.9763351292261504</v>
      </c>
      <c r="E2717">
        <v>263.74576184898598</v>
      </c>
      <c r="F2717">
        <v>0.84218050487190099</v>
      </c>
      <c r="G2717">
        <v>0.89785937323652198</v>
      </c>
      <c r="H2717" t="str">
        <f t="shared" si="42"/>
        <v>Q3</v>
      </c>
    </row>
    <row r="2718" spans="1:8">
      <c r="A2718">
        <v>699178</v>
      </c>
      <c r="B2718" t="s">
        <v>5194</v>
      </c>
      <c r="C2718">
        <v>93</v>
      </c>
      <c r="D2718">
        <v>2.8352469376098099</v>
      </c>
      <c r="E2718">
        <v>263.67796519771201</v>
      </c>
      <c r="F2718">
        <v>0.90587261577818701</v>
      </c>
      <c r="G2718">
        <v>0.897821752379519</v>
      </c>
      <c r="H2718" t="str">
        <f t="shared" si="42"/>
        <v>Q4</v>
      </c>
    </row>
    <row r="2719" spans="1:8">
      <c r="A2719">
        <v>622295</v>
      </c>
      <c r="B2719" t="s">
        <v>5130</v>
      </c>
      <c r="C2719">
        <v>91</v>
      </c>
      <c r="D2719">
        <v>2.8973366123634401</v>
      </c>
      <c r="E2719">
        <v>263.65763172507297</v>
      </c>
      <c r="F2719">
        <v>0.90350250178699099</v>
      </c>
      <c r="G2719">
        <v>0.89778413152251602</v>
      </c>
      <c r="H2719" t="str">
        <f t="shared" si="42"/>
        <v>Q4</v>
      </c>
    </row>
    <row r="2720" spans="1:8">
      <c r="A2720">
        <v>700961</v>
      </c>
      <c r="B2720" t="s">
        <v>2447</v>
      </c>
      <c r="C2720">
        <v>112</v>
      </c>
      <c r="D2720">
        <v>2.3539043351775</v>
      </c>
      <c r="E2720">
        <v>263.63728553988</v>
      </c>
      <c r="F2720">
        <v>0.92156051314848997</v>
      </c>
      <c r="G2720">
        <v>0.89774651066551303</v>
      </c>
      <c r="H2720" t="str">
        <f t="shared" si="42"/>
        <v>Q4</v>
      </c>
    </row>
    <row r="2721" spans="1:8">
      <c r="A2721">
        <v>764355</v>
      </c>
      <c r="B2721" t="s">
        <v>2402</v>
      </c>
      <c r="C2721">
        <v>87</v>
      </c>
      <c r="D2721">
        <v>3.02998241486734</v>
      </c>
      <c r="E2721">
        <v>263.608470093459</v>
      </c>
      <c r="F2721">
        <v>0.89955231180166295</v>
      </c>
      <c r="G2721">
        <v>0.89770888980851005</v>
      </c>
      <c r="H2721" t="str">
        <f t="shared" si="42"/>
        <v>Q4</v>
      </c>
    </row>
    <row r="2722" spans="1:8">
      <c r="A2722">
        <v>819485</v>
      </c>
      <c r="B2722" t="s">
        <v>1713</v>
      </c>
      <c r="C2722">
        <v>92</v>
      </c>
      <c r="D2722">
        <v>2.8641304021458298</v>
      </c>
      <c r="E2722">
        <v>263.49999699741602</v>
      </c>
      <c r="F2722">
        <v>0.90429253978405599</v>
      </c>
      <c r="G2722">
        <v>0.89767126895150695</v>
      </c>
      <c r="H2722" t="str">
        <f t="shared" si="42"/>
        <v>Q4</v>
      </c>
    </row>
    <row r="2723" spans="1:8">
      <c r="A2723">
        <v>802897</v>
      </c>
      <c r="B2723" t="s">
        <v>455</v>
      </c>
      <c r="C2723">
        <v>55</v>
      </c>
      <c r="D2723">
        <v>4.7878583046522998</v>
      </c>
      <c r="E2723">
        <v>263.332206755877</v>
      </c>
      <c r="F2723">
        <v>0.84763552913735396</v>
      </c>
      <c r="G2723">
        <v>0.89763364809450397</v>
      </c>
      <c r="H2723" t="str">
        <f t="shared" si="42"/>
        <v>Q4</v>
      </c>
    </row>
    <row r="2724" spans="1:8">
      <c r="A2724">
        <v>731119</v>
      </c>
      <c r="B2724" t="s">
        <v>1757</v>
      </c>
      <c r="C2724">
        <v>165</v>
      </c>
      <c r="D2724">
        <v>1.59363116419902</v>
      </c>
      <c r="E2724">
        <v>262.949142092839</v>
      </c>
      <c r="F2724">
        <v>0.948384184191716</v>
      </c>
      <c r="G2724">
        <v>0.89759602723749998</v>
      </c>
      <c r="H2724" t="str">
        <f t="shared" si="42"/>
        <v>Q4</v>
      </c>
    </row>
    <row r="2725" spans="1:8">
      <c r="A2725">
        <v>769321</v>
      </c>
      <c r="B2725" t="s">
        <v>3637</v>
      </c>
      <c r="C2725">
        <v>28</v>
      </c>
      <c r="D2725">
        <v>9.3869856425693996</v>
      </c>
      <c r="E2725">
        <v>262.83559799194302</v>
      </c>
      <c r="F2725">
        <v>0.74974605921522897</v>
      </c>
      <c r="G2725">
        <v>0.897558406380497</v>
      </c>
      <c r="H2725" t="str">
        <f t="shared" si="42"/>
        <v>Q3</v>
      </c>
    </row>
    <row r="2726" spans="1:8">
      <c r="A2726">
        <v>746445</v>
      </c>
      <c r="B2726" t="s">
        <v>2491</v>
      </c>
      <c r="C2726">
        <v>55</v>
      </c>
      <c r="D2726">
        <v>4.7775347564708097</v>
      </c>
      <c r="E2726">
        <v>262.76441160589502</v>
      </c>
      <c r="F2726">
        <v>0.84763552913735396</v>
      </c>
      <c r="G2726">
        <v>0.89752078552349401</v>
      </c>
      <c r="H2726" t="str">
        <f t="shared" si="42"/>
        <v>Q4</v>
      </c>
    </row>
    <row r="2727" spans="1:8">
      <c r="A2727">
        <v>719704</v>
      </c>
      <c r="B2727" t="s">
        <v>2135</v>
      </c>
      <c r="C2727">
        <v>80</v>
      </c>
      <c r="D2727">
        <v>3.28425842570141</v>
      </c>
      <c r="E2727">
        <v>262.74067405611299</v>
      </c>
      <c r="F2727">
        <v>0.89150144840299494</v>
      </c>
      <c r="G2727">
        <v>0.89748316466649103</v>
      </c>
      <c r="H2727" t="str">
        <f t="shared" si="42"/>
        <v>Q4</v>
      </c>
    </row>
    <row r="2728" spans="1:8">
      <c r="A2728">
        <v>761113</v>
      </c>
      <c r="B2728" t="s">
        <v>3574</v>
      </c>
      <c r="C2728">
        <v>64</v>
      </c>
      <c r="D2728">
        <v>4.10521716694348</v>
      </c>
      <c r="E2728">
        <v>262.73389868438198</v>
      </c>
      <c r="F2728">
        <v>0.86633309506790601</v>
      </c>
      <c r="G2728">
        <v>0.89744554380948804</v>
      </c>
      <c r="H2728" t="str">
        <f t="shared" si="42"/>
        <v>Q4</v>
      </c>
    </row>
    <row r="2729" spans="1:8">
      <c r="A2729">
        <v>671693</v>
      </c>
      <c r="B2729" t="s">
        <v>2778</v>
      </c>
      <c r="C2729">
        <v>37</v>
      </c>
      <c r="D2729">
        <v>7.1006415160121099</v>
      </c>
      <c r="E2729">
        <v>262.72373609244801</v>
      </c>
      <c r="F2729">
        <v>0.79304766562582296</v>
      </c>
      <c r="G2729">
        <v>0.89740792295248495</v>
      </c>
      <c r="H2729" t="str">
        <f t="shared" si="42"/>
        <v>Q3</v>
      </c>
    </row>
    <row r="2730" spans="1:8">
      <c r="A2730">
        <v>721267</v>
      </c>
      <c r="B2730" t="s">
        <v>3732</v>
      </c>
      <c r="C2730">
        <v>50</v>
      </c>
      <c r="D2730">
        <v>5.2543389312922999</v>
      </c>
      <c r="E2730">
        <v>262.716946564615</v>
      </c>
      <c r="F2730">
        <v>0.83559685489635405</v>
      </c>
      <c r="G2730">
        <v>0.89737030209548196</v>
      </c>
      <c r="H2730" t="str">
        <f t="shared" si="42"/>
        <v>Q3</v>
      </c>
    </row>
    <row r="2731" spans="1:8">
      <c r="A2731">
        <v>778476</v>
      </c>
      <c r="B2731" t="s">
        <v>4427</v>
      </c>
      <c r="C2731">
        <v>48</v>
      </c>
      <c r="D2731">
        <v>5.4729874012991804</v>
      </c>
      <c r="E2731">
        <v>262.70339526236103</v>
      </c>
      <c r="F2731">
        <v>0.82957751777585498</v>
      </c>
      <c r="G2731">
        <v>0.89733268123847898</v>
      </c>
      <c r="H2731" t="str">
        <f t="shared" si="42"/>
        <v>Q3</v>
      </c>
    </row>
    <row r="2732" spans="1:8">
      <c r="A2732">
        <v>807283</v>
      </c>
      <c r="B2732" t="s">
        <v>3474</v>
      </c>
      <c r="C2732">
        <v>66</v>
      </c>
      <c r="D2732">
        <v>3.9803287155474698</v>
      </c>
      <c r="E2732">
        <v>262.70169522613298</v>
      </c>
      <c r="F2732">
        <v>0.86968135134118396</v>
      </c>
      <c r="G2732">
        <v>0.897295060381475</v>
      </c>
      <c r="H2732" t="str">
        <f t="shared" si="42"/>
        <v>Q4</v>
      </c>
    </row>
    <row r="2733" spans="1:8">
      <c r="A2733">
        <v>787965</v>
      </c>
      <c r="B2733" t="s">
        <v>3916</v>
      </c>
      <c r="C2733">
        <v>24</v>
      </c>
      <c r="D2733">
        <v>10.9371468424797</v>
      </c>
      <c r="E2733">
        <v>262.491524219513</v>
      </c>
      <c r="F2733">
        <v>0.72284714645799597</v>
      </c>
      <c r="G2733">
        <v>0.89725743952447201</v>
      </c>
      <c r="H2733" t="str">
        <f t="shared" si="42"/>
        <v>Q3</v>
      </c>
    </row>
    <row r="2734" spans="1:8">
      <c r="A2734">
        <v>399136</v>
      </c>
      <c r="B2734" t="s">
        <v>4483</v>
      </c>
      <c r="C2734">
        <v>65</v>
      </c>
      <c r="D2734">
        <v>4.0371838627526397</v>
      </c>
      <c r="E2734">
        <v>262.41695107892201</v>
      </c>
      <c r="F2734">
        <v>0.86802603363304598</v>
      </c>
      <c r="G2734">
        <v>0.89721981866746903</v>
      </c>
      <c r="H2734" t="str">
        <f t="shared" si="42"/>
        <v>Q4</v>
      </c>
    </row>
    <row r="2735" spans="1:8">
      <c r="A2735">
        <v>759327</v>
      </c>
      <c r="B2735" t="s">
        <v>3038</v>
      </c>
      <c r="C2735">
        <v>53</v>
      </c>
      <c r="D2735">
        <v>4.95091150954085</v>
      </c>
      <c r="E2735">
        <v>262.398310005665</v>
      </c>
      <c r="F2735">
        <v>0.84218050487190099</v>
      </c>
      <c r="G2735">
        <v>0.89718219781046604</v>
      </c>
      <c r="H2735" t="str">
        <f t="shared" si="42"/>
        <v>Q3</v>
      </c>
    </row>
    <row r="2736" spans="1:8">
      <c r="A2736">
        <v>745357</v>
      </c>
      <c r="B2736" t="s">
        <v>2140</v>
      </c>
      <c r="C2736">
        <v>82</v>
      </c>
      <c r="D2736">
        <v>3.1956593165310401</v>
      </c>
      <c r="E2736">
        <v>262.04406395554503</v>
      </c>
      <c r="F2736">
        <v>0.894323012678229</v>
      </c>
      <c r="G2736">
        <v>0.89714457695346295</v>
      </c>
      <c r="H2736" t="str">
        <f t="shared" si="42"/>
        <v>Q4</v>
      </c>
    </row>
    <row r="2737" spans="1:8">
      <c r="A2737">
        <v>762096</v>
      </c>
      <c r="B2737" t="s">
        <v>2742</v>
      </c>
      <c r="C2737">
        <v>111</v>
      </c>
      <c r="D2737">
        <v>2.3588028728022201</v>
      </c>
      <c r="E2737">
        <v>261.827118881047</v>
      </c>
      <c r="F2737">
        <v>0.92084571686543004</v>
      </c>
      <c r="G2737">
        <v>0.89710695609645996</v>
      </c>
      <c r="H2737" t="str">
        <f t="shared" si="42"/>
        <v>Q4</v>
      </c>
    </row>
    <row r="2738" spans="1:8">
      <c r="A2738">
        <v>759462</v>
      </c>
      <c r="B2738" t="s">
        <v>2035</v>
      </c>
      <c r="C2738">
        <v>112</v>
      </c>
      <c r="D2738">
        <v>2.3370610899291901</v>
      </c>
      <c r="E2738">
        <v>261.75084207206999</v>
      </c>
      <c r="F2738">
        <v>0.92156051314848997</v>
      </c>
      <c r="G2738">
        <v>0.89706933523945698</v>
      </c>
      <c r="H2738" t="str">
        <f t="shared" si="42"/>
        <v>Q4</v>
      </c>
    </row>
    <row r="2739" spans="1:8">
      <c r="A2739">
        <v>769447</v>
      </c>
      <c r="B2739" t="s">
        <v>4949</v>
      </c>
      <c r="C2739">
        <v>49</v>
      </c>
      <c r="D2739">
        <v>5.33759956229098</v>
      </c>
      <c r="E2739">
        <v>261.54237855225801</v>
      </c>
      <c r="F2739">
        <v>0.83258718633610496</v>
      </c>
      <c r="G2739">
        <v>0.89703171438245399</v>
      </c>
      <c r="H2739" t="str">
        <f t="shared" si="42"/>
        <v>Q3</v>
      </c>
    </row>
    <row r="2740" spans="1:8">
      <c r="A2740">
        <v>772421</v>
      </c>
      <c r="B2740" t="s">
        <v>267</v>
      </c>
      <c r="C2740">
        <v>79</v>
      </c>
      <c r="D2740">
        <v>3.30920402267123</v>
      </c>
      <c r="E2740">
        <v>261.427117791027</v>
      </c>
      <c r="F2740">
        <v>0.89022233926488803</v>
      </c>
      <c r="G2740">
        <v>0.89699409352545101</v>
      </c>
      <c r="H2740" t="str">
        <f t="shared" si="42"/>
        <v>Q4</v>
      </c>
    </row>
    <row r="2741" spans="1:8">
      <c r="A2741">
        <v>796240</v>
      </c>
      <c r="B2741" t="s">
        <v>1711</v>
      </c>
      <c r="C2741">
        <v>85</v>
      </c>
      <c r="D2741">
        <v>3.07507472660612</v>
      </c>
      <c r="E2741">
        <v>261.38135176152002</v>
      </c>
      <c r="F2741">
        <v>0.89721981866746903</v>
      </c>
      <c r="G2741">
        <v>0.89695647266844702</v>
      </c>
      <c r="H2741" t="str">
        <f t="shared" si="42"/>
        <v>Q4</v>
      </c>
    </row>
    <row r="2742" spans="1:8">
      <c r="A2742">
        <v>708588</v>
      </c>
      <c r="B2742" t="s">
        <v>3727</v>
      </c>
      <c r="C2742">
        <v>117</v>
      </c>
      <c r="D2742">
        <v>2.2338982719259399</v>
      </c>
      <c r="E2742">
        <v>261.36609781533502</v>
      </c>
      <c r="F2742">
        <v>0.925247357134796</v>
      </c>
      <c r="G2742">
        <v>0.89691885181144404</v>
      </c>
      <c r="H2742" t="str">
        <f t="shared" si="42"/>
        <v>Q4</v>
      </c>
    </row>
    <row r="2743" spans="1:8">
      <c r="A2743">
        <v>624701</v>
      </c>
      <c r="B2743" t="s">
        <v>4659</v>
      </c>
      <c r="C2743">
        <v>57</v>
      </c>
      <c r="D2743">
        <v>4.5850134274938696</v>
      </c>
      <c r="E2743">
        <v>261.34576536715002</v>
      </c>
      <c r="F2743">
        <v>0.851849065121703</v>
      </c>
      <c r="G2743">
        <v>0.89688123095444094</v>
      </c>
      <c r="H2743" t="str">
        <f t="shared" si="42"/>
        <v>Q4</v>
      </c>
    </row>
    <row r="2744" spans="1:8">
      <c r="A2744">
        <v>691072</v>
      </c>
      <c r="B2744" t="s">
        <v>2325</v>
      </c>
      <c r="C2744">
        <v>112</v>
      </c>
      <c r="D2744">
        <v>2.33193099598533</v>
      </c>
      <c r="E2744">
        <v>261.176271550357</v>
      </c>
      <c r="F2744">
        <v>0.92156051314848997</v>
      </c>
      <c r="G2744">
        <v>0.89684361009743796</v>
      </c>
      <c r="H2744" t="str">
        <f t="shared" si="42"/>
        <v>Q4</v>
      </c>
    </row>
    <row r="2745" spans="1:8">
      <c r="A2745">
        <v>843555</v>
      </c>
      <c r="B2745" t="s">
        <v>1320</v>
      </c>
      <c r="C2745">
        <v>83</v>
      </c>
      <c r="D2745">
        <v>3.1457014000379901</v>
      </c>
      <c r="E2745">
        <v>261.09321620315302</v>
      </c>
      <c r="F2745">
        <v>0.89530115496031004</v>
      </c>
      <c r="G2745">
        <v>0.89680598924043498</v>
      </c>
      <c r="H2745" t="str">
        <f t="shared" si="42"/>
        <v>Q4</v>
      </c>
    </row>
    <row r="2746" spans="1:8">
      <c r="A2746">
        <v>731251</v>
      </c>
      <c r="B2746" t="s">
        <v>2537</v>
      </c>
      <c r="C2746">
        <v>107</v>
      </c>
      <c r="D2746">
        <v>2.4354506614748601</v>
      </c>
      <c r="E2746">
        <v>260.59322077781002</v>
      </c>
      <c r="F2746">
        <v>0.91791129001918703</v>
      </c>
      <c r="G2746">
        <v>0.89676836838343199</v>
      </c>
      <c r="H2746" t="str">
        <f t="shared" si="42"/>
        <v>Q4</v>
      </c>
    </row>
    <row r="2747" spans="1:8">
      <c r="A2747">
        <v>708714</v>
      </c>
      <c r="B2747" t="s">
        <v>3279</v>
      </c>
      <c r="C2747">
        <v>23</v>
      </c>
      <c r="D2747">
        <v>11.326381499352699</v>
      </c>
      <c r="E2747">
        <v>260.50677448511101</v>
      </c>
      <c r="F2747">
        <v>0.71547345848538402</v>
      </c>
      <c r="G2747">
        <v>0.89673074752642901</v>
      </c>
      <c r="H2747" t="str">
        <f t="shared" si="42"/>
        <v>Q3</v>
      </c>
    </row>
    <row r="2748" spans="1:8">
      <c r="A2748">
        <v>733556</v>
      </c>
      <c r="B2748" t="s">
        <v>4294</v>
      </c>
      <c r="C2748">
        <v>20</v>
      </c>
      <c r="D2748">
        <v>13.0197462439537</v>
      </c>
      <c r="E2748">
        <v>260.39492487907398</v>
      </c>
      <c r="F2748">
        <v>0.69196042285843296</v>
      </c>
      <c r="G2748">
        <v>0.89669312666942602</v>
      </c>
      <c r="H2748" t="str">
        <f t="shared" si="42"/>
        <v>Q3</v>
      </c>
    </row>
    <row r="2749" spans="1:8">
      <c r="A2749">
        <v>708429</v>
      </c>
      <c r="B2749" t="s">
        <v>1193</v>
      </c>
      <c r="C2749">
        <v>146</v>
      </c>
      <c r="D2749">
        <v>1.78283026381332</v>
      </c>
      <c r="E2749">
        <v>260.29321851674501</v>
      </c>
      <c r="F2749">
        <v>0.94127384221812604</v>
      </c>
      <c r="G2749">
        <v>0.89665550581242204</v>
      </c>
      <c r="H2749" t="str">
        <f t="shared" si="42"/>
        <v>Q4</v>
      </c>
    </row>
    <row r="2750" spans="1:8">
      <c r="A2750">
        <v>630145</v>
      </c>
      <c r="B2750" t="s">
        <v>1776</v>
      </c>
      <c r="C2750">
        <v>81</v>
      </c>
      <c r="D2750">
        <v>3.21125760559499</v>
      </c>
      <c r="E2750">
        <v>260.11186605319398</v>
      </c>
      <c r="F2750">
        <v>0.89293104096911302</v>
      </c>
      <c r="G2750">
        <v>0.89661788495541905</v>
      </c>
      <c r="H2750" t="str">
        <f t="shared" si="42"/>
        <v>Q4</v>
      </c>
    </row>
    <row r="2751" spans="1:8">
      <c r="A2751">
        <v>738182</v>
      </c>
      <c r="B2751" t="s">
        <v>5049</v>
      </c>
      <c r="C2751">
        <v>97</v>
      </c>
      <c r="D2751">
        <v>2.6811811880967098</v>
      </c>
      <c r="E2751">
        <v>260.07457524538</v>
      </c>
      <c r="F2751">
        <v>0.909108009480456</v>
      </c>
      <c r="G2751">
        <v>0.89658026409841596</v>
      </c>
      <c r="H2751" t="str">
        <f t="shared" si="42"/>
        <v>Q4</v>
      </c>
    </row>
    <row r="2752" spans="1:8">
      <c r="A2752">
        <v>487827</v>
      </c>
      <c r="B2752" t="s">
        <v>4738</v>
      </c>
      <c r="C2752">
        <v>66</v>
      </c>
      <c r="D2752">
        <v>3.9395480360271402</v>
      </c>
      <c r="E2752">
        <v>260.01017037779098</v>
      </c>
      <c r="F2752">
        <v>0.86968135134118396</v>
      </c>
      <c r="G2752">
        <v>0.89654264324141297</v>
      </c>
      <c r="H2752" t="str">
        <f t="shared" si="42"/>
        <v>Q4</v>
      </c>
    </row>
    <row r="2753" spans="1:8">
      <c r="A2753">
        <v>689513</v>
      </c>
      <c r="B2753" t="s">
        <v>3204</v>
      </c>
      <c r="C2753">
        <v>107</v>
      </c>
      <c r="D2753">
        <v>2.4279898650526399</v>
      </c>
      <c r="E2753">
        <v>259.794915560633</v>
      </c>
      <c r="F2753">
        <v>0.91791129001918703</v>
      </c>
      <c r="G2753">
        <v>0.89650502238440999</v>
      </c>
      <c r="H2753" t="str">
        <f t="shared" si="42"/>
        <v>Q4</v>
      </c>
    </row>
    <row r="2754" spans="1:8">
      <c r="A2754">
        <v>776741</v>
      </c>
      <c r="B2754" t="s">
        <v>1213</v>
      </c>
      <c r="C2754">
        <v>17</v>
      </c>
      <c r="D2754">
        <v>15.278963218716999</v>
      </c>
      <c r="E2754">
        <v>259.74237471818901</v>
      </c>
      <c r="F2754">
        <v>0.65926789812271902</v>
      </c>
      <c r="G2754">
        <v>0.896467401527407</v>
      </c>
      <c r="H2754" t="str">
        <f t="shared" si="42"/>
        <v>Q3</v>
      </c>
    </row>
    <row r="2755" spans="1:8">
      <c r="A2755">
        <v>742925</v>
      </c>
      <c r="B2755" t="s">
        <v>789</v>
      </c>
      <c r="C2755">
        <v>419</v>
      </c>
      <c r="D2755">
        <v>0.61964321893202001</v>
      </c>
      <c r="E2755">
        <v>259.63050873251598</v>
      </c>
      <c r="F2755">
        <v>0.98491403634174801</v>
      </c>
      <c r="G2755">
        <v>0.89642978067040402</v>
      </c>
      <c r="H2755" t="str">
        <f t="shared" ref="H2755:H2818" si="43">IF(C2755&gt;$J$2,
   IF(D2755&gt;$J$3,"Q1","Q2"),
   IF(D2755&gt;$J$3,"Q3","Q4"))</f>
        <v>Q2</v>
      </c>
    </row>
    <row r="2756" spans="1:8">
      <c r="A2756">
        <v>623115</v>
      </c>
      <c r="B2756" t="s">
        <v>2339</v>
      </c>
      <c r="C2756">
        <v>53</v>
      </c>
      <c r="D2756">
        <v>4.8970259936913001</v>
      </c>
      <c r="E2756">
        <v>259.54237766563898</v>
      </c>
      <c r="F2756">
        <v>0.84218050487190099</v>
      </c>
      <c r="G2756">
        <v>0.89639215981340103</v>
      </c>
      <c r="H2756" t="str">
        <f t="shared" si="43"/>
        <v>Q4</v>
      </c>
    </row>
    <row r="2757" spans="1:8">
      <c r="A2757">
        <v>775321</v>
      </c>
      <c r="B2757" t="s">
        <v>357</v>
      </c>
      <c r="C2757">
        <v>177</v>
      </c>
      <c r="D2757">
        <v>1.46611121530503</v>
      </c>
      <c r="E2757">
        <v>259.50168510898902</v>
      </c>
      <c r="F2757">
        <v>0.95244723674805298</v>
      </c>
      <c r="G2757">
        <v>0.89635453895639705</v>
      </c>
      <c r="H2757" t="str">
        <f t="shared" si="43"/>
        <v>Q2</v>
      </c>
    </row>
    <row r="2758" spans="1:8">
      <c r="A2758">
        <v>722022</v>
      </c>
      <c r="B2758" t="s">
        <v>2205</v>
      </c>
      <c r="C2758">
        <v>61</v>
      </c>
      <c r="D2758">
        <v>4.2539316916563497</v>
      </c>
      <c r="E2758">
        <v>259.48983319103701</v>
      </c>
      <c r="F2758">
        <v>0.86035137880440904</v>
      </c>
      <c r="G2758">
        <v>0.89631691809939396</v>
      </c>
      <c r="H2758" t="str">
        <f t="shared" si="43"/>
        <v>Q4</v>
      </c>
    </row>
    <row r="2759" spans="1:8">
      <c r="A2759">
        <v>759394</v>
      </c>
      <c r="B2759" t="s">
        <v>3186</v>
      </c>
      <c r="C2759">
        <v>85</v>
      </c>
      <c r="D2759">
        <v>3.05280156214448</v>
      </c>
      <c r="E2759">
        <v>259.48813278227999</v>
      </c>
      <c r="F2759">
        <v>0.89721981866746903</v>
      </c>
      <c r="G2759">
        <v>0.89627929724239097</v>
      </c>
      <c r="H2759" t="str">
        <f t="shared" si="43"/>
        <v>Q4</v>
      </c>
    </row>
    <row r="2760" spans="1:8">
      <c r="A2760">
        <v>796248</v>
      </c>
      <c r="B2760" t="s">
        <v>1703</v>
      </c>
      <c r="C2760">
        <v>109</v>
      </c>
      <c r="D2760">
        <v>2.3795832734589202</v>
      </c>
      <c r="E2760">
        <v>259.37457680702198</v>
      </c>
      <c r="F2760">
        <v>0.91922802001429604</v>
      </c>
      <c r="G2760">
        <v>0.89624167638538799</v>
      </c>
      <c r="H2760" t="str">
        <f t="shared" si="43"/>
        <v>Q4</v>
      </c>
    </row>
    <row r="2761" spans="1:8">
      <c r="A2761">
        <v>804110</v>
      </c>
      <c r="B2761" t="s">
        <v>3201</v>
      </c>
      <c r="C2761">
        <v>41</v>
      </c>
      <c r="D2761">
        <v>6.3251756336085698</v>
      </c>
      <c r="E2761">
        <v>259.332200977951</v>
      </c>
      <c r="F2761">
        <v>0.80787028328505295</v>
      </c>
      <c r="G2761">
        <v>0.896204055528385</v>
      </c>
      <c r="H2761" t="str">
        <f t="shared" si="43"/>
        <v>Q3</v>
      </c>
    </row>
    <row r="2762" spans="1:8">
      <c r="A2762">
        <v>696155</v>
      </c>
      <c r="B2762" t="s">
        <v>2183</v>
      </c>
      <c r="C2762">
        <v>63</v>
      </c>
      <c r="D2762">
        <v>4.1116761176713901</v>
      </c>
      <c r="E2762">
        <v>259.03559541329702</v>
      </c>
      <c r="F2762">
        <v>0.86445205221775001</v>
      </c>
      <c r="G2762">
        <v>0.89616643467138202</v>
      </c>
      <c r="H2762" t="str">
        <f t="shared" si="43"/>
        <v>Q4</v>
      </c>
    </row>
    <row r="2763" spans="1:8">
      <c r="A2763">
        <v>766469</v>
      </c>
      <c r="B2763" t="s">
        <v>526</v>
      </c>
      <c r="C2763">
        <v>72</v>
      </c>
      <c r="D2763">
        <v>3.5976459699061998</v>
      </c>
      <c r="E2763">
        <v>259.03050983324601</v>
      </c>
      <c r="F2763">
        <v>0.87957563673300498</v>
      </c>
      <c r="G2763">
        <v>0.89612881381437903</v>
      </c>
      <c r="H2763" t="str">
        <f t="shared" si="43"/>
        <v>Q4</v>
      </c>
    </row>
    <row r="2764" spans="1:8">
      <c r="A2764">
        <v>803378</v>
      </c>
      <c r="B2764" t="s">
        <v>2225</v>
      </c>
      <c r="C2764">
        <v>183</v>
      </c>
      <c r="D2764">
        <v>1.4121607719549101</v>
      </c>
      <c r="E2764">
        <v>258.42542126774799</v>
      </c>
      <c r="F2764">
        <v>0.95447876302622203</v>
      </c>
      <c r="G2764">
        <v>0.89609119295737605</v>
      </c>
      <c r="H2764" t="str">
        <f t="shared" si="43"/>
        <v>Q2</v>
      </c>
    </row>
    <row r="2765" spans="1:8">
      <c r="A2765">
        <v>784698</v>
      </c>
      <c r="B2765" t="s">
        <v>1992</v>
      </c>
      <c r="C2765">
        <v>55</v>
      </c>
      <c r="D2765">
        <v>4.6978737109086701</v>
      </c>
      <c r="E2765">
        <v>258.38305409997702</v>
      </c>
      <c r="F2765">
        <v>0.84763552913735396</v>
      </c>
      <c r="G2765">
        <v>0.89605357210037195</v>
      </c>
      <c r="H2765" t="str">
        <f t="shared" si="43"/>
        <v>Q4</v>
      </c>
    </row>
    <row r="2766" spans="1:8">
      <c r="A2766">
        <v>682267</v>
      </c>
      <c r="B2766" t="s">
        <v>4629</v>
      </c>
      <c r="C2766">
        <v>55</v>
      </c>
      <c r="D2766">
        <v>4.6956549212336496</v>
      </c>
      <c r="E2766">
        <v>258.26102066785103</v>
      </c>
      <c r="F2766">
        <v>0.84763552913735396</v>
      </c>
      <c r="G2766">
        <v>0.89601595124336897</v>
      </c>
      <c r="H2766" t="str">
        <f t="shared" si="43"/>
        <v>Q4</v>
      </c>
    </row>
    <row r="2767" spans="1:8">
      <c r="A2767">
        <v>787307</v>
      </c>
      <c r="B2767" t="s">
        <v>216</v>
      </c>
      <c r="C2767">
        <v>69</v>
      </c>
      <c r="D2767">
        <v>3.7418570504456299</v>
      </c>
      <c r="E2767">
        <v>258.18813648074899</v>
      </c>
      <c r="F2767">
        <v>0.87393250818253598</v>
      </c>
      <c r="G2767">
        <v>0.89597833038636598</v>
      </c>
      <c r="H2767" t="str">
        <f t="shared" si="43"/>
        <v>Q4</v>
      </c>
    </row>
    <row r="2768" spans="1:8">
      <c r="A2768">
        <v>735843</v>
      </c>
      <c r="B2768" t="s">
        <v>2041</v>
      </c>
      <c r="C2768">
        <v>117</v>
      </c>
      <c r="D2768">
        <v>2.2061132849791099</v>
      </c>
      <c r="E2768">
        <v>258.115254342556</v>
      </c>
      <c r="F2768">
        <v>0.925247357134796</v>
      </c>
      <c r="G2768">
        <v>0.895940709529363</v>
      </c>
      <c r="H2768" t="str">
        <f t="shared" si="43"/>
        <v>Q4</v>
      </c>
    </row>
    <row r="2769" spans="1:8">
      <c r="A2769">
        <v>725324</v>
      </c>
      <c r="B2769" t="s">
        <v>1883</v>
      </c>
      <c r="C2769">
        <v>38</v>
      </c>
      <c r="D2769">
        <v>6.79183768990793</v>
      </c>
      <c r="E2769">
        <v>258.08983221650101</v>
      </c>
      <c r="F2769">
        <v>0.79696023475414801</v>
      </c>
      <c r="G2769">
        <v>0.89590308867236002</v>
      </c>
      <c r="H2769" t="str">
        <f t="shared" si="43"/>
        <v>Q3</v>
      </c>
    </row>
    <row r="2770" spans="1:8">
      <c r="A2770">
        <v>701738</v>
      </c>
      <c r="B2770" t="s">
        <v>1620</v>
      </c>
      <c r="C2770">
        <v>106</v>
      </c>
      <c r="D2770">
        <v>2.4339462806171999</v>
      </c>
      <c r="E2770">
        <v>257.99830574542301</v>
      </c>
      <c r="F2770">
        <v>0.91730935630713695</v>
      </c>
      <c r="G2770">
        <v>0.89586546781535703</v>
      </c>
      <c r="H2770" t="str">
        <f t="shared" si="43"/>
        <v>Q4</v>
      </c>
    </row>
    <row r="2771" spans="1:8">
      <c r="A2771">
        <v>803949</v>
      </c>
      <c r="B2771" t="s">
        <v>3204</v>
      </c>
      <c r="C2771">
        <v>121</v>
      </c>
      <c r="D2771">
        <v>2.1271186476681101</v>
      </c>
      <c r="E2771">
        <v>257.38135636784102</v>
      </c>
      <c r="F2771">
        <v>0.92788081712501402</v>
      </c>
      <c r="G2771">
        <v>0.89582784695835405</v>
      </c>
      <c r="H2771" t="str">
        <f t="shared" si="43"/>
        <v>Q4</v>
      </c>
    </row>
    <row r="2772" spans="1:8">
      <c r="A2772">
        <v>698260</v>
      </c>
      <c r="B2772" t="s">
        <v>5053</v>
      </c>
      <c r="C2772">
        <v>167</v>
      </c>
      <c r="D2772">
        <v>1.53957164740402</v>
      </c>
      <c r="E2772">
        <v>257.108465116471</v>
      </c>
      <c r="F2772">
        <v>0.94898611790376597</v>
      </c>
      <c r="G2772">
        <v>0.89579022610135095</v>
      </c>
      <c r="H2772" t="str">
        <f t="shared" si="43"/>
        <v>Q4</v>
      </c>
    </row>
    <row r="2773" spans="1:8">
      <c r="A2773">
        <v>662553</v>
      </c>
      <c r="B2773" t="s">
        <v>4691</v>
      </c>
      <c r="C2773">
        <v>69</v>
      </c>
      <c r="D2773">
        <v>3.7259887364031599</v>
      </c>
      <c r="E2773">
        <v>257.09322281181801</v>
      </c>
      <c r="F2773">
        <v>0.87393250818253598</v>
      </c>
      <c r="G2773">
        <v>0.89575260524434797</v>
      </c>
      <c r="H2773" t="str">
        <f t="shared" si="43"/>
        <v>Q4</v>
      </c>
    </row>
    <row r="2774" spans="1:8">
      <c r="A2774">
        <v>769748</v>
      </c>
      <c r="B2774" t="s">
        <v>2072</v>
      </c>
      <c r="C2774">
        <v>55</v>
      </c>
      <c r="D2774">
        <v>4.6721418269655901</v>
      </c>
      <c r="E2774">
        <v>256.96780048310802</v>
      </c>
      <c r="F2774">
        <v>0.84763552913735396</v>
      </c>
      <c r="G2774">
        <v>0.89571498438734398</v>
      </c>
      <c r="H2774" t="str">
        <f t="shared" si="43"/>
        <v>Q4</v>
      </c>
    </row>
    <row r="2775" spans="1:8">
      <c r="A2775">
        <v>734113</v>
      </c>
      <c r="B2775" t="s">
        <v>442</v>
      </c>
      <c r="C2775">
        <v>33</v>
      </c>
      <c r="D2775">
        <v>7.78659479410359</v>
      </c>
      <c r="E2775">
        <v>256.95762820541898</v>
      </c>
      <c r="F2775">
        <v>0.77551634626236798</v>
      </c>
      <c r="G2775">
        <v>0.895677363530341</v>
      </c>
      <c r="H2775" t="str">
        <f t="shared" si="43"/>
        <v>Q3</v>
      </c>
    </row>
    <row r="2776" spans="1:8">
      <c r="A2776">
        <v>790564</v>
      </c>
      <c r="B2776" t="s">
        <v>1522</v>
      </c>
      <c r="C2776">
        <v>63</v>
      </c>
      <c r="D2776">
        <v>4.0773204394749198</v>
      </c>
      <c r="E2776">
        <v>256.87118768692</v>
      </c>
      <c r="F2776">
        <v>0.86445205221775001</v>
      </c>
      <c r="G2776">
        <v>0.89563974267333801</v>
      </c>
      <c r="H2776" t="str">
        <f t="shared" si="43"/>
        <v>Q4</v>
      </c>
    </row>
    <row r="2777" spans="1:8">
      <c r="A2777">
        <v>748420</v>
      </c>
      <c r="B2777" t="s">
        <v>642</v>
      </c>
      <c r="C2777">
        <v>62</v>
      </c>
      <c r="D2777">
        <v>4.1429743771591498</v>
      </c>
      <c r="E2777">
        <v>256.86441138386698</v>
      </c>
      <c r="F2777">
        <v>0.86238290508257798</v>
      </c>
      <c r="G2777">
        <v>0.89560212181633503</v>
      </c>
      <c r="H2777" t="str">
        <f t="shared" si="43"/>
        <v>Q4</v>
      </c>
    </row>
    <row r="2778" spans="1:8">
      <c r="A2778">
        <v>716552</v>
      </c>
      <c r="B2778" t="s">
        <v>1544</v>
      </c>
      <c r="C2778">
        <v>54</v>
      </c>
      <c r="D2778">
        <v>4.7546140056241404</v>
      </c>
      <c r="E2778">
        <v>256.74915630370401</v>
      </c>
      <c r="F2778">
        <v>0.84515255257514799</v>
      </c>
      <c r="G2778">
        <v>0.89556450095933204</v>
      </c>
      <c r="H2778" t="str">
        <f t="shared" si="43"/>
        <v>Q4</v>
      </c>
    </row>
    <row r="2779" spans="1:8">
      <c r="A2779">
        <v>749663</v>
      </c>
      <c r="B2779" t="s">
        <v>821</v>
      </c>
      <c r="C2779">
        <v>24</v>
      </c>
      <c r="D2779">
        <v>10.6929376566162</v>
      </c>
      <c r="E2779">
        <v>256.630503758788</v>
      </c>
      <c r="F2779">
        <v>0.72284714645799597</v>
      </c>
      <c r="G2779">
        <v>0.89552688010232895</v>
      </c>
      <c r="H2779" t="str">
        <f t="shared" si="43"/>
        <v>Q3</v>
      </c>
    </row>
    <row r="2780" spans="1:8">
      <c r="A2780">
        <v>697315</v>
      </c>
      <c r="B2780" t="s">
        <v>1477</v>
      </c>
      <c r="C2780">
        <v>85</v>
      </c>
      <c r="D2780">
        <v>3.0190228889970201</v>
      </c>
      <c r="E2780">
        <v>256.61694556474703</v>
      </c>
      <c r="F2780">
        <v>0.89721981866746903</v>
      </c>
      <c r="G2780">
        <v>0.89548925924532596</v>
      </c>
      <c r="H2780" t="str">
        <f t="shared" si="43"/>
        <v>Q4</v>
      </c>
    </row>
    <row r="2781" spans="1:8">
      <c r="A2781">
        <v>564311</v>
      </c>
      <c r="B2781" t="s">
        <v>1016</v>
      </c>
      <c r="C2781">
        <v>106</v>
      </c>
      <c r="D2781">
        <v>2.4203709625410599</v>
      </c>
      <c r="E2781">
        <v>256.55932202935202</v>
      </c>
      <c r="F2781">
        <v>0.91730935630713695</v>
      </c>
      <c r="G2781">
        <v>0.89545163838832298</v>
      </c>
      <c r="H2781" t="str">
        <f t="shared" si="43"/>
        <v>Q4</v>
      </c>
    </row>
    <row r="2782" spans="1:8">
      <c r="A2782">
        <v>761415</v>
      </c>
      <c r="B2782" t="s">
        <v>473</v>
      </c>
      <c r="C2782">
        <v>111</v>
      </c>
      <c r="D2782">
        <v>2.3109329730138</v>
      </c>
      <c r="E2782">
        <v>256.513560004532</v>
      </c>
      <c r="F2782">
        <v>0.92084571686543004</v>
      </c>
      <c r="G2782">
        <v>0.895414017531319</v>
      </c>
      <c r="H2782" t="str">
        <f t="shared" si="43"/>
        <v>Q4</v>
      </c>
    </row>
    <row r="2783" spans="1:8">
      <c r="A2783">
        <v>640674</v>
      </c>
      <c r="B2783" t="s">
        <v>4404</v>
      </c>
      <c r="C2783">
        <v>59</v>
      </c>
      <c r="D2783">
        <v>4.3467969712564498</v>
      </c>
      <c r="E2783">
        <v>256.46102130413101</v>
      </c>
      <c r="F2783">
        <v>0.85617546367706299</v>
      </c>
      <c r="G2783">
        <v>0.89537639667431601</v>
      </c>
      <c r="H2783" t="str">
        <f t="shared" si="43"/>
        <v>Q4</v>
      </c>
    </row>
    <row r="2784" spans="1:8">
      <c r="A2784">
        <v>707470</v>
      </c>
      <c r="B2784" t="s">
        <v>288</v>
      </c>
      <c r="C2784">
        <v>105</v>
      </c>
      <c r="D2784">
        <v>2.4421953214775902</v>
      </c>
      <c r="E2784">
        <v>256.430508755147</v>
      </c>
      <c r="F2784">
        <v>0.91618073059704297</v>
      </c>
      <c r="G2784">
        <v>0.89533877581731303</v>
      </c>
      <c r="H2784" t="str">
        <f t="shared" si="43"/>
        <v>Q4</v>
      </c>
    </row>
    <row r="2785" spans="1:8">
      <c r="A2785">
        <v>716781</v>
      </c>
      <c r="B2785" t="s">
        <v>1833</v>
      </c>
      <c r="C2785">
        <v>40</v>
      </c>
      <c r="D2785">
        <v>6.4105933113023603</v>
      </c>
      <c r="E2785">
        <v>256.42373245209501</v>
      </c>
      <c r="F2785">
        <v>0.804522027011775</v>
      </c>
      <c r="G2785">
        <v>0.89530115496031004</v>
      </c>
      <c r="H2785" t="str">
        <f t="shared" si="43"/>
        <v>Q3</v>
      </c>
    </row>
    <row r="2786" spans="1:8">
      <c r="A2786">
        <v>693963</v>
      </c>
      <c r="B2786" t="s">
        <v>1783</v>
      </c>
      <c r="C2786">
        <v>176</v>
      </c>
      <c r="D2786">
        <v>1.45693369003394</v>
      </c>
      <c r="E2786">
        <v>256.42032944597298</v>
      </c>
      <c r="F2786">
        <v>0.95199578646401595</v>
      </c>
      <c r="G2786">
        <v>0.89526353410330695</v>
      </c>
      <c r="H2786" t="str">
        <f t="shared" si="43"/>
        <v>Q2</v>
      </c>
    </row>
    <row r="2787" spans="1:8">
      <c r="A2787">
        <v>787481</v>
      </c>
      <c r="B2787" t="s">
        <v>4552</v>
      </c>
      <c r="C2787">
        <v>79</v>
      </c>
      <c r="D2787">
        <v>3.2436815715288798</v>
      </c>
      <c r="E2787">
        <v>256.25084415078197</v>
      </c>
      <c r="F2787">
        <v>0.89022233926488803</v>
      </c>
      <c r="G2787">
        <v>0.89522591324630396</v>
      </c>
      <c r="H2787" t="str">
        <f t="shared" si="43"/>
        <v>Q4</v>
      </c>
    </row>
    <row r="2788" spans="1:8">
      <c r="A2788">
        <v>780414</v>
      </c>
      <c r="B2788" t="s">
        <v>1446</v>
      </c>
      <c r="C2788">
        <v>55</v>
      </c>
      <c r="D2788">
        <v>4.6547304364767896</v>
      </c>
      <c r="E2788">
        <v>256.01017400622402</v>
      </c>
      <c r="F2788">
        <v>0.84763552913735396</v>
      </c>
      <c r="G2788">
        <v>0.89518829238930098</v>
      </c>
      <c r="H2788" t="str">
        <f t="shared" si="43"/>
        <v>Q4</v>
      </c>
    </row>
    <row r="2789" spans="1:8">
      <c r="A2789">
        <v>757671</v>
      </c>
      <c r="B2789" t="s">
        <v>4001</v>
      </c>
      <c r="C2789">
        <v>125</v>
      </c>
      <c r="D2789">
        <v>2.0480406787246501</v>
      </c>
      <c r="E2789">
        <v>256.00508484058099</v>
      </c>
      <c r="F2789">
        <v>0.93028855197321403</v>
      </c>
      <c r="G2789">
        <v>0.89515067153229799</v>
      </c>
      <c r="H2789" t="str">
        <f t="shared" si="43"/>
        <v>Q4</v>
      </c>
    </row>
    <row r="2790" spans="1:8">
      <c r="A2790">
        <v>789225</v>
      </c>
      <c r="B2790" t="s">
        <v>2202</v>
      </c>
      <c r="C2790">
        <v>39</v>
      </c>
      <c r="D2790">
        <v>6.5621468596733497</v>
      </c>
      <c r="E2790">
        <v>255.92372752726101</v>
      </c>
      <c r="F2790">
        <v>0.80087280388247195</v>
      </c>
      <c r="G2790">
        <v>0.89511305067529401</v>
      </c>
      <c r="H2790" t="str">
        <f t="shared" si="43"/>
        <v>Q3</v>
      </c>
    </row>
    <row r="2791" spans="1:8">
      <c r="A2791">
        <v>764618</v>
      </c>
      <c r="B2791" t="s">
        <v>5172</v>
      </c>
      <c r="C2791">
        <v>68</v>
      </c>
      <c r="D2791">
        <v>3.7633848445051701</v>
      </c>
      <c r="E2791">
        <v>255.91016942635201</v>
      </c>
      <c r="F2791">
        <v>0.87223956961739602</v>
      </c>
      <c r="G2791">
        <v>0.89507542981829102</v>
      </c>
      <c r="H2791" t="str">
        <f t="shared" si="43"/>
        <v>Q4</v>
      </c>
    </row>
    <row r="2792" spans="1:8">
      <c r="A2792">
        <v>717773</v>
      </c>
      <c r="B2792" t="s">
        <v>501</v>
      </c>
      <c r="C2792">
        <v>197</v>
      </c>
      <c r="D2792">
        <v>1.2975221407613899</v>
      </c>
      <c r="E2792">
        <v>255.61186172999399</v>
      </c>
      <c r="F2792">
        <v>0.95824084872653403</v>
      </c>
      <c r="G2792">
        <v>0.89503780896128804</v>
      </c>
      <c r="H2792" t="str">
        <f t="shared" si="43"/>
        <v>Q2</v>
      </c>
    </row>
    <row r="2793" spans="1:8">
      <c r="A2793">
        <v>739476</v>
      </c>
      <c r="B2793" t="s">
        <v>4964</v>
      </c>
      <c r="C2793">
        <v>56</v>
      </c>
      <c r="D2793">
        <v>4.5631356703649697</v>
      </c>
      <c r="E2793">
        <v>255.535597540438</v>
      </c>
      <c r="F2793">
        <v>0.85004326398555397</v>
      </c>
      <c r="G2793">
        <v>0.89500018810428505</v>
      </c>
      <c r="H2793" t="str">
        <f t="shared" si="43"/>
        <v>Q4</v>
      </c>
    </row>
    <row r="2794" spans="1:8">
      <c r="A2794">
        <v>768932</v>
      </c>
      <c r="B2794" t="s">
        <v>311</v>
      </c>
      <c r="C2794">
        <v>26</v>
      </c>
      <c r="D2794">
        <v>9.8280313353125894</v>
      </c>
      <c r="E2794">
        <v>255.52881471812699</v>
      </c>
      <c r="F2794">
        <v>0.73706783040517698</v>
      </c>
      <c r="G2794">
        <v>0.89496256724728196</v>
      </c>
      <c r="H2794" t="str">
        <f t="shared" si="43"/>
        <v>Q3</v>
      </c>
    </row>
    <row r="2795" spans="1:8">
      <c r="A2795">
        <v>723677</v>
      </c>
      <c r="B2795" t="s">
        <v>5031</v>
      </c>
      <c r="C2795">
        <v>83</v>
      </c>
      <c r="D2795">
        <v>3.0774963957942001</v>
      </c>
      <c r="E2795">
        <v>255.432200850919</v>
      </c>
      <c r="F2795">
        <v>0.89530115496031004</v>
      </c>
      <c r="G2795">
        <v>0.89492494639027897</v>
      </c>
      <c r="H2795" t="str">
        <f t="shared" si="43"/>
        <v>Q4</v>
      </c>
    </row>
    <row r="2796" spans="1:8">
      <c r="A2796">
        <v>743803</v>
      </c>
      <c r="B2796" t="s">
        <v>702</v>
      </c>
      <c r="C2796">
        <v>36</v>
      </c>
      <c r="D2796">
        <v>7.0859699199596999</v>
      </c>
      <c r="E2796">
        <v>255.09491711854901</v>
      </c>
      <c r="F2796">
        <v>0.78890937135547901</v>
      </c>
      <c r="G2796">
        <v>0.89488732553327599</v>
      </c>
      <c r="H2796" t="str">
        <f t="shared" si="43"/>
        <v>Q3</v>
      </c>
    </row>
    <row r="2797" spans="1:8">
      <c r="A2797">
        <v>776772</v>
      </c>
      <c r="B2797" t="s">
        <v>1223</v>
      </c>
      <c r="C2797">
        <v>17</v>
      </c>
      <c r="D2797">
        <v>15.0038884404828</v>
      </c>
      <c r="E2797">
        <v>255.06610348820701</v>
      </c>
      <c r="F2797">
        <v>0.65926789812271902</v>
      </c>
      <c r="G2797">
        <v>0.89484970467627301</v>
      </c>
      <c r="H2797" t="str">
        <f t="shared" si="43"/>
        <v>Q3</v>
      </c>
    </row>
    <row r="2798" spans="1:8">
      <c r="A2798">
        <v>643588</v>
      </c>
      <c r="B2798" t="s">
        <v>3859</v>
      </c>
      <c r="C2798">
        <v>85</v>
      </c>
      <c r="D2798">
        <v>2.9996609676848398</v>
      </c>
      <c r="E2798">
        <v>254.97118225321199</v>
      </c>
      <c r="F2798">
        <v>0.89721981866746903</v>
      </c>
      <c r="G2798">
        <v>0.89481208381926902</v>
      </c>
      <c r="H2798" t="str">
        <f t="shared" si="43"/>
        <v>Q4</v>
      </c>
    </row>
    <row r="2799" spans="1:8">
      <c r="A2799">
        <v>727615</v>
      </c>
      <c r="B2799" t="s">
        <v>4944</v>
      </c>
      <c r="C2799">
        <v>67</v>
      </c>
      <c r="D2799">
        <v>3.8052112308900701</v>
      </c>
      <c r="E2799">
        <v>254.94915246963501</v>
      </c>
      <c r="F2799">
        <v>0.87118618562130801</v>
      </c>
      <c r="G2799">
        <v>0.89477446296226604</v>
      </c>
      <c r="H2799" t="str">
        <f t="shared" si="43"/>
        <v>Q4</v>
      </c>
    </row>
    <row r="2800" spans="1:8">
      <c r="A2800">
        <v>808732</v>
      </c>
      <c r="B2800" t="s">
        <v>3586</v>
      </c>
      <c r="C2800">
        <v>52</v>
      </c>
      <c r="D2800">
        <v>4.9025750289169601</v>
      </c>
      <c r="E2800">
        <v>254.93390150368199</v>
      </c>
      <c r="F2800">
        <v>0.84003611602272299</v>
      </c>
      <c r="G2800">
        <v>0.89473684210526305</v>
      </c>
      <c r="H2800" t="str">
        <f t="shared" si="43"/>
        <v>Q3</v>
      </c>
    </row>
    <row r="2801" spans="1:8">
      <c r="A2801">
        <v>754370</v>
      </c>
      <c r="B2801" t="s">
        <v>4407</v>
      </c>
      <c r="C2801">
        <v>83</v>
      </c>
      <c r="D2801">
        <v>3.0714722731745399</v>
      </c>
      <c r="E2801">
        <v>254.93219867348699</v>
      </c>
      <c r="F2801">
        <v>0.89530115496031004</v>
      </c>
      <c r="G2801">
        <v>0.89469922124825996</v>
      </c>
      <c r="H2801" t="str">
        <f t="shared" si="43"/>
        <v>Q4</v>
      </c>
    </row>
    <row r="2802" spans="1:8">
      <c r="A2802">
        <v>801589</v>
      </c>
      <c r="B2802" t="s">
        <v>734</v>
      </c>
      <c r="C2802">
        <v>63</v>
      </c>
      <c r="D2802">
        <v>4.0452515588156803</v>
      </c>
      <c r="E2802">
        <v>254.85084820538799</v>
      </c>
      <c r="F2802">
        <v>0.86445205221775001</v>
      </c>
      <c r="G2802">
        <v>0.89466160039125697</v>
      </c>
      <c r="H2802" t="str">
        <f t="shared" si="43"/>
        <v>Q4</v>
      </c>
    </row>
    <row r="2803" spans="1:8">
      <c r="A2803">
        <v>712594</v>
      </c>
      <c r="B2803" t="s">
        <v>502</v>
      </c>
      <c r="C2803">
        <v>81</v>
      </c>
      <c r="D2803">
        <v>3.1449256700544099</v>
      </c>
      <c r="E2803">
        <v>254.738979274407</v>
      </c>
      <c r="F2803">
        <v>0.89293104096911302</v>
      </c>
      <c r="G2803">
        <v>0.89462397953425399</v>
      </c>
      <c r="H2803" t="str">
        <f t="shared" si="43"/>
        <v>Q4</v>
      </c>
    </row>
    <row r="2804" spans="1:8">
      <c r="A2804">
        <v>783388</v>
      </c>
      <c r="B2804" t="s">
        <v>3751</v>
      </c>
      <c r="C2804">
        <v>124</v>
      </c>
      <c r="D2804">
        <v>2.0531300275075801</v>
      </c>
      <c r="E2804">
        <v>254.58812341094</v>
      </c>
      <c r="F2804">
        <v>0.92957375569015499</v>
      </c>
      <c r="G2804">
        <v>0.894586358677251</v>
      </c>
      <c r="H2804" t="str">
        <f t="shared" si="43"/>
        <v>Q4</v>
      </c>
    </row>
    <row r="2805" spans="1:8">
      <c r="A2805">
        <v>653188</v>
      </c>
      <c r="B2805" t="s">
        <v>4412</v>
      </c>
      <c r="C2805">
        <v>251</v>
      </c>
      <c r="D2805">
        <v>1.0134242856745199</v>
      </c>
      <c r="E2805">
        <v>254.369495704304</v>
      </c>
      <c r="F2805">
        <v>0.96918851811444295</v>
      </c>
      <c r="G2805">
        <v>0.89454873782024802</v>
      </c>
      <c r="H2805" t="str">
        <f t="shared" si="43"/>
        <v>Q2</v>
      </c>
    </row>
    <row r="2806" spans="1:8">
      <c r="A2806">
        <v>470636</v>
      </c>
      <c r="B2806" t="s">
        <v>2214</v>
      </c>
      <c r="C2806">
        <v>137</v>
      </c>
      <c r="D2806">
        <v>1.8566497435018301</v>
      </c>
      <c r="E2806">
        <v>254.36101485975101</v>
      </c>
      <c r="F2806">
        <v>0.93687220194875998</v>
      </c>
      <c r="G2806">
        <v>0.89451111696324404</v>
      </c>
      <c r="H2806" t="str">
        <f t="shared" si="43"/>
        <v>Q4</v>
      </c>
    </row>
    <row r="2807" spans="1:8">
      <c r="A2807">
        <v>677561</v>
      </c>
      <c r="B2807" t="s">
        <v>2853</v>
      </c>
      <c r="C2807">
        <v>78</v>
      </c>
      <c r="D2807">
        <v>3.2594740653458301</v>
      </c>
      <c r="E2807">
        <v>254.23897709697499</v>
      </c>
      <c r="F2807">
        <v>0.88867988412776</v>
      </c>
      <c r="G2807">
        <v>0.89447349610624105</v>
      </c>
      <c r="H2807" t="str">
        <f t="shared" si="43"/>
        <v>Q4</v>
      </c>
    </row>
    <row r="2808" spans="1:8">
      <c r="A2808">
        <v>633813</v>
      </c>
      <c r="B2808" t="s">
        <v>1615</v>
      </c>
      <c r="C2808">
        <v>152</v>
      </c>
      <c r="D2808">
        <v>1.6719111797436601</v>
      </c>
      <c r="E2808">
        <v>254.13049932103601</v>
      </c>
      <c r="F2808">
        <v>0.94371919792332903</v>
      </c>
      <c r="G2808">
        <v>0.89443587524923795</v>
      </c>
      <c r="H2808" t="str">
        <f t="shared" si="43"/>
        <v>Q4</v>
      </c>
    </row>
    <row r="2809" spans="1:8">
      <c r="A2809">
        <v>730391</v>
      </c>
      <c r="B2809" t="s">
        <v>838</v>
      </c>
      <c r="C2809">
        <v>51</v>
      </c>
      <c r="D2809">
        <v>4.9816883662167699</v>
      </c>
      <c r="E2809">
        <v>254.06610667705499</v>
      </c>
      <c r="F2809">
        <v>0.83762838117452298</v>
      </c>
      <c r="G2809">
        <v>0.89439825439223497</v>
      </c>
      <c r="H2809" t="str">
        <f t="shared" si="43"/>
        <v>Q3</v>
      </c>
    </row>
    <row r="2810" spans="1:8">
      <c r="A2810">
        <v>727797</v>
      </c>
      <c r="B2810" t="s">
        <v>3249</v>
      </c>
      <c r="C2810">
        <v>51</v>
      </c>
      <c r="D2810">
        <v>4.9810569075977096</v>
      </c>
      <c r="E2810">
        <v>254.03390228748299</v>
      </c>
      <c r="F2810">
        <v>0.83762838117452298</v>
      </c>
      <c r="G2810">
        <v>0.89436063353523199</v>
      </c>
      <c r="H2810" t="str">
        <f t="shared" si="43"/>
        <v>Q3</v>
      </c>
    </row>
    <row r="2811" spans="1:8">
      <c r="A2811">
        <v>589556</v>
      </c>
      <c r="B2811" t="s">
        <v>4391</v>
      </c>
      <c r="C2811">
        <v>138</v>
      </c>
      <c r="D2811">
        <v>1.83953570903859</v>
      </c>
      <c r="E2811">
        <v>253.855927847326</v>
      </c>
      <c r="F2811">
        <v>0.93747413566080995</v>
      </c>
      <c r="G2811">
        <v>0.894323012678229</v>
      </c>
      <c r="H2811" t="str">
        <f t="shared" si="43"/>
        <v>Q4</v>
      </c>
    </row>
    <row r="2812" spans="1:8">
      <c r="A2812">
        <v>640251</v>
      </c>
      <c r="B2812" t="s">
        <v>1961</v>
      </c>
      <c r="C2812">
        <v>187</v>
      </c>
      <c r="D2812">
        <v>1.35712856750557</v>
      </c>
      <c r="E2812">
        <v>253.78304212354101</v>
      </c>
      <c r="F2812">
        <v>0.95553214702230904</v>
      </c>
      <c r="G2812">
        <v>0.89428539182122602</v>
      </c>
      <c r="H2812" t="str">
        <f t="shared" si="43"/>
        <v>Q2</v>
      </c>
    </row>
    <row r="2813" spans="1:8">
      <c r="A2813">
        <v>767422</v>
      </c>
      <c r="B2813" t="s">
        <v>3414</v>
      </c>
      <c r="C2813">
        <v>70</v>
      </c>
      <c r="D2813">
        <v>3.6186683098120298</v>
      </c>
      <c r="E2813">
        <v>253.30678168684199</v>
      </c>
      <c r="F2813">
        <v>0.87555020503367098</v>
      </c>
      <c r="G2813">
        <v>0.89424777096422303</v>
      </c>
      <c r="H2813" t="str">
        <f t="shared" si="43"/>
        <v>Q4</v>
      </c>
    </row>
    <row r="2814" spans="1:8">
      <c r="A2814">
        <v>797608</v>
      </c>
      <c r="B2814" t="s">
        <v>4301</v>
      </c>
      <c r="C2814">
        <v>27</v>
      </c>
      <c r="D2814">
        <v>9.3768991116020395</v>
      </c>
      <c r="E2814">
        <v>253.17627601325501</v>
      </c>
      <c r="F2814">
        <v>0.74312478838267904</v>
      </c>
      <c r="G2814">
        <v>0.89421015010721905</v>
      </c>
      <c r="H2814" t="str">
        <f t="shared" si="43"/>
        <v>Q3</v>
      </c>
    </row>
    <row r="2815" spans="1:8">
      <c r="A2815">
        <v>451744</v>
      </c>
      <c r="B2815" t="s">
        <v>2367</v>
      </c>
      <c r="C2815">
        <v>111</v>
      </c>
      <c r="D2815">
        <v>2.27782867580384</v>
      </c>
      <c r="E2815">
        <v>252.83898301422599</v>
      </c>
      <c r="F2815">
        <v>0.92084571686543004</v>
      </c>
      <c r="G2815">
        <v>0.89417252925021595</v>
      </c>
      <c r="H2815" t="str">
        <f t="shared" si="43"/>
        <v>Q4</v>
      </c>
    </row>
    <row r="2816" spans="1:8">
      <c r="A2816">
        <v>714718</v>
      </c>
      <c r="B2816" t="s">
        <v>3619</v>
      </c>
      <c r="C2816">
        <v>103</v>
      </c>
      <c r="D2816">
        <v>2.4530688892977599</v>
      </c>
      <c r="E2816">
        <v>252.666095597669</v>
      </c>
      <c r="F2816">
        <v>0.91433730860388995</v>
      </c>
      <c r="G2816">
        <v>0.89413490839321297</v>
      </c>
      <c r="H2816" t="str">
        <f t="shared" si="43"/>
        <v>Q4</v>
      </c>
    </row>
    <row r="2817" spans="1:8">
      <c r="A2817">
        <v>734112</v>
      </c>
      <c r="B2817" t="s">
        <v>4647</v>
      </c>
      <c r="C2817">
        <v>53</v>
      </c>
      <c r="D2817">
        <v>4.7629038135538702</v>
      </c>
      <c r="E2817">
        <v>252.43390211835501</v>
      </c>
      <c r="F2817">
        <v>0.84218050487190099</v>
      </c>
      <c r="G2817">
        <v>0.89409728753620998</v>
      </c>
      <c r="H2817" t="str">
        <f t="shared" si="43"/>
        <v>Q4</v>
      </c>
    </row>
    <row r="2818" spans="1:8">
      <c r="A2818">
        <v>738093</v>
      </c>
      <c r="B2818" t="s">
        <v>300</v>
      </c>
      <c r="C2818">
        <v>79</v>
      </c>
      <c r="D2818">
        <v>3.1944431883247599</v>
      </c>
      <c r="E2818">
        <v>252.36101187765601</v>
      </c>
      <c r="F2818">
        <v>0.89022233926488803</v>
      </c>
      <c r="G2818">
        <v>0.894059666679207</v>
      </c>
      <c r="H2818" t="str">
        <f t="shared" si="43"/>
        <v>Q4</v>
      </c>
    </row>
    <row r="2819" spans="1:8">
      <c r="A2819">
        <v>723456</v>
      </c>
      <c r="B2819" t="s">
        <v>2468</v>
      </c>
      <c r="C2819">
        <v>63</v>
      </c>
      <c r="D2819">
        <v>4.0052461689190304</v>
      </c>
      <c r="E2819">
        <v>252.330508641899</v>
      </c>
      <c r="F2819">
        <v>0.86445205221775001</v>
      </c>
      <c r="G2819">
        <v>0.89402204582220401</v>
      </c>
      <c r="H2819" t="str">
        <f t="shared" ref="H2819:H2882" si="44">IF(C2819&gt;$J$2,
   IF(D2819&gt;$J$3,"Q1","Q2"),
   IF(D2819&gt;$J$3,"Q3","Q4"))</f>
        <v>Q4</v>
      </c>
    </row>
    <row r="2820" spans="1:8">
      <c r="A2820">
        <v>470985</v>
      </c>
      <c r="B2820" t="s">
        <v>5041</v>
      </c>
      <c r="C2820">
        <v>170</v>
      </c>
      <c r="D2820">
        <v>1.4838484091246</v>
      </c>
      <c r="E2820">
        <v>252.254229551181</v>
      </c>
      <c r="F2820">
        <v>0.95018998532786603</v>
      </c>
      <c r="G2820">
        <v>0.89398442496520103</v>
      </c>
      <c r="H2820" t="str">
        <f t="shared" si="44"/>
        <v>Q2</v>
      </c>
    </row>
    <row r="2821" spans="1:8">
      <c r="A2821">
        <v>735439</v>
      </c>
      <c r="B2821" t="s">
        <v>4017</v>
      </c>
      <c r="C2821">
        <v>64</v>
      </c>
      <c r="D2821">
        <v>3.9401747882948301</v>
      </c>
      <c r="E2821">
        <v>252.17118645086899</v>
      </c>
      <c r="F2821">
        <v>0.86633309506790601</v>
      </c>
      <c r="G2821">
        <v>0.89394680410819805</v>
      </c>
      <c r="H2821" t="str">
        <f t="shared" si="44"/>
        <v>Q4</v>
      </c>
    </row>
    <row r="2822" spans="1:8">
      <c r="A2822">
        <v>644797</v>
      </c>
      <c r="B2822" t="s">
        <v>4849</v>
      </c>
      <c r="C2822">
        <v>31</v>
      </c>
      <c r="D2822">
        <v>8.1334610860193894</v>
      </c>
      <c r="E2822">
        <v>252.13729366660101</v>
      </c>
      <c r="F2822">
        <v>0.766073511154584</v>
      </c>
      <c r="G2822">
        <v>0.89390918325119495</v>
      </c>
      <c r="H2822" t="str">
        <f t="shared" si="44"/>
        <v>Q3</v>
      </c>
    </row>
    <row r="2823" spans="1:8">
      <c r="A2823">
        <v>740938</v>
      </c>
      <c r="B2823" t="s">
        <v>5155</v>
      </c>
      <c r="C2823">
        <v>181</v>
      </c>
      <c r="D2823">
        <v>1.39208727552252</v>
      </c>
      <c r="E2823">
        <v>251.96779686957601</v>
      </c>
      <c r="F2823">
        <v>0.95387682931417195</v>
      </c>
      <c r="G2823">
        <v>0.89387156239419097</v>
      </c>
      <c r="H2823" t="str">
        <f t="shared" si="44"/>
        <v>Q2</v>
      </c>
    </row>
    <row r="2824" spans="1:8">
      <c r="A2824">
        <v>634744</v>
      </c>
      <c r="B2824" t="s">
        <v>3141</v>
      </c>
      <c r="C2824">
        <v>33</v>
      </c>
      <c r="D2824">
        <v>7.6280945516897001</v>
      </c>
      <c r="E2824">
        <v>251.72712020576</v>
      </c>
      <c r="F2824">
        <v>0.77551634626236798</v>
      </c>
      <c r="G2824">
        <v>0.89383394153718798</v>
      </c>
      <c r="H2824" t="str">
        <f t="shared" si="44"/>
        <v>Q3</v>
      </c>
    </row>
    <row r="2825" spans="1:8">
      <c r="A2825">
        <v>723413</v>
      </c>
      <c r="B2825" t="s">
        <v>4355</v>
      </c>
      <c r="C2825">
        <v>57</v>
      </c>
      <c r="D2825">
        <v>4.4127862802461602</v>
      </c>
      <c r="E2825">
        <v>251.528817974031</v>
      </c>
      <c r="F2825">
        <v>0.851849065121703</v>
      </c>
      <c r="G2825">
        <v>0.893796320680185</v>
      </c>
      <c r="H2825" t="str">
        <f t="shared" si="44"/>
        <v>Q4</v>
      </c>
    </row>
    <row r="2826" spans="1:8">
      <c r="A2826">
        <v>189616</v>
      </c>
      <c r="B2826" t="s">
        <v>4913</v>
      </c>
      <c r="C2826">
        <v>160</v>
      </c>
      <c r="D2826">
        <v>1.57115460140631</v>
      </c>
      <c r="E2826">
        <v>251.38473622500899</v>
      </c>
      <c r="F2826">
        <v>0.94646552048455701</v>
      </c>
      <c r="G2826">
        <v>0.89375869982318201</v>
      </c>
      <c r="H2826" t="str">
        <f t="shared" si="44"/>
        <v>Q4</v>
      </c>
    </row>
    <row r="2827" spans="1:8">
      <c r="A2827">
        <v>688728</v>
      </c>
      <c r="B2827" t="s">
        <v>2181</v>
      </c>
      <c r="C2827">
        <v>104</v>
      </c>
      <c r="D2827">
        <v>2.4156779731408902</v>
      </c>
      <c r="E2827">
        <v>251.23050920665301</v>
      </c>
      <c r="F2827">
        <v>0.91524020917196502</v>
      </c>
      <c r="G2827">
        <v>0.89372107896617903</v>
      </c>
      <c r="H2827" t="str">
        <f t="shared" si="44"/>
        <v>Q4</v>
      </c>
    </row>
    <row r="2828" spans="1:8">
      <c r="A2828">
        <v>786245</v>
      </c>
      <c r="B2828" t="s">
        <v>4193</v>
      </c>
      <c r="C2828">
        <v>109</v>
      </c>
      <c r="D2828">
        <v>2.3044472141618599</v>
      </c>
      <c r="E2828">
        <v>251.18474634364199</v>
      </c>
      <c r="F2828">
        <v>0.91922802001429604</v>
      </c>
      <c r="G2828">
        <v>0.89368345810917604</v>
      </c>
      <c r="H2828" t="str">
        <f t="shared" si="44"/>
        <v>Q4</v>
      </c>
    </row>
    <row r="2829" spans="1:8">
      <c r="A2829">
        <v>807824</v>
      </c>
      <c r="B2829" t="s">
        <v>299</v>
      </c>
      <c r="C2829">
        <v>19</v>
      </c>
      <c r="D2829">
        <v>13.219893449231201</v>
      </c>
      <c r="E2829">
        <v>251.17797553539299</v>
      </c>
      <c r="F2829">
        <v>0.68195327489560198</v>
      </c>
      <c r="G2829">
        <v>0.89364583725217295</v>
      </c>
      <c r="H2829" t="str">
        <f t="shared" si="44"/>
        <v>Q3</v>
      </c>
    </row>
    <row r="2830" spans="1:8">
      <c r="A2830">
        <v>735578</v>
      </c>
      <c r="B2830" t="s">
        <v>1888</v>
      </c>
      <c r="C2830">
        <v>26</v>
      </c>
      <c r="D2830">
        <v>9.66043050329273</v>
      </c>
      <c r="E2830">
        <v>251.17119308561101</v>
      </c>
      <c r="F2830">
        <v>0.73706783040517698</v>
      </c>
      <c r="G2830">
        <v>0.89360821639516996</v>
      </c>
      <c r="H2830" t="str">
        <f t="shared" si="44"/>
        <v>Q3</v>
      </c>
    </row>
    <row r="2831" spans="1:8">
      <c r="A2831">
        <v>716550</v>
      </c>
      <c r="B2831" t="s">
        <v>3454</v>
      </c>
      <c r="C2831">
        <v>56</v>
      </c>
      <c r="D2831">
        <v>4.4845642405562103</v>
      </c>
      <c r="E2831">
        <v>251.135597471148</v>
      </c>
      <c r="F2831">
        <v>0.85004326398555397</v>
      </c>
      <c r="G2831">
        <v>0.89357059553816598</v>
      </c>
      <c r="H2831" t="str">
        <f t="shared" si="44"/>
        <v>Q4</v>
      </c>
    </row>
    <row r="2832" spans="1:8">
      <c r="A2832">
        <v>735572</v>
      </c>
      <c r="B2832" t="s">
        <v>4560</v>
      </c>
      <c r="C2832">
        <v>7</v>
      </c>
      <c r="D2832">
        <v>35.873366040842903</v>
      </c>
      <c r="E2832">
        <v>251.1135622859</v>
      </c>
      <c r="F2832">
        <v>0.46627290169670099</v>
      </c>
      <c r="G2832">
        <v>0.89353297468116299</v>
      </c>
      <c r="H2832" t="str">
        <f t="shared" si="44"/>
        <v>Q3</v>
      </c>
    </row>
    <row r="2833" spans="1:8">
      <c r="A2833">
        <v>764621</v>
      </c>
      <c r="B2833" t="s">
        <v>561</v>
      </c>
      <c r="C2833">
        <v>133</v>
      </c>
      <c r="D2833">
        <v>1.8872689424236699</v>
      </c>
      <c r="E2833">
        <v>251.00676934234801</v>
      </c>
      <c r="F2833">
        <v>0.93476543395658596</v>
      </c>
      <c r="G2833">
        <v>0.89349535382416001</v>
      </c>
      <c r="H2833" t="str">
        <f t="shared" si="44"/>
        <v>Q4</v>
      </c>
    </row>
    <row r="2834" spans="1:8">
      <c r="A2834">
        <v>836303</v>
      </c>
      <c r="B2834" t="s">
        <v>4224</v>
      </c>
      <c r="C2834">
        <v>39</v>
      </c>
      <c r="D2834">
        <v>6.4348978014328502</v>
      </c>
      <c r="E2834">
        <v>250.961014255881</v>
      </c>
      <c r="F2834">
        <v>0.80087280388247195</v>
      </c>
      <c r="G2834">
        <v>0.89345773296715703</v>
      </c>
      <c r="H2834" t="str">
        <f t="shared" si="44"/>
        <v>Q3</v>
      </c>
    </row>
    <row r="2835" spans="1:8">
      <c r="A2835">
        <v>719308</v>
      </c>
      <c r="B2835" t="s">
        <v>4202</v>
      </c>
      <c r="C2835">
        <v>50</v>
      </c>
      <c r="D2835">
        <v>5.0186441838741302</v>
      </c>
      <c r="E2835">
        <v>250.932209193707</v>
      </c>
      <c r="F2835">
        <v>0.83559685489635405</v>
      </c>
      <c r="G2835">
        <v>0.89342011211015404</v>
      </c>
      <c r="H2835" t="str">
        <f t="shared" si="44"/>
        <v>Q3</v>
      </c>
    </row>
    <row r="2836" spans="1:8">
      <c r="A2836">
        <v>765308</v>
      </c>
      <c r="B2836" t="s">
        <v>4808</v>
      </c>
      <c r="C2836">
        <v>78</v>
      </c>
      <c r="D2836">
        <v>3.2168404581263998</v>
      </c>
      <c r="E2836">
        <v>250.91355573385999</v>
      </c>
      <c r="F2836">
        <v>0.88867988412776</v>
      </c>
      <c r="G2836">
        <v>0.89338249125315095</v>
      </c>
      <c r="H2836" t="str">
        <f t="shared" si="44"/>
        <v>Q4</v>
      </c>
    </row>
    <row r="2837" spans="1:8">
      <c r="A2837">
        <v>653208</v>
      </c>
      <c r="B2837" t="s">
        <v>1475</v>
      </c>
      <c r="C2837">
        <v>178</v>
      </c>
      <c r="D2837">
        <v>1.4081412520824701</v>
      </c>
      <c r="E2837">
        <v>250.64914287067899</v>
      </c>
      <c r="F2837">
        <v>0.95274820360407797</v>
      </c>
      <c r="G2837">
        <v>0.89334487039614796</v>
      </c>
      <c r="H2837" t="str">
        <f t="shared" si="44"/>
        <v>Q2</v>
      </c>
    </row>
    <row r="2838" spans="1:8">
      <c r="A2838">
        <v>608769</v>
      </c>
      <c r="B2838" t="s">
        <v>762</v>
      </c>
      <c r="C2838">
        <v>39</v>
      </c>
      <c r="D2838">
        <v>6.4229464922577897</v>
      </c>
      <c r="E2838">
        <v>250.49491319805401</v>
      </c>
      <c r="F2838">
        <v>0.80087280388247195</v>
      </c>
      <c r="G2838">
        <v>0.89330724953914498</v>
      </c>
      <c r="H2838" t="str">
        <f t="shared" si="44"/>
        <v>Q3</v>
      </c>
    </row>
    <row r="2839" spans="1:8">
      <c r="A2839">
        <v>632534</v>
      </c>
      <c r="B2839" t="s">
        <v>2131</v>
      </c>
      <c r="C2839">
        <v>153</v>
      </c>
      <c r="D2839">
        <v>1.6368227946919001</v>
      </c>
      <c r="E2839">
        <v>250.43388758786</v>
      </c>
      <c r="F2839">
        <v>0.94405778563635701</v>
      </c>
      <c r="G2839">
        <v>0.89326962868214099</v>
      </c>
      <c r="H2839" t="str">
        <f t="shared" si="44"/>
        <v>Q4</v>
      </c>
    </row>
    <row r="2840" spans="1:8">
      <c r="A2840">
        <v>769829</v>
      </c>
      <c r="B2840" t="s">
        <v>4701</v>
      </c>
      <c r="C2840">
        <v>26</v>
      </c>
      <c r="D2840">
        <v>9.62372892178022</v>
      </c>
      <c r="E2840">
        <v>250.21695196628599</v>
      </c>
      <c r="F2840">
        <v>0.73706783040517698</v>
      </c>
      <c r="G2840">
        <v>0.89323200782513801</v>
      </c>
      <c r="H2840" t="str">
        <f t="shared" si="44"/>
        <v>Q3</v>
      </c>
    </row>
    <row r="2841" spans="1:8">
      <c r="A2841">
        <v>664647</v>
      </c>
      <c r="B2841" t="s">
        <v>743</v>
      </c>
      <c r="C2841">
        <v>80</v>
      </c>
      <c r="D2841">
        <v>3.12552965478972</v>
      </c>
      <c r="E2841">
        <v>250.042372383177</v>
      </c>
      <c r="F2841">
        <v>0.89150144840299494</v>
      </c>
      <c r="G2841">
        <v>0.89319438696813502</v>
      </c>
      <c r="H2841" t="str">
        <f t="shared" si="44"/>
        <v>Q4</v>
      </c>
    </row>
    <row r="2842" spans="1:8">
      <c r="A2842">
        <v>643193</v>
      </c>
      <c r="B2842" t="s">
        <v>2722</v>
      </c>
      <c r="C2842">
        <v>62</v>
      </c>
      <c r="D2842">
        <v>4.03080920298253</v>
      </c>
      <c r="E2842">
        <v>249.91017058491701</v>
      </c>
      <c r="F2842">
        <v>0.86238290508257798</v>
      </c>
      <c r="G2842">
        <v>0.89315676611113204</v>
      </c>
      <c r="H2842" t="str">
        <f t="shared" si="44"/>
        <v>Q4</v>
      </c>
    </row>
    <row r="2843" spans="1:8">
      <c r="A2843">
        <v>727347</v>
      </c>
      <c r="B2843" t="s">
        <v>3279</v>
      </c>
      <c r="C2843">
        <v>55</v>
      </c>
      <c r="D2843">
        <v>4.5434515347535003</v>
      </c>
      <c r="E2843">
        <v>249.889834411442</v>
      </c>
      <c r="F2843">
        <v>0.84763552913735396</v>
      </c>
      <c r="G2843">
        <v>0.89311914525412905</v>
      </c>
      <c r="H2843" t="str">
        <f t="shared" si="44"/>
        <v>Q4</v>
      </c>
    </row>
    <row r="2844" spans="1:8">
      <c r="A2844">
        <v>782073</v>
      </c>
      <c r="B2844" t="s">
        <v>511</v>
      </c>
      <c r="C2844">
        <v>37</v>
      </c>
      <c r="D2844">
        <v>6.7526797386440096</v>
      </c>
      <c r="E2844">
        <v>249.84915032982801</v>
      </c>
      <c r="F2844">
        <v>0.79304766562582296</v>
      </c>
      <c r="G2844">
        <v>0.89308152439712596</v>
      </c>
      <c r="H2844" t="str">
        <f t="shared" si="44"/>
        <v>Q3</v>
      </c>
    </row>
    <row r="2845" spans="1:8">
      <c r="A2845">
        <v>316085</v>
      </c>
      <c r="B2845" t="s">
        <v>3734</v>
      </c>
      <c r="C2845">
        <v>150</v>
      </c>
      <c r="D2845">
        <v>1.6655818596482299</v>
      </c>
      <c r="E2845">
        <v>249.83727894723401</v>
      </c>
      <c r="F2845">
        <v>0.94292915992626303</v>
      </c>
      <c r="G2845">
        <v>0.89304390354012297</v>
      </c>
      <c r="H2845" t="str">
        <f t="shared" si="44"/>
        <v>Q4</v>
      </c>
    </row>
    <row r="2846" spans="1:8">
      <c r="A2846">
        <v>622962</v>
      </c>
      <c r="B2846" t="s">
        <v>585</v>
      </c>
      <c r="C2846">
        <v>71</v>
      </c>
      <c r="D2846">
        <v>3.5175698665036301</v>
      </c>
      <c r="E2846">
        <v>249.747460521758</v>
      </c>
      <c r="F2846">
        <v>0.87799556073887397</v>
      </c>
      <c r="G2846">
        <v>0.89300628268311999</v>
      </c>
      <c r="H2846" t="str">
        <f t="shared" si="44"/>
        <v>Q4</v>
      </c>
    </row>
    <row r="2847" spans="1:8">
      <c r="A2847">
        <v>760970</v>
      </c>
      <c r="B2847" t="s">
        <v>3833</v>
      </c>
      <c r="C2847">
        <v>94</v>
      </c>
      <c r="D2847">
        <v>2.6547781771365999</v>
      </c>
      <c r="E2847">
        <v>249.54914865084001</v>
      </c>
      <c r="F2847">
        <v>0.906700274632256</v>
      </c>
      <c r="G2847">
        <v>0.89296866182611601</v>
      </c>
      <c r="H2847" t="str">
        <f t="shared" si="44"/>
        <v>Q4</v>
      </c>
    </row>
    <row r="2848" spans="1:8">
      <c r="A2848">
        <v>709726</v>
      </c>
      <c r="B2848" t="s">
        <v>3829</v>
      </c>
      <c r="C2848">
        <v>60</v>
      </c>
      <c r="D2848">
        <v>4.1563559866820796</v>
      </c>
      <c r="E2848">
        <v>249.381359200925</v>
      </c>
      <c r="F2848">
        <v>0.85805650652721899</v>
      </c>
      <c r="G2848">
        <v>0.89293104096911302</v>
      </c>
      <c r="H2848" t="str">
        <f t="shared" si="44"/>
        <v>Q4</v>
      </c>
    </row>
    <row r="2849" spans="1:8">
      <c r="A2849">
        <v>719348</v>
      </c>
      <c r="B2849" t="s">
        <v>529</v>
      </c>
      <c r="C2849">
        <v>87</v>
      </c>
      <c r="D2849">
        <v>2.8644457052665202</v>
      </c>
      <c r="E2849">
        <v>249.206776358187</v>
      </c>
      <c r="F2849">
        <v>0.89955231180166295</v>
      </c>
      <c r="G2849">
        <v>0.89289342011211004</v>
      </c>
      <c r="H2849" t="str">
        <f t="shared" si="44"/>
        <v>Q4</v>
      </c>
    </row>
    <row r="2850" spans="1:8">
      <c r="A2850">
        <v>746330</v>
      </c>
      <c r="B2850" t="e" cm="1">
        <f t="array" ref="B2850">+ Miami Wire BRA</f>
        <v>#NAME?</v>
      </c>
      <c r="C2850">
        <v>63</v>
      </c>
      <c r="D2850">
        <v>3.9546139449590698</v>
      </c>
      <c r="E2850">
        <v>249.14067853242199</v>
      </c>
      <c r="F2850">
        <v>0.86445205221775001</v>
      </c>
      <c r="G2850">
        <v>0.89285579925510705</v>
      </c>
      <c r="H2850" t="str">
        <f t="shared" si="44"/>
        <v>Q4</v>
      </c>
    </row>
    <row r="2851" spans="1:8">
      <c r="A2851">
        <v>832075</v>
      </c>
      <c r="B2851" t="s">
        <v>1161</v>
      </c>
      <c r="C2851">
        <v>45</v>
      </c>
      <c r="D2851">
        <v>5.5295669701364298</v>
      </c>
      <c r="E2851">
        <v>248.830513656139</v>
      </c>
      <c r="F2851">
        <v>0.82069899552311798</v>
      </c>
      <c r="G2851">
        <v>0.89281817839810396</v>
      </c>
      <c r="H2851" t="str">
        <f t="shared" si="44"/>
        <v>Q3</v>
      </c>
    </row>
    <row r="2852" spans="1:8">
      <c r="A2852">
        <v>659550</v>
      </c>
      <c r="B2852" t="s">
        <v>2693</v>
      </c>
      <c r="C2852">
        <v>50</v>
      </c>
      <c r="D2852">
        <v>4.97600007802248</v>
      </c>
      <c r="E2852">
        <v>248.800003901124</v>
      </c>
      <c r="F2852">
        <v>0.83559685489635405</v>
      </c>
      <c r="G2852">
        <v>0.89278055754110097</v>
      </c>
      <c r="H2852" t="str">
        <f t="shared" si="44"/>
        <v>Q3</v>
      </c>
    </row>
    <row r="2853" spans="1:8">
      <c r="A2853">
        <v>309864</v>
      </c>
      <c r="B2853" t="s">
        <v>4460</v>
      </c>
      <c r="C2853">
        <v>154</v>
      </c>
      <c r="D2853">
        <v>1.6144727495825499</v>
      </c>
      <c r="E2853">
        <v>248.628803435713</v>
      </c>
      <c r="F2853">
        <v>0.94424588992137204</v>
      </c>
      <c r="G2853">
        <v>0.89274293668409799</v>
      </c>
      <c r="H2853" t="str">
        <f t="shared" si="44"/>
        <v>Q4</v>
      </c>
    </row>
    <row r="2854" spans="1:8">
      <c r="A2854">
        <v>663519</v>
      </c>
      <c r="B2854" t="s">
        <v>2732</v>
      </c>
      <c r="C2854">
        <v>159</v>
      </c>
      <c r="D2854">
        <v>1.56342600700709</v>
      </c>
      <c r="E2854">
        <v>248.584735114127</v>
      </c>
      <c r="F2854">
        <v>0.94597644934351599</v>
      </c>
      <c r="G2854">
        <v>0.892705315827095</v>
      </c>
      <c r="H2854" t="str">
        <f t="shared" si="44"/>
        <v>Q4</v>
      </c>
    </row>
    <row r="2855" spans="1:8">
      <c r="A2855">
        <v>189634</v>
      </c>
      <c r="B2855" t="s">
        <v>2818</v>
      </c>
      <c r="C2855">
        <v>209</v>
      </c>
      <c r="D2855">
        <v>1.18918172991723</v>
      </c>
      <c r="E2855">
        <v>248.53898155270099</v>
      </c>
      <c r="F2855">
        <v>0.96132575900078998</v>
      </c>
      <c r="G2855">
        <v>0.89266769497009102</v>
      </c>
      <c r="H2855" t="str">
        <f t="shared" si="44"/>
        <v>Q2</v>
      </c>
    </row>
    <row r="2856" spans="1:8">
      <c r="A2856">
        <v>716679</v>
      </c>
      <c r="B2856" t="s">
        <v>4084</v>
      </c>
      <c r="C2856">
        <v>77</v>
      </c>
      <c r="D2856">
        <v>3.2277789450698098</v>
      </c>
      <c r="E2856">
        <v>248.538978770375</v>
      </c>
      <c r="F2856">
        <v>0.88740077498965397</v>
      </c>
      <c r="G2856">
        <v>0.89263007411308803</v>
      </c>
      <c r="H2856" t="str">
        <f t="shared" si="44"/>
        <v>Q4</v>
      </c>
    </row>
    <row r="2857" spans="1:8">
      <c r="A2857">
        <v>779659</v>
      </c>
      <c r="B2857" t="s">
        <v>3758</v>
      </c>
      <c r="C2857">
        <v>51</v>
      </c>
      <c r="D2857">
        <v>4.8723829544934603</v>
      </c>
      <c r="E2857">
        <v>248.491530679166</v>
      </c>
      <c r="F2857">
        <v>0.83762838117452298</v>
      </c>
      <c r="G2857">
        <v>0.89259245325608505</v>
      </c>
      <c r="H2857" t="str">
        <f t="shared" si="44"/>
        <v>Q4</v>
      </c>
    </row>
    <row r="2858" spans="1:8">
      <c r="A2858">
        <v>781135</v>
      </c>
      <c r="B2858" t="s">
        <v>5179</v>
      </c>
      <c r="C2858">
        <v>51</v>
      </c>
      <c r="D2858">
        <v>4.8705550641113602</v>
      </c>
      <c r="E2858">
        <v>248.39830826968</v>
      </c>
      <c r="F2858">
        <v>0.83762838117452298</v>
      </c>
      <c r="G2858">
        <v>0.89255483239908195</v>
      </c>
      <c r="H2858" t="str">
        <f t="shared" si="44"/>
        <v>Q4</v>
      </c>
    </row>
    <row r="2859" spans="1:8">
      <c r="A2859">
        <v>655446</v>
      </c>
      <c r="B2859" t="s">
        <v>4536</v>
      </c>
      <c r="C2859">
        <v>62</v>
      </c>
      <c r="D2859">
        <v>4.0060415368286799</v>
      </c>
      <c r="E2859">
        <v>248.37457528337799</v>
      </c>
      <c r="F2859">
        <v>0.86238290508257798</v>
      </c>
      <c r="G2859">
        <v>0.89251721154207897</v>
      </c>
      <c r="H2859" t="str">
        <f t="shared" si="44"/>
        <v>Q4</v>
      </c>
    </row>
    <row r="2860" spans="1:8">
      <c r="A2860">
        <v>608570</v>
      </c>
      <c r="B2860" t="s">
        <v>3435</v>
      </c>
      <c r="C2860">
        <v>57</v>
      </c>
      <c r="D2860">
        <v>4.3572405647290404</v>
      </c>
      <c r="E2860">
        <v>248.362712189555</v>
      </c>
      <c r="F2860">
        <v>0.851849065121703</v>
      </c>
      <c r="G2860">
        <v>0.89247959068507599</v>
      </c>
      <c r="H2860" t="str">
        <f t="shared" si="44"/>
        <v>Q4</v>
      </c>
    </row>
    <row r="2861" spans="1:8">
      <c r="A2861">
        <v>723345</v>
      </c>
      <c r="B2861" t="s">
        <v>3641</v>
      </c>
      <c r="C2861">
        <v>41</v>
      </c>
      <c r="D2861">
        <v>6.0563455403941404</v>
      </c>
      <c r="E2861">
        <v>248.31016715615999</v>
      </c>
      <c r="F2861">
        <v>0.80787028328505295</v>
      </c>
      <c r="G2861">
        <v>0.892441969828073</v>
      </c>
      <c r="H2861" t="str">
        <f t="shared" si="44"/>
        <v>Q3</v>
      </c>
    </row>
    <row r="2862" spans="1:8">
      <c r="A2862">
        <v>695584</v>
      </c>
      <c r="B2862" t="s">
        <v>657</v>
      </c>
      <c r="C2862">
        <v>194</v>
      </c>
      <c r="D2862">
        <v>1.27883975708512</v>
      </c>
      <c r="E2862">
        <v>248.094912874512</v>
      </c>
      <c r="F2862">
        <v>0.95741318987246504</v>
      </c>
      <c r="G2862">
        <v>0.89240434897107002</v>
      </c>
      <c r="H2862" t="str">
        <f t="shared" si="44"/>
        <v>Q2</v>
      </c>
    </row>
    <row r="2863" spans="1:8">
      <c r="A2863">
        <v>700765</v>
      </c>
      <c r="B2863" t="s">
        <v>971</v>
      </c>
      <c r="C2863">
        <v>102</v>
      </c>
      <c r="D2863">
        <v>2.4320206075322401</v>
      </c>
      <c r="E2863">
        <v>248.066101968288</v>
      </c>
      <c r="F2863">
        <v>0.91332154546480604</v>
      </c>
      <c r="G2863">
        <v>0.89236672811406603</v>
      </c>
      <c r="H2863" t="str">
        <f t="shared" si="44"/>
        <v>Q4</v>
      </c>
    </row>
    <row r="2864" spans="1:8">
      <c r="A2864">
        <v>665212</v>
      </c>
      <c r="B2864" t="s">
        <v>2341</v>
      </c>
      <c r="C2864">
        <v>104</v>
      </c>
      <c r="D2864">
        <v>2.3833604574275098</v>
      </c>
      <c r="E2864">
        <v>247.869487572461</v>
      </c>
      <c r="F2864">
        <v>0.91524020917196502</v>
      </c>
      <c r="G2864">
        <v>0.89232910725706305</v>
      </c>
      <c r="H2864" t="str">
        <f t="shared" si="44"/>
        <v>Q4</v>
      </c>
    </row>
    <row r="2865" spans="1:8">
      <c r="A2865">
        <v>595696</v>
      </c>
      <c r="B2865" t="s">
        <v>3053</v>
      </c>
      <c r="C2865">
        <v>247</v>
      </c>
      <c r="D2865">
        <v>1.0032800181536901</v>
      </c>
      <c r="E2865">
        <v>247.81016448396301</v>
      </c>
      <c r="F2865">
        <v>0.96828561754636799</v>
      </c>
      <c r="G2865">
        <v>0.89229148640005995</v>
      </c>
      <c r="H2865" t="str">
        <f t="shared" si="44"/>
        <v>Q2</v>
      </c>
    </row>
    <row r="2866" spans="1:8">
      <c r="A2866">
        <v>663518</v>
      </c>
      <c r="B2866" t="s">
        <v>2735</v>
      </c>
      <c r="C2866">
        <v>197</v>
      </c>
      <c r="D2866">
        <v>1.2576701273186699</v>
      </c>
      <c r="E2866">
        <v>247.761015081778</v>
      </c>
      <c r="F2866">
        <v>0.95824084872653403</v>
      </c>
      <c r="G2866">
        <v>0.89225386554305697</v>
      </c>
      <c r="H2866" t="str">
        <f t="shared" si="44"/>
        <v>Q2</v>
      </c>
    </row>
    <row r="2867" spans="1:8">
      <c r="A2867">
        <v>720687</v>
      </c>
      <c r="B2867" t="s">
        <v>2837</v>
      </c>
      <c r="C2867">
        <v>155</v>
      </c>
      <c r="D2867">
        <v>1.59841436922791</v>
      </c>
      <c r="E2867">
        <v>247.754227230325</v>
      </c>
      <c r="F2867">
        <v>0.94454685677739703</v>
      </c>
      <c r="G2867">
        <v>0.89221624468605398</v>
      </c>
      <c r="H2867" t="str">
        <f t="shared" si="44"/>
        <v>Q4</v>
      </c>
    </row>
    <row r="2868" spans="1:8">
      <c r="A2868">
        <v>699342</v>
      </c>
      <c r="B2868" t="s">
        <v>1097</v>
      </c>
      <c r="C2868">
        <v>109</v>
      </c>
      <c r="D2868">
        <v>2.2721038644261902</v>
      </c>
      <c r="E2868">
        <v>247.659321222454</v>
      </c>
      <c r="F2868">
        <v>0.91922802001429604</v>
      </c>
      <c r="G2868">
        <v>0.892178623829051</v>
      </c>
      <c r="H2868" t="str">
        <f t="shared" si="44"/>
        <v>Q4</v>
      </c>
    </row>
    <row r="2869" spans="1:8">
      <c r="A2869">
        <v>770835</v>
      </c>
      <c r="B2869" t="s">
        <v>2267</v>
      </c>
      <c r="C2869">
        <v>34</v>
      </c>
      <c r="D2869">
        <v>7.2830509065705202</v>
      </c>
      <c r="E2869">
        <v>247.62373082339801</v>
      </c>
      <c r="F2869">
        <v>0.77969226138971404</v>
      </c>
      <c r="G2869">
        <v>0.89214100297204801</v>
      </c>
      <c r="H2869" t="str">
        <f t="shared" si="44"/>
        <v>Q3</v>
      </c>
    </row>
    <row r="2870" spans="1:8">
      <c r="A2870">
        <v>640662</v>
      </c>
      <c r="B2870" t="s">
        <v>243</v>
      </c>
      <c r="C2870">
        <v>81</v>
      </c>
      <c r="D2870">
        <v>3.0569783975312701</v>
      </c>
      <c r="E2870">
        <v>247.61525020003299</v>
      </c>
      <c r="F2870">
        <v>0.89293104096911302</v>
      </c>
      <c r="G2870">
        <v>0.89210338211504503</v>
      </c>
      <c r="H2870" t="str">
        <f t="shared" si="44"/>
        <v>Q4</v>
      </c>
    </row>
    <row r="2871" spans="1:8">
      <c r="A2871">
        <v>522398</v>
      </c>
      <c r="B2871" t="s">
        <v>5086</v>
      </c>
      <c r="C2871">
        <v>190</v>
      </c>
      <c r="D2871">
        <v>1.3027831867925399</v>
      </c>
      <c r="E2871">
        <v>247.52880549058301</v>
      </c>
      <c r="F2871">
        <v>0.95635980587637803</v>
      </c>
      <c r="G2871">
        <v>0.89206576125804105</v>
      </c>
      <c r="H2871" t="str">
        <f t="shared" si="44"/>
        <v>Q2</v>
      </c>
    </row>
    <row r="2872" spans="1:8">
      <c r="A2872">
        <v>769988</v>
      </c>
      <c r="B2872" t="s">
        <v>1262</v>
      </c>
      <c r="C2872">
        <v>48</v>
      </c>
      <c r="D2872">
        <v>5.1533898028234599</v>
      </c>
      <c r="E2872">
        <v>247.36271053552599</v>
      </c>
      <c r="F2872">
        <v>0.82957751777585498</v>
      </c>
      <c r="G2872">
        <v>0.89202814040103795</v>
      </c>
      <c r="H2872" t="str">
        <f t="shared" si="44"/>
        <v>Q3</v>
      </c>
    </row>
    <row r="2873" spans="1:8">
      <c r="A2873">
        <v>751994</v>
      </c>
      <c r="B2873" t="s">
        <v>4519</v>
      </c>
      <c r="C2873">
        <v>62</v>
      </c>
      <c r="D2873">
        <v>3.9892291229578798</v>
      </c>
      <c r="E2873">
        <v>247.33220562338801</v>
      </c>
      <c r="F2873">
        <v>0.86238290508257798</v>
      </c>
      <c r="G2873">
        <v>0.89199051954403497</v>
      </c>
      <c r="H2873" t="str">
        <f t="shared" si="44"/>
        <v>Q4</v>
      </c>
    </row>
    <row r="2874" spans="1:8">
      <c r="A2874">
        <v>754257</v>
      </c>
      <c r="B2874" t="s">
        <v>251</v>
      </c>
      <c r="C2874">
        <v>79</v>
      </c>
      <c r="D2874">
        <v>3.1307015320451201</v>
      </c>
      <c r="E2874">
        <v>247.32542103156399</v>
      </c>
      <c r="F2874">
        <v>0.89022233926488803</v>
      </c>
      <c r="G2874">
        <v>0.89195289868703198</v>
      </c>
      <c r="H2874" t="str">
        <f t="shared" si="44"/>
        <v>Q4</v>
      </c>
    </row>
    <row r="2875" spans="1:8">
      <c r="A2875">
        <v>741771</v>
      </c>
      <c r="B2875" t="s">
        <v>4163</v>
      </c>
      <c r="C2875">
        <v>85</v>
      </c>
      <c r="D2875">
        <v>2.9067796578302101</v>
      </c>
      <c r="E2875">
        <v>247.07627091556799</v>
      </c>
      <c r="F2875">
        <v>0.89721981866746903</v>
      </c>
      <c r="G2875">
        <v>0.891915277830029</v>
      </c>
      <c r="H2875" t="str">
        <f t="shared" si="44"/>
        <v>Q4</v>
      </c>
    </row>
    <row r="2876" spans="1:8">
      <c r="A2876">
        <v>723862</v>
      </c>
      <c r="B2876" t="s">
        <v>3214</v>
      </c>
      <c r="C2876">
        <v>61</v>
      </c>
      <c r="D2876">
        <v>4.0490414061751503</v>
      </c>
      <c r="E2876">
        <v>246.991525776684</v>
      </c>
      <c r="F2876">
        <v>0.86035137880440904</v>
      </c>
      <c r="G2876">
        <v>0.89187765697302601</v>
      </c>
      <c r="H2876" t="str">
        <f t="shared" si="44"/>
        <v>Q4</v>
      </c>
    </row>
    <row r="2877" spans="1:8">
      <c r="A2877">
        <v>715981</v>
      </c>
      <c r="B2877" t="s">
        <v>2958</v>
      </c>
      <c r="C2877">
        <v>19</v>
      </c>
      <c r="D2877">
        <v>12.991257953016399</v>
      </c>
      <c r="E2877">
        <v>246.83390110731099</v>
      </c>
      <c r="F2877">
        <v>0.68195327489560198</v>
      </c>
      <c r="G2877">
        <v>0.89184003611602303</v>
      </c>
      <c r="H2877" t="str">
        <f t="shared" si="44"/>
        <v>Q3</v>
      </c>
    </row>
    <row r="2878" spans="1:8">
      <c r="A2878">
        <v>819137</v>
      </c>
      <c r="B2878" t="s">
        <v>2001</v>
      </c>
      <c r="C2878">
        <v>41</v>
      </c>
      <c r="D2878">
        <v>6.0200082365332603</v>
      </c>
      <c r="E2878">
        <v>246.82033769786401</v>
      </c>
      <c r="F2878">
        <v>0.80787028328505295</v>
      </c>
      <c r="G2878">
        <v>0.89180241525902004</v>
      </c>
      <c r="H2878" t="str">
        <f t="shared" si="44"/>
        <v>Q3</v>
      </c>
    </row>
    <row r="2879" spans="1:8">
      <c r="A2879">
        <v>824835</v>
      </c>
      <c r="B2879" t="s">
        <v>385</v>
      </c>
      <c r="C2879">
        <v>48</v>
      </c>
      <c r="D2879">
        <v>5.14004240588595</v>
      </c>
      <c r="E2879">
        <v>246.722035482526</v>
      </c>
      <c r="F2879">
        <v>0.82957751777585498</v>
      </c>
      <c r="G2879">
        <v>0.89176479440201695</v>
      </c>
      <c r="H2879" t="str">
        <f t="shared" si="44"/>
        <v>Q3</v>
      </c>
    </row>
    <row r="2880" spans="1:8">
      <c r="A2880">
        <v>609301</v>
      </c>
      <c r="B2880" t="s">
        <v>3987</v>
      </c>
      <c r="C2880">
        <v>107</v>
      </c>
      <c r="D2880">
        <v>2.3044194547442101</v>
      </c>
      <c r="E2880">
        <v>246.57288165763001</v>
      </c>
      <c r="F2880">
        <v>0.91791129001918703</v>
      </c>
      <c r="G2880">
        <v>0.89172717354501296</v>
      </c>
      <c r="H2880" t="str">
        <f t="shared" si="44"/>
        <v>Q4</v>
      </c>
    </row>
    <row r="2881" spans="1:8">
      <c r="A2881">
        <v>796053</v>
      </c>
      <c r="B2881" t="s">
        <v>474</v>
      </c>
      <c r="C2881">
        <v>30</v>
      </c>
      <c r="D2881">
        <v>8.2174012064933795</v>
      </c>
      <c r="E2881">
        <v>246.52203619480099</v>
      </c>
      <c r="F2881">
        <v>0.760430382604116</v>
      </c>
      <c r="G2881">
        <v>0.89168955268800998</v>
      </c>
      <c r="H2881" t="str">
        <f t="shared" si="44"/>
        <v>Q3</v>
      </c>
    </row>
    <row r="2882" spans="1:8">
      <c r="A2882">
        <v>708021</v>
      </c>
      <c r="B2882" t="s">
        <v>3805</v>
      </c>
      <c r="C2882">
        <v>156</v>
      </c>
      <c r="D2882">
        <v>1.5801607362496199</v>
      </c>
      <c r="E2882">
        <v>246.50507485494001</v>
      </c>
      <c r="F2882">
        <v>0.94503592791843805</v>
      </c>
      <c r="G2882">
        <v>0.89165193183100699</v>
      </c>
      <c r="H2882" t="str">
        <f t="shared" si="44"/>
        <v>Q4</v>
      </c>
    </row>
    <row r="2883" spans="1:8">
      <c r="A2883">
        <v>727711</v>
      </c>
      <c r="B2883" t="s">
        <v>2235</v>
      </c>
      <c r="C2883">
        <v>75</v>
      </c>
      <c r="D2883">
        <v>3.2859434410929702</v>
      </c>
      <c r="E2883">
        <v>246.445758081973</v>
      </c>
      <c r="F2883">
        <v>0.88420300214438896</v>
      </c>
      <c r="G2883">
        <v>0.89161431097400401</v>
      </c>
      <c r="H2883" t="str">
        <f t="shared" ref="H2883:H2946" si="45">IF(C2883&gt;$J$2,
   IF(D2883&gt;$J$3,"Q1","Q2"),
   IF(D2883&gt;$J$3,"Q3","Q4"))</f>
        <v>Q4</v>
      </c>
    </row>
    <row r="2884" spans="1:8">
      <c r="A2884">
        <v>693772</v>
      </c>
      <c r="B2884" t="s">
        <v>4634</v>
      </c>
      <c r="C2884">
        <v>106</v>
      </c>
      <c r="D2884">
        <v>2.3248480483538101</v>
      </c>
      <c r="E2884">
        <v>246.433893125504</v>
      </c>
      <c r="F2884">
        <v>0.91730935630713695</v>
      </c>
      <c r="G2884">
        <v>0.89157669011700103</v>
      </c>
      <c r="H2884" t="str">
        <f t="shared" si="45"/>
        <v>Q4</v>
      </c>
    </row>
    <row r="2885" spans="1:8">
      <c r="A2885">
        <v>694618</v>
      </c>
      <c r="B2885" t="s">
        <v>3743</v>
      </c>
      <c r="C2885">
        <v>96</v>
      </c>
      <c r="D2885">
        <v>2.5663311544728198</v>
      </c>
      <c r="E2885">
        <v>246.36779082939</v>
      </c>
      <c r="F2885">
        <v>0.90812986719837496</v>
      </c>
      <c r="G2885">
        <v>0.89153906925999804</v>
      </c>
      <c r="H2885" t="str">
        <f t="shared" si="45"/>
        <v>Q4</v>
      </c>
    </row>
    <row r="2886" spans="1:8">
      <c r="A2886">
        <v>735945</v>
      </c>
      <c r="B2886" t="s">
        <v>3031</v>
      </c>
      <c r="C2886">
        <v>103</v>
      </c>
      <c r="D2886">
        <v>2.3912950509309199</v>
      </c>
      <c r="E2886">
        <v>246.303390245885</v>
      </c>
      <c r="F2886">
        <v>0.91433730860388995</v>
      </c>
      <c r="G2886">
        <v>0.89150144840299494</v>
      </c>
      <c r="H2886" t="str">
        <f t="shared" si="45"/>
        <v>Q4</v>
      </c>
    </row>
    <row r="2887" spans="1:8">
      <c r="A2887">
        <v>771369</v>
      </c>
      <c r="B2887" t="s">
        <v>5201</v>
      </c>
      <c r="C2887">
        <v>37</v>
      </c>
      <c r="D2887">
        <v>6.6565276501146498</v>
      </c>
      <c r="E2887">
        <v>246.29152305424199</v>
      </c>
      <c r="F2887">
        <v>0.79304766562582296</v>
      </c>
      <c r="G2887">
        <v>0.89146382754599196</v>
      </c>
      <c r="H2887" t="str">
        <f t="shared" si="45"/>
        <v>Q3</v>
      </c>
    </row>
    <row r="2888" spans="1:8">
      <c r="A2888">
        <v>717540</v>
      </c>
      <c r="B2888" t="s">
        <v>2937</v>
      </c>
      <c r="C2888">
        <v>119</v>
      </c>
      <c r="D2888">
        <v>2.06902142410644</v>
      </c>
      <c r="E2888">
        <v>246.213549468666</v>
      </c>
      <c r="F2888">
        <v>0.92667694970091397</v>
      </c>
      <c r="G2888">
        <v>0.89142620668898798</v>
      </c>
      <c r="H2888" t="str">
        <f t="shared" si="45"/>
        <v>Q4</v>
      </c>
    </row>
    <row r="2889" spans="1:8">
      <c r="A2889">
        <v>752737</v>
      </c>
      <c r="B2889" t="s">
        <v>1123</v>
      </c>
      <c r="C2889">
        <v>61</v>
      </c>
      <c r="D2889">
        <v>4.0342873130298997</v>
      </c>
      <c r="E2889">
        <v>246.09152609482399</v>
      </c>
      <c r="F2889">
        <v>0.86035137880440904</v>
      </c>
      <c r="G2889">
        <v>0.89138858583198499</v>
      </c>
      <c r="H2889" t="str">
        <f t="shared" si="45"/>
        <v>Q4</v>
      </c>
    </row>
    <row r="2890" spans="1:8">
      <c r="A2890">
        <v>663007</v>
      </c>
      <c r="B2890" t="s">
        <v>1489</v>
      </c>
      <c r="C2890">
        <v>93</v>
      </c>
      <c r="D2890">
        <v>2.64612717193461</v>
      </c>
      <c r="E2890">
        <v>246.089826989919</v>
      </c>
      <c r="F2890">
        <v>0.90587261577818701</v>
      </c>
      <c r="G2890">
        <v>0.89135096497498201</v>
      </c>
      <c r="H2890" t="str">
        <f t="shared" si="45"/>
        <v>Q4</v>
      </c>
    </row>
    <row r="2891" spans="1:8">
      <c r="A2891">
        <v>632523</v>
      </c>
      <c r="B2891" t="s">
        <v>3007</v>
      </c>
      <c r="C2891">
        <v>48</v>
      </c>
      <c r="D2891">
        <v>5.1252119320755201</v>
      </c>
      <c r="E2891">
        <v>246.01017273962501</v>
      </c>
      <c r="F2891">
        <v>0.82957751777585498</v>
      </c>
      <c r="G2891">
        <v>0.89131334411797902</v>
      </c>
      <c r="H2891" t="str">
        <f t="shared" si="45"/>
        <v>Q3</v>
      </c>
    </row>
    <row r="2892" spans="1:8">
      <c r="A2892">
        <v>624383</v>
      </c>
      <c r="B2892" t="s">
        <v>629</v>
      </c>
      <c r="C2892">
        <v>108</v>
      </c>
      <c r="D2892">
        <v>2.2778719404919299</v>
      </c>
      <c r="E2892">
        <v>246.010169573128</v>
      </c>
      <c r="F2892">
        <v>0.91866370715924905</v>
      </c>
      <c r="G2892">
        <v>0.89127572326097604</v>
      </c>
      <c r="H2892" t="str">
        <f t="shared" si="45"/>
        <v>Q4</v>
      </c>
    </row>
    <row r="2893" spans="1:8">
      <c r="A2893">
        <v>701561</v>
      </c>
      <c r="B2893" t="s">
        <v>634</v>
      </c>
      <c r="C2893">
        <v>43</v>
      </c>
      <c r="D2893">
        <v>5.7175405583409402</v>
      </c>
      <c r="E2893">
        <v>245.85424400866</v>
      </c>
      <c r="F2893">
        <v>0.81437869154659304</v>
      </c>
      <c r="G2893">
        <v>0.89123810240397305</v>
      </c>
      <c r="H2893" t="str">
        <f t="shared" si="45"/>
        <v>Q3</v>
      </c>
    </row>
    <row r="2894" spans="1:8">
      <c r="A2894">
        <v>732225</v>
      </c>
      <c r="B2894" t="s">
        <v>3586</v>
      </c>
      <c r="C2894">
        <v>63</v>
      </c>
      <c r="D2894">
        <v>3.9023944487174398</v>
      </c>
      <c r="E2894">
        <v>245.85085026919799</v>
      </c>
      <c r="F2894">
        <v>0.86445205221775001</v>
      </c>
      <c r="G2894">
        <v>0.89120048154696996</v>
      </c>
      <c r="H2894" t="str">
        <f t="shared" si="45"/>
        <v>Q4</v>
      </c>
    </row>
    <row r="2895" spans="1:8">
      <c r="A2895">
        <v>606395</v>
      </c>
      <c r="B2895" t="s">
        <v>346</v>
      </c>
      <c r="C2895">
        <v>50</v>
      </c>
      <c r="D2895">
        <v>4.9156611096113902</v>
      </c>
      <c r="E2895">
        <v>245.78305548057</v>
      </c>
      <c r="F2895">
        <v>0.83559685489635405</v>
      </c>
      <c r="G2895">
        <v>0.89116286068996697</v>
      </c>
      <c r="H2895" t="str">
        <f t="shared" si="45"/>
        <v>Q3</v>
      </c>
    </row>
    <row r="2896" spans="1:8">
      <c r="A2896">
        <v>694968</v>
      </c>
      <c r="B2896" t="s">
        <v>4207</v>
      </c>
      <c r="C2896">
        <v>85</v>
      </c>
      <c r="D2896">
        <v>2.8905881842707899</v>
      </c>
      <c r="E2896">
        <v>245.69999566301701</v>
      </c>
      <c r="F2896">
        <v>0.89721981866746903</v>
      </c>
      <c r="G2896">
        <v>0.89112523983296299</v>
      </c>
      <c r="H2896" t="str">
        <f t="shared" si="45"/>
        <v>Q4</v>
      </c>
    </row>
    <row r="2897" spans="1:8">
      <c r="A2897">
        <v>488697</v>
      </c>
      <c r="B2897" t="s">
        <v>3453</v>
      </c>
      <c r="C2897">
        <v>93</v>
      </c>
      <c r="D2897">
        <v>2.6418443098263702</v>
      </c>
      <c r="E2897">
        <v>245.691520813853</v>
      </c>
      <c r="F2897">
        <v>0.90587261577818701</v>
      </c>
      <c r="G2897">
        <v>0.89108761897596001</v>
      </c>
      <c r="H2897" t="str">
        <f t="shared" si="45"/>
        <v>Q4</v>
      </c>
    </row>
    <row r="2898" spans="1:8">
      <c r="A2898">
        <v>588689</v>
      </c>
      <c r="B2898" t="s">
        <v>4550</v>
      </c>
      <c r="C2898">
        <v>110</v>
      </c>
      <c r="D2898">
        <v>2.2328967203132102</v>
      </c>
      <c r="E2898">
        <v>245.61863923445301</v>
      </c>
      <c r="F2898">
        <v>0.92001805801136105</v>
      </c>
      <c r="G2898">
        <v>0.89104999811895702</v>
      </c>
      <c r="H2898" t="str">
        <f t="shared" si="45"/>
        <v>Q4</v>
      </c>
    </row>
    <row r="2899" spans="1:8">
      <c r="A2899">
        <v>555109</v>
      </c>
      <c r="B2899" t="s">
        <v>4251</v>
      </c>
      <c r="C2899">
        <v>75</v>
      </c>
      <c r="D2899">
        <v>3.2732655107975002</v>
      </c>
      <c r="E2899">
        <v>245.494913309813</v>
      </c>
      <c r="F2899">
        <v>0.88420300214438896</v>
      </c>
      <c r="G2899">
        <v>0.89101237726195404</v>
      </c>
      <c r="H2899" t="str">
        <f t="shared" si="45"/>
        <v>Q4</v>
      </c>
    </row>
    <row r="2900" spans="1:8">
      <c r="A2900">
        <v>451290</v>
      </c>
      <c r="B2900" t="s">
        <v>3604</v>
      </c>
      <c r="C2900">
        <v>25</v>
      </c>
      <c r="D2900">
        <v>9.8175595998764003</v>
      </c>
      <c r="E2900">
        <v>245.43898999691001</v>
      </c>
      <c r="F2900">
        <v>0.72991986757458305</v>
      </c>
      <c r="G2900">
        <v>0.89097475640495105</v>
      </c>
      <c r="H2900" t="str">
        <f t="shared" si="45"/>
        <v>Q3</v>
      </c>
    </row>
    <row r="2901" spans="1:8">
      <c r="A2901">
        <v>726465</v>
      </c>
      <c r="B2901" t="s">
        <v>228</v>
      </c>
      <c r="C2901">
        <v>87</v>
      </c>
      <c r="D2901">
        <v>2.8154879465870501</v>
      </c>
      <c r="E2901">
        <v>244.94745135307301</v>
      </c>
      <c r="F2901">
        <v>0.89955231180166295</v>
      </c>
      <c r="G2901">
        <v>0.89093713554794796</v>
      </c>
      <c r="H2901" t="str">
        <f t="shared" si="45"/>
        <v>Q4</v>
      </c>
    </row>
    <row r="2902" spans="1:8">
      <c r="A2902">
        <v>772349</v>
      </c>
      <c r="B2902" t="s">
        <v>1928</v>
      </c>
      <c r="C2902">
        <v>182</v>
      </c>
      <c r="D2902">
        <v>1.3456322889836401</v>
      </c>
      <c r="E2902">
        <v>244.90507659502299</v>
      </c>
      <c r="F2902">
        <v>0.95425303788420301</v>
      </c>
      <c r="G2902">
        <v>0.89089951469094497</v>
      </c>
      <c r="H2902" t="str">
        <f t="shared" si="45"/>
        <v>Q2</v>
      </c>
    </row>
    <row r="2903" spans="1:8">
      <c r="A2903">
        <v>737436</v>
      </c>
      <c r="B2903" t="s">
        <v>3223</v>
      </c>
      <c r="C2903">
        <v>151</v>
      </c>
      <c r="D2903">
        <v>1.6205185055979401</v>
      </c>
      <c r="E2903">
        <v>244.69829434528901</v>
      </c>
      <c r="F2903">
        <v>0.94323012678228801</v>
      </c>
      <c r="G2903">
        <v>0.89086189383394199</v>
      </c>
      <c r="H2903" t="str">
        <f t="shared" si="45"/>
        <v>Q4</v>
      </c>
    </row>
    <row r="2904" spans="1:8">
      <c r="A2904">
        <v>682952</v>
      </c>
      <c r="B2904" t="s">
        <v>4816</v>
      </c>
      <c r="C2904">
        <v>58</v>
      </c>
      <c r="D2904">
        <v>4.2188194724891703</v>
      </c>
      <c r="E2904">
        <v>244.69152940437201</v>
      </c>
      <c r="F2904">
        <v>0.853993453970881</v>
      </c>
      <c r="G2904">
        <v>0.890824272976938</v>
      </c>
      <c r="H2904" t="str">
        <f t="shared" si="45"/>
        <v>Q4</v>
      </c>
    </row>
    <row r="2905" spans="1:8">
      <c r="A2905">
        <v>778506</v>
      </c>
      <c r="B2905" t="s">
        <v>1057</v>
      </c>
      <c r="C2905">
        <v>43</v>
      </c>
      <c r="D2905">
        <v>5.6864013938709697</v>
      </c>
      <c r="E2905">
        <v>244.515259936452</v>
      </c>
      <c r="F2905">
        <v>0.81437869154659304</v>
      </c>
      <c r="G2905">
        <v>0.89078665211993502</v>
      </c>
      <c r="H2905" t="str">
        <f t="shared" si="45"/>
        <v>Q3</v>
      </c>
    </row>
    <row r="2906" spans="1:8">
      <c r="A2906">
        <v>794054</v>
      </c>
      <c r="B2906" t="s">
        <v>4128</v>
      </c>
      <c r="C2906">
        <v>54</v>
      </c>
      <c r="D2906">
        <v>4.5262711605539998</v>
      </c>
      <c r="E2906">
        <v>244.41864266991601</v>
      </c>
      <c r="F2906">
        <v>0.84515255257514799</v>
      </c>
      <c r="G2906">
        <v>0.89074903126293203</v>
      </c>
      <c r="H2906" t="str">
        <f t="shared" si="45"/>
        <v>Q4</v>
      </c>
    </row>
    <row r="2907" spans="1:8">
      <c r="A2907">
        <v>732372</v>
      </c>
      <c r="B2907" t="s">
        <v>3390</v>
      </c>
      <c r="C2907">
        <v>89</v>
      </c>
      <c r="D2907">
        <v>2.74340119945367</v>
      </c>
      <c r="E2907">
        <v>244.16270675137599</v>
      </c>
      <c r="F2907">
        <v>0.90135811293781298</v>
      </c>
      <c r="G2907">
        <v>0.89071141040592905</v>
      </c>
      <c r="H2907" t="str">
        <f t="shared" si="45"/>
        <v>Q4</v>
      </c>
    </row>
    <row r="2908" spans="1:8">
      <c r="A2908">
        <v>779902</v>
      </c>
      <c r="B2908" t="s">
        <v>935</v>
      </c>
      <c r="C2908">
        <v>43</v>
      </c>
      <c r="D2908">
        <v>5.6779267916152598</v>
      </c>
      <c r="E2908">
        <v>244.150852039456</v>
      </c>
      <c r="F2908">
        <v>0.81437869154659304</v>
      </c>
      <c r="G2908">
        <v>0.89067378954892595</v>
      </c>
      <c r="H2908" t="str">
        <f t="shared" si="45"/>
        <v>Q3</v>
      </c>
    </row>
    <row r="2909" spans="1:8">
      <c r="A2909">
        <v>655287</v>
      </c>
      <c r="B2909" t="s">
        <v>4344</v>
      </c>
      <c r="C2909">
        <v>60</v>
      </c>
      <c r="D2909">
        <v>4.0684745864321803</v>
      </c>
      <c r="E2909">
        <v>244.10847518593101</v>
      </c>
      <c r="F2909">
        <v>0.85805650652721899</v>
      </c>
      <c r="G2909">
        <v>0.89063616869192297</v>
      </c>
      <c r="H2909" t="str">
        <f t="shared" si="45"/>
        <v>Q4</v>
      </c>
    </row>
    <row r="2910" spans="1:8">
      <c r="A2910">
        <v>763911</v>
      </c>
      <c r="B2910" t="s">
        <v>2425</v>
      </c>
      <c r="C2910">
        <v>113</v>
      </c>
      <c r="D2910">
        <v>2.1582120897627499</v>
      </c>
      <c r="E2910">
        <v>243.877966143191</v>
      </c>
      <c r="F2910">
        <v>0.92257627628757399</v>
      </c>
      <c r="G2910">
        <v>0.89059854783491998</v>
      </c>
      <c r="H2910" t="str">
        <f t="shared" si="45"/>
        <v>Q4</v>
      </c>
    </row>
    <row r="2911" spans="1:8">
      <c r="A2911">
        <v>704593</v>
      </c>
      <c r="B2911" t="s">
        <v>1402</v>
      </c>
      <c r="C2911">
        <v>79</v>
      </c>
      <c r="D2911">
        <v>3.0861187950248201</v>
      </c>
      <c r="E2911">
        <v>243.80338480696099</v>
      </c>
      <c r="F2911">
        <v>0.89022233926488803</v>
      </c>
      <c r="G2911">
        <v>0.890560926977917</v>
      </c>
      <c r="H2911" t="str">
        <f t="shared" si="45"/>
        <v>Q4</v>
      </c>
    </row>
    <row r="2912" spans="1:8">
      <c r="A2912">
        <v>650614</v>
      </c>
      <c r="B2912" t="s">
        <v>3542</v>
      </c>
      <c r="C2912">
        <v>27</v>
      </c>
      <c r="D2912">
        <v>9.0281860006076293</v>
      </c>
      <c r="E2912">
        <v>243.761022016406</v>
      </c>
      <c r="F2912">
        <v>0.74312478838267904</v>
      </c>
      <c r="G2912">
        <v>0.89052330612091302</v>
      </c>
      <c r="H2912" t="str">
        <f t="shared" si="45"/>
        <v>Q3</v>
      </c>
    </row>
    <row r="2913" spans="1:8">
      <c r="A2913">
        <v>708536</v>
      </c>
      <c r="B2913" t="s">
        <v>596</v>
      </c>
      <c r="C2913">
        <v>199</v>
      </c>
      <c r="D2913">
        <v>1.2241290822559601</v>
      </c>
      <c r="E2913">
        <v>243.60168736893701</v>
      </c>
      <c r="F2913">
        <v>0.95872991986757505</v>
      </c>
      <c r="G2913">
        <v>0.89048568526391003</v>
      </c>
      <c r="H2913" t="str">
        <f t="shared" si="45"/>
        <v>Q2</v>
      </c>
    </row>
    <row r="2914" spans="1:8">
      <c r="A2914">
        <v>630324</v>
      </c>
      <c r="B2914" t="s">
        <v>3777</v>
      </c>
      <c r="C2914">
        <v>115</v>
      </c>
      <c r="D2914">
        <v>2.11678701574388</v>
      </c>
      <c r="E2914">
        <v>243.43050681054601</v>
      </c>
      <c r="F2914">
        <v>0.92370490199766797</v>
      </c>
      <c r="G2914">
        <v>0.89044806440690705</v>
      </c>
      <c r="H2914" t="str">
        <f t="shared" si="45"/>
        <v>Q4</v>
      </c>
    </row>
    <row r="2915" spans="1:8">
      <c r="A2915">
        <v>794007</v>
      </c>
      <c r="B2915" t="s">
        <v>645</v>
      </c>
      <c r="C2915">
        <v>66</v>
      </c>
      <c r="D2915">
        <v>3.68710841390897</v>
      </c>
      <c r="E2915">
        <v>243.349155317992</v>
      </c>
      <c r="F2915">
        <v>0.86968135134118396</v>
      </c>
      <c r="G2915">
        <v>0.89041044354990395</v>
      </c>
      <c r="H2915" t="str">
        <f t="shared" si="45"/>
        <v>Q4</v>
      </c>
    </row>
    <row r="2916" spans="1:8">
      <c r="A2916">
        <v>713986</v>
      </c>
      <c r="B2916" t="s">
        <v>3017</v>
      </c>
      <c r="C2916">
        <v>25</v>
      </c>
      <c r="D2916">
        <v>9.7338306605815905</v>
      </c>
      <c r="E2916">
        <v>243.34576651454</v>
      </c>
      <c r="F2916">
        <v>0.72991986757458305</v>
      </c>
      <c r="G2916">
        <v>0.89037282269290097</v>
      </c>
      <c r="H2916" t="str">
        <f t="shared" si="45"/>
        <v>Q3</v>
      </c>
    </row>
    <row r="2917" spans="1:8">
      <c r="A2917">
        <v>746990</v>
      </c>
      <c r="B2917" t="s">
        <v>4021</v>
      </c>
      <c r="C2917">
        <v>105</v>
      </c>
      <c r="D2917">
        <v>2.3141403673660199</v>
      </c>
      <c r="E2917">
        <v>242.984738573432</v>
      </c>
      <c r="F2917">
        <v>0.91618073059704297</v>
      </c>
      <c r="G2917">
        <v>0.89033520183589798</v>
      </c>
      <c r="H2917" t="str">
        <f t="shared" si="45"/>
        <v>Q4</v>
      </c>
    </row>
    <row r="2918" spans="1:8">
      <c r="A2918">
        <v>705979</v>
      </c>
      <c r="B2918" t="s">
        <v>2506</v>
      </c>
      <c r="C2918">
        <v>75</v>
      </c>
      <c r="D2918">
        <v>3.2391864222784799</v>
      </c>
      <c r="E2918">
        <v>242.93898167088599</v>
      </c>
      <c r="F2918">
        <v>0.88420300214438896</v>
      </c>
      <c r="G2918">
        <v>0.890297580978895</v>
      </c>
      <c r="H2918" t="str">
        <f t="shared" si="45"/>
        <v>Q4</v>
      </c>
    </row>
    <row r="2919" spans="1:8">
      <c r="A2919">
        <v>777100</v>
      </c>
      <c r="B2919" t="s">
        <v>2022</v>
      </c>
      <c r="C2919">
        <v>85</v>
      </c>
      <c r="D2919">
        <v>2.8570089193389698</v>
      </c>
      <c r="E2919">
        <v>242.84575814381199</v>
      </c>
      <c r="F2919">
        <v>0.89721981866746903</v>
      </c>
      <c r="G2919">
        <v>0.89025996012189201</v>
      </c>
      <c r="H2919" t="str">
        <f t="shared" si="45"/>
        <v>Q4</v>
      </c>
    </row>
    <row r="2920" spans="1:8">
      <c r="A2920">
        <v>793962</v>
      </c>
      <c r="B2920" t="s">
        <v>2584</v>
      </c>
      <c r="C2920">
        <v>62</v>
      </c>
      <c r="D2920">
        <v>3.9150081995514099</v>
      </c>
      <c r="E2920">
        <v>242.73050837218801</v>
      </c>
      <c r="F2920">
        <v>0.86238290508257798</v>
      </c>
      <c r="G2920">
        <v>0.89022233926488803</v>
      </c>
      <c r="H2920" t="str">
        <f t="shared" si="45"/>
        <v>Q4</v>
      </c>
    </row>
    <row r="2921" spans="1:8">
      <c r="A2921">
        <v>611024</v>
      </c>
      <c r="B2921" t="s">
        <v>1845</v>
      </c>
      <c r="C2921">
        <v>177</v>
      </c>
      <c r="D2921">
        <v>1.3713013008499999</v>
      </c>
      <c r="E2921">
        <v>242.720330250449</v>
      </c>
      <c r="F2921">
        <v>0.95244723674805298</v>
      </c>
      <c r="G2921">
        <v>0.89018471840788505</v>
      </c>
      <c r="H2921" t="str">
        <f t="shared" si="45"/>
        <v>Q2</v>
      </c>
    </row>
    <row r="2922" spans="1:8">
      <c r="A2922">
        <v>771116</v>
      </c>
      <c r="B2922" t="s">
        <v>1375</v>
      </c>
      <c r="C2922">
        <v>37</v>
      </c>
      <c r="D2922">
        <v>6.55675671390585</v>
      </c>
      <c r="E2922">
        <v>242.59999841451599</v>
      </c>
      <c r="F2922">
        <v>0.79304766562582296</v>
      </c>
      <c r="G2922">
        <v>0.89014709755088195</v>
      </c>
      <c r="H2922" t="str">
        <f t="shared" si="45"/>
        <v>Q3</v>
      </c>
    </row>
    <row r="2923" spans="1:8">
      <c r="A2923">
        <v>651276</v>
      </c>
      <c r="B2923" t="s">
        <v>2450</v>
      </c>
      <c r="C2923">
        <v>64</v>
      </c>
      <c r="D2923">
        <v>3.7903072166955099</v>
      </c>
      <c r="E2923">
        <v>242.579661868513</v>
      </c>
      <c r="F2923">
        <v>0.86633309506790601</v>
      </c>
      <c r="G2923">
        <v>0.89010947669387896</v>
      </c>
      <c r="H2923" t="str">
        <f t="shared" si="45"/>
        <v>Q4</v>
      </c>
    </row>
    <row r="2924" spans="1:8">
      <c r="A2924">
        <v>672899</v>
      </c>
      <c r="B2924" t="s">
        <v>2900</v>
      </c>
      <c r="C2924">
        <v>42</v>
      </c>
      <c r="D2924">
        <v>5.7709848153449199</v>
      </c>
      <c r="E2924">
        <v>242.38136224448701</v>
      </c>
      <c r="F2924">
        <v>0.81103043527331597</v>
      </c>
      <c r="G2924">
        <v>0.89007185583687598</v>
      </c>
      <c r="H2924" t="str">
        <f t="shared" si="45"/>
        <v>Q3</v>
      </c>
    </row>
    <row r="2925" spans="1:8">
      <c r="A2925">
        <v>788578</v>
      </c>
      <c r="B2925" t="s">
        <v>2605</v>
      </c>
      <c r="C2925">
        <v>52</v>
      </c>
      <c r="D2925">
        <v>4.6608866622241596</v>
      </c>
      <c r="E2925">
        <v>242.366106435657</v>
      </c>
      <c r="F2925">
        <v>0.84003611602272299</v>
      </c>
      <c r="G2925">
        <v>0.890034234979873</v>
      </c>
      <c r="H2925" t="str">
        <f t="shared" si="45"/>
        <v>Q4</v>
      </c>
    </row>
    <row r="2926" spans="1:8">
      <c r="A2926">
        <v>768931</v>
      </c>
      <c r="B2926" t="s">
        <v>2680</v>
      </c>
      <c r="C2926">
        <v>151</v>
      </c>
      <c r="D2926">
        <v>1.6049387587221999</v>
      </c>
      <c r="E2926">
        <v>242.34575256705301</v>
      </c>
      <c r="F2926">
        <v>0.94323012678228801</v>
      </c>
      <c r="G2926">
        <v>0.88999661412287001</v>
      </c>
      <c r="H2926" t="str">
        <f t="shared" si="45"/>
        <v>Q4</v>
      </c>
    </row>
    <row r="2927" spans="1:8">
      <c r="A2927">
        <v>727706</v>
      </c>
      <c r="B2927" t="s">
        <v>5143</v>
      </c>
      <c r="C2927">
        <v>86</v>
      </c>
      <c r="D2927">
        <v>2.81724470645882</v>
      </c>
      <c r="E2927">
        <v>242.283044755459</v>
      </c>
      <c r="F2927">
        <v>0.89864941123358799</v>
      </c>
      <c r="G2927">
        <v>0.88995899326586703</v>
      </c>
      <c r="H2927" t="str">
        <f t="shared" si="45"/>
        <v>Q4</v>
      </c>
    </row>
    <row r="2928" spans="1:8">
      <c r="A2928">
        <v>759255</v>
      </c>
      <c r="B2928" t="s">
        <v>4373</v>
      </c>
      <c r="C2928">
        <v>58</v>
      </c>
      <c r="D2928">
        <v>4.1746347307644998</v>
      </c>
      <c r="E2928">
        <v>242.12881438434101</v>
      </c>
      <c r="F2928">
        <v>0.853993453970881</v>
      </c>
      <c r="G2928">
        <v>0.88992137240886304</v>
      </c>
      <c r="H2928" t="str">
        <f t="shared" si="45"/>
        <v>Q4</v>
      </c>
    </row>
    <row r="2929" spans="1:8">
      <c r="A2929">
        <v>780322</v>
      </c>
      <c r="B2929" t="s">
        <v>4171</v>
      </c>
      <c r="C2929">
        <v>43</v>
      </c>
      <c r="D2929">
        <v>5.6305874398974503</v>
      </c>
      <c r="E2929">
        <v>242.11525991559</v>
      </c>
      <c r="F2929">
        <v>0.81437869154659304</v>
      </c>
      <c r="G2929">
        <v>0.88988375155185995</v>
      </c>
      <c r="H2929" t="str">
        <f t="shared" si="45"/>
        <v>Q3</v>
      </c>
    </row>
    <row r="2930" spans="1:8">
      <c r="A2930">
        <v>726167</v>
      </c>
      <c r="B2930" t="s">
        <v>5137</v>
      </c>
      <c r="C2930">
        <v>85</v>
      </c>
      <c r="D2930">
        <v>2.8479161825688402</v>
      </c>
      <c r="E2930">
        <v>242.07287551835199</v>
      </c>
      <c r="F2930">
        <v>0.89721981866746903</v>
      </c>
      <c r="G2930">
        <v>0.88984613069485696</v>
      </c>
      <c r="H2930" t="str">
        <f t="shared" si="45"/>
        <v>Q4</v>
      </c>
    </row>
    <row r="2931" spans="1:8">
      <c r="A2931">
        <v>722498</v>
      </c>
      <c r="B2931" t="s">
        <v>2173</v>
      </c>
      <c r="C2931">
        <v>33</v>
      </c>
      <c r="D2931">
        <v>7.3343092293450303</v>
      </c>
      <c r="E2931">
        <v>242.03220456838599</v>
      </c>
      <c r="F2931">
        <v>0.77551634626236798</v>
      </c>
      <c r="G2931">
        <v>0.88980850983785398</v>
      </c>
      <c r="H2931" t="str">
        <f t="shared" si="45"/>
        <v>Q3</v>
      </c>
    </row>
    <row r="2932" spans="1:8">
      <c r="A2932">
        <v>820906</v>
      </c>
      <c r="B2932" t="s">
        <v>3659</v>
      </c>
      <c r="C2932">
        <v>49</v>
      </c>
      <c r="D2932">
        <v>4.9393982075306804</v>
      </c>
      <c r="E2932">
        <v>242.030512169003</v>
      </c>
      <c r="F2932">
        <v>0.83258718633610496</v>
      </c>
      <c r="G2932">
        <v>0.88977088898085099</v>
      </c>
      <c r="H2932" t="str">
        <f t="shared" si="45"/>
        <v>Q3</v>
      </c>
    </row>
    <row r="2933" spans="1:8">
      <c r="A2933">
        <v>783830</v>
      </c>
      <c r="B2933" t="s">
        <v>961</v>
      </c>
      <c r="C2933">
        <v>62</v>
      </c>
      <c r="D2933">
        <v>3.9030617884089902</v>
      </c>
      <c r="E2933">
        <v>241.98983088135699</v>
      </c>
      <c r="F2933">
        <v>0.86238290508257798</v>
      </c>
      <c r="G2933">
        <v>0.88973326812384801</v>
      </c>
      <c r="H2933" t="str">
        <f t="shared" si="45"/>
        <v>Q4</v>
      </c>
    </row>
    <row r="2934" spans="1:8">
      <c r="A2934">
        <v>729136</v>
      </c>
      <c r="B2934" t="s">
        <v>423</v>
      </c>
      <c r="C2934">
        <v>89</v>
      </c>
      <c r="D2934">
        <v>2.7182822262219499</v>
      </c>
      <c r="E2934">
        <v>241.92711813375399</v>
      </c>
      <c r="F2934">
        <v>0.90135811293781298</v>
      </c>
      <c r="G2934">
        <v>0.88969564726684502</v>
      </c>
      <c r="H2934" t="str">
        <f t="shared" si="45"/>
        <v>Q4</v>
      </c>
    </row>
    <row r="2935" spans="1:8">
      <c r="A2935">
        <v>763011</v>
      </c>
      <c r="B2935" t="s">
        <v>447</v>
      </c>
      <c r="C2935">
        <v>37</v>
      </c>
      <c r="D2935">
        <v>6.5378377616808203</v>
      </c>
      <c r="E2935">
        <v>241.89999718218999</v>
      </c>
      <c r="F2935">
        <v>0.79304766562582296</v>
      </c>
      <c r="G2935">
        <v>0.88965802640984204</v>
      </c>
      <c r="H2935" t="str">
        <f t="shared" si="45"/>
        <v>Q3</v>
      </c>
    </row>
    <row r="2936" spans="1:8">
      <c r="A2936">
        <v>754176</v>
      </c>
      <c r="B2936" t="s">
        <v>211</v>
      </c>
      <c r="C2936">
        <v>181</v>
      </c>
      <c r="D2936">
        <v>1.33645467168152</v>
      </c>
      <c r="E2936">
        <v>241.89829557435601</v>
      </c>
      <c r="F2936">
        <v>0.95387682931417195</v>
      </c>
      <c r="G2936">
        <v>0.88962040555283906</v>
      </c>
      <c r="H2936" t="str">
        <f t="shared" si="45"/>
        <v>Q2</v>
      </c>
    </row>
    <row r="2937" spans="1:8">
      <c r="A2937">
        <v>786336</v>
      </c>
      <c r="B2937" t="s">
        <v>4915</v>
      </c>
      <c r="C2937">
        <v>60</v>
      </c>
      <c r="D2937">
        <v>4.0297175260881604</v>
      </c>
      <c r="E2937">
        <v>241.78305156528899</v>
      </c>
      <c r="F2937">
        <v>0.85805650652721899</v>
      </c>
      <c r="G2937">
        <v>0.88958278469583496</v>
      </c>
      <c r="H2937" t="str">
        <f t="shared" si="45"/>
        <v>Q4</v>
      </c>
    </row>
    <row r="2938" spans="1:8">
      <c r="A2938">
        <v>240561</v>
      </c>
      <c r="B2938" t="s">
        <v>4744</v>
      </c>
      <c r="C2938">
        <v>198</v>
      </c>
      <c r="D2938">
        <v>1.2211179605337099</v>
      </c>
      <c r="E2938">
        <v>241.78135618567501</v>
      </c>
      <c r="F2938">
        <v>0.95846657386855305</v>
      </c>
      <c r="G2938">
        <v>0.88954516383883198</v>
      </c>
      <c r="H2938" t="str">
        <f t="shared" si="45"/>
        <v>Q2</v>
      </c>
    </row>
    <row r="2939" spans="1:8">
      <c r="A2939">
        <v>670334</v>
      </c>
      <c r="B2939" t="s">
        <v>5272</v>
      </c>
      <c r="C2939">
        <v>88</v>
      </c>
      <c r="D2939">
        <v>2.7451463604599899</v>
      </c>
      <c r="E2939">
        <v>241.57287972047899</v>
      </c>
      <c r="F2939">
        <v>0.90045521236973802</v>
      </c>
      <c r="G2939">
        <v>0.88950754298182899</v>
      </c>
      <c r="H2939" t="str">
        <f t="shared" si="45"/>
        <v>Q4</v>
      </c>
    </row>
    <row r="2940" spans="1:8">
      <c r="A2940">
        <v>670942</v>
      </c>
      <c r="B2940" t="s">
        <v>5136</v>
      </c>
      <c r="C2940">
        <v>139</v>
      </c>
      <c r="D2940">
        <v>1.73662967591299</v>
      </c>
      <c r="E2940">
        <v>241.39152495190501</v>
      </c>
      <c r="F2940">
        <v>0.93796320680185097</v>
      </c>
      <c r="G2940">
        <v>0.88946992212482601</v>
      </c>
      <c r="H2940" t="str">
        <f t="shared" si="45"/>
        <v>Q4</v>
      </c>
    </row>
    <row r="2941" spans="1:8">
      <c r="A2941">
        <v>718448</v>
      </c>
      <c r="B2941" t="s">
        <v>2165</v>
      </c>
      <c r="C2941">
        <v>80</v>
      </c>
      <c r="D2941">
        <v>3.0173516995273499</v>
      </c>
      <c r="E2941">
        <v>241.38813596218799</v>
      </c>
      <c r="F2941">
        <v>0.89150144840299494</v>
      </c>
      <c r="G2941">
        <v>0.88943230126782302</v>
      </c>
      <c r="H2941" t="str">
        <f t="shared" si="45"/>
        <v>Q4</v>
      </c>
    </row>
    <row r="2942" spans="1:8">
      <c r="A2942">
        <v>806012</v>
      </c>
      <c r="B2942" t="s">
        <v>1285</v>
      </c>
      <c r="C2942">
        <v>85</v>
      </c>
      <c r="D2942">
        <v>2.83966096885064</v>
      </c>
      <c r="E2942">
        <v>241.371182352304</v>
      </c>
      <c r="F2942">
        <v>0.89721981866746903</v>
      </c>
      <c r="G2942">
        <v>0.88939468041082004</v>
      </c>
      <c r="H2942" t="str">
        <f t="shared" si="45"/>
        <v>Q4</v>
      </c>
    </row>
    <row r="2943" spans="1:8">
      <c r="A2943">
        <v>606710</v>
      </c>
      <c r="B2943" t="s">
        <v>363</v>
      </c>
      <c r="C2943">
        <v>73</v>
      </c>
      <c r="D2943">
        <v>3.3060366925719702</v>
      </c>
      <c r="E2943">
        <v>241.34067855775399</v>
      </c>
      <c r="F2943">
        <v>0.88111809187013301</v>
      </c>
      <c r="G2943">
        <v>0.88935705955381705</v>
      </c>
      <c r="H2943" t="str">
        <f t="shared" si="45"/>
        <v>Q4</v>
      </c>
    </row>
    <row r="2944" spans="1:8">
      <c r="A2944">
        <v>594978</v>
      </c>
      <c r="B2944" t="s">
        <v>1058</v>
      </c>
      <c r="C2944">
        <v>256</v>
      </c>
      <c r="D2944">
        <v>0.94235301677940697</v>
      </c>
      <c r="E2944">
        <v>241.24237229552801</v>
      </c>
      <c r="F2944">
        <v>0.96994093525450498</v>
      </c>
      <c r="G2944">
        <v>0.88931943869681396</v>
      </c>
      <c r="H2944" t="str">
        <f t="shared" si="45"/>
        <v>Q2</v>
      </c>
    </row>
    <row r="2945" spans="1:8">
      <c r="A2945">
        <v>766644</v>
      </c>
      <c r="B2945" t="s">
        <v>3027</v>
      </c>
      <c r="C2945">
        <v>53</v>
      </c>
      <c r="D2945">
        <v>4.5501439867295197</v>
      </c>
      <c r="E2945">
        <v>241.15763129666399</v>
      </c>
      <c r="F2945">
        <v>0.84218050487190099</v>
      </c>
      <c r="G2945">
        <v>0.88928181783980997</v>
      </c>
      <c r="H2945" t="str">
        <f t="shared" si="45"/>
        <v>Q4</v>
      </c>
    </row>
    <row r="2946" spans="1:8">
      <c r="A2946">
        <v>690449</v>
      </c>
      <c r="B2946" t="s">
        <v>4451</v>
      </c>
      <c r="C2946">
        <v>39</v>
      </c>
      <c r="D2946">
        <v>6.1820077685973596</v>
      </c>
      <c r="E2946">
        <v>241.098302975297</v>
      </c>
      <c r="F2946">
        <v>0.80087280388247195</v>
      </c>
      <c r="G2946">
        <v>0.88924419698280699</v>
      </c>
      <c r="H2946" t="str">
        <f t="shared" si="45"/>
        <v>Q3</v>
      </c>
    </row>
    <row r="2947" spans="1:8">
      <c r="A2947">
        <v>783082</v>
      </c>
      <c r="B2947" t="s">
        <v>3143</v>
      </c>
      <c r="C2947">
        <v>25</v>
      </c>
      <c r="D2947">
        <v>9.6429154127836192</v>
      </c>
      <c r="E2947">
        <v>241.07288531959099</v>
      </c>
      <c r="F2947">
        <v>0.72991986757458305</v>
      </c>
      <c r="G2947">
        <v>0.889206576125804</v>
      </c>
      <c r="H2947" t="str">
        <f t="shared" ref="H2947:H3010" si="46">IF(C2947&gt;$J$2,
   IF(D2947&gt;$J$3,"Q1","Q2"),
   IF(D2947&gt;$J$3,"Q3","Q4"))</f>
        <v>Q3</v>
      </c>
    </row>
    <row r="2948" spans="1:8">
      <c r="A2948">
        <v>674492</v>
      </c>
      <c r="B2948" t="s">
        <v>5270</v>
      </c>
      <c r="C2948">
        <v>149</v>
      </c>
      <c r="D2948">
        <v>1.6178364262309901</v>
      </c>
      <c r="E2948">
        <v>241.057627508417</v>
      </c>
      <c r="F2948">
        <v>0.94266581392724103</v>
      </c>
      <c r="G2948">
        <v>0.88916895526880102</v>
      </c>
      <c r="H2948" t="str">
        <f t="shared" si="46"/>
        <v>Q4</v>
      </c>
    </row>
    <row r="2949" spans="1:8">
      <c r="A2949">
        <v>573652</v>
      </c>
      <c r="B2949" t="s">
        <v>3591</v>
      </c>
      <c r="C2949">
        <v>109</v>
      </c>
      <c r="D2949">
        <v>2.2111335222464099</v>
      </c>
      <c r="E2949">
        <v>241.013553924859</v>
      </c>
      <c r="F2949">
        <v>0.91922802001429604</v>
      </c>
      <c r="G2949">
        <v>0.88913133441179804</v>
      </c>
      <c r="H2949" t="str">
        <f t="shared" si="46"/>
        <v>Q4</v>
      </c>
    </row>
    <row r="2950" spans="1:8">
      <c r="A2950">
        <v>727804</v>
      </c>
      <c r="B2950" t="s">
        <v>1319</v>
      </c>
      <c r="C2950">
        <v>70</v>
      </c>
      <c r="D2950">
        <v>3.4408232596303701</v>
      </c>
      <c r="E2950">
        <v>240.85762817412601</v>
      </c>
      <c r="F2950">
        <v>0.87555020503367098</v>
      </c>
      <c r="G2950">
        <v>0.88909371355479505</v>
      </c>
      <c r="H2950" t="str">
        <f t="shared" si="46"/>
        <v>Q4</v>
      </c>
    </row>
    <row r="2951" spans="1:8">
      <c r="A2951">
        <v>767799</v>
      </c>
      <c r="B2951" t="s">
        <v>2438</v>
      </c>
      <c r="C2951">
        <v>113</v>
      </c>
      <c r="D2951">
        <v>2.13100335898653</v>
      </c>
      <c r="E2951">
        <v>240.803379565477</v>
      </c>
      <c r="F2951">
        <v>0.92257627628757399</v>
      </c>
      <c r="G2951">
        <v>0.88905609269779196</v>
      </c>
      <c r="H2951" t="str">
        <f t="shared" si="46"/>
        <v>Q4</v>
      </c>
    </row>
    <row r="2952" spans="1:8">
      <c r="A2952">
        <v>780510</v>
      </c>
      <c r="B2952" t="s">
        <v>3801</v>
      </c>
      <c r="C2952">
        <v>58</v>
      </c>
      <c r="D2952">
        <v>4.1507306059115896</v>
      </c>
      <c r="E2952">
        <v>240.74237514287199</v>
      </c>
      <c r="F2952">
        <v>0.853993453970881</v>
      </c>
      <c r="G2952">
        <v>0.88901847184078897</v>
      </c>
      <c r="H2952" t="str">
        <f t="shared" si="46"/>
        <v>Q4</v>
      </c>
    </row>
    <row r="2953" spans="1:8">
      <c r="A2953">
        <v>721427</v>
      </c>
      <c r="B2953" t="s">
        <v>3656</v>
      </c>
      <c r="C2953">
        <v>49</v>
      </c>
      <c r="D2953">
        <v>4.9100312195262097</v>
      </c>
      <c r="E2953">
        <v>240.59152975678401</v>
      </c>
      <c r="F2953">
        <v>0.83258718633610496</v>
      </c>
      <c r="G2953">
        <v>0.88898085098378499</v>
      </c>
      <c r="H2953" t="str">
        <f t="shared" si="46"/>
        <v>Q3</v>
      </c>
    </row>
    <row r="2954" spans="1:8">
      <c r="A2954">
        <v>740888</v>
      </c>
      <c r="B2954" t="s">
        <v>2571</v>
      </c>
      <c r="C2954">
        <v>49</v>
      </c>
      <c r="D2954">
        <v>4.9097544988807398</v>
      </c>
      <c r="E2954">
        <v>240.57797044515601</v>
      </c>
      <c r="F2954">
        <v>0.83258718633610496</v>
      </c>
      <c r="G2954">
        <v>0.888943230126782</v>
      </c>
      <c r="H2954" t="str">
        <f t="shared" si="46"/>
        <v>Q3</v>
      </c>
    </row>
    <row r="2955" spans="1:8">
      <c r="A2955">
        <v>743112</v>
      </c>
      <c r="B2955" t="s">
        <v>1081</v>
      </c>
      <c r="C2955">
        <v>116</v>
      </c>
      <c r="D2955">
        <v>2.0736411470791398</v>
      </c>
      <c r="E2955">
        <v>240.54237306118</v>
      </c>
      <c r="F2955">
        <v>0.924720665136752</v>
      </c>
      <c r="G2955">
        <v>0.88890560926977902</v>
      </c>
      <c r="H2955" t="str">
        <f t="shared" si="46"/>
        <v>Q4</v>
      </c>
    </row>
    <row r="2956" spans="1:8">
      <c r="A2956">
        <v>690222</v>
      </c>
      <c r="B2956" t="s">
        <v>2893</v>
      </c>
      <c r="C2956">
        <v>83</v>
      </c>
      <c r="D2956">
        <v>2.8970185353095301</v>
      </c>
      <c r="E2956">
        <v>240.45253843069099</v>
      </c>
      <c r="F2956">
        <v>0.89530115496031004</v>
      </c>
      <c r="G2956">
        <v>0.88886798841277603</v>
      </c>
      <c r="H2956" t="str">
        <f t="shared" si="46"/>
        <v>Q4</v>
      </c>
    </row>
    <row r="2957" spans="1:8">
      <c r="A2957">
        <v>747197</v>
      </c>
      <c r="B2957" t="s">
        <v>461</v>
      </c>
      <c r="C2957">
        <v>118</v>
      </c>
      <c r="D2957">
        <v>2.0373743133998299</v>
      </c>
      <c r="E2957">
        <v>240.41016898117999</v>
      </c>
      <c r="F2957">
        <v>0.92592453256085205</v>
      </c>
      <c r="G2957">
        <v>0.88883036755577305</v>
      </c>
      <c r="H2957" t="str">
        <f t="shared" si="46"/>
        <v>Q4</v>
      </c>
    </row>
    <row r="2958" spans="1:8">
      <c r="A2958">
        <v>789770</v>
      </c>
      <c r="B2958" t="s">
        <v>3310</v>
      </c>
      <c r="C2958">
        <v>60</v>
      </c>
      <c r="D2958">
        <v>3.9991243214656902</v>
      </c>
      <c r="E2958">
        <v>239.947459287941</v>
      </c>
      <c r="F2958">
        <v>0.85805650652721899</v>
      </c>
      <c r="G2958">
        <v>0.88879274669876995</v>
      </c>
      <c r="H2958" t="str">
        <f t="shared" si="46"/>
        <v>Q4</v>
      </c>
    </row>
    <row r="2959" spans="1:8">
      <c r="A2959">
        <v>722874</v>
      </c>
      <c r="B2959" t="s">
        <v>2647</v>
      </c>
      <c r="C2959">
        <v>93</v>
      </c>
      <c r="D2959">
        <v>2.5796245152671502</v>
      </c>
      <c r="E2959">
        <v>239.90507991984501</v>
      </c>
      <c r="F2959">
        <v>0.90587261577818701</v>
      </c>
      <c r="G2959">
        <v>0.88875512584176697</v>
      </c>
      <c r="H2959" t="str">
        <f t="shared" si="46"/>
        <v>Q4</v>
      </c>
    </row>
    <row r="2960" spans="1:8">
      <c r="A2960">
        <v>620425</v>
      </c>
      <c r="B2960" t="s">
        <v>2473</v>
      </c>
      <c r="C2960">
        <v>315</v>
      </c>
      <c r="D2960">
        <v>0.76128598450431795</v>
      </c>
      <c r="E2960">
        <v>239.80508511886001</v>
      </c>
      <c r="F2960">
        <v>0.97754034836913595</v>
      </c>
      <c r="G2960">
        <v>0.88871750498476398</v>
      </c>
      <c r="H2960" t="str">
        <f t="shared" si="46"/>
        <v>Q2</v>
      </c>
    </row>
    <row r="2961" spans="1:8">
      <c r="A2961">
        <v>707274</v>
      </c>
      <c r="B2961" t="s">
        <v>3518</v>
      </c>
      <c r="C2961">
        <v>71</v>
      </c>
      <c r="D2961">
        <v>3.37729768853792</v>
      </c>
      <c r="E2961">
        <v>239.78813588619201</v>
      </c>
      <c r="F2961">
        <v>0.87799556073887397</v>
      </c>
      <c r="G2961">
        <v>0.88867988412776</v>
      </c>
      <c r="H2961" t="str">
        <f t="shared" si="46"/>
        <v>Q4</v>
      </c>
    </row>
    <row r="2962" spans="1:8">
      <c r="A2962">
        <v>697780</v>
      </c>
      <c r="B2962" t="s">
        <v>1491</v>
      </c>
      <c r="C2962">
        <v>109</v>
      </c>
      <c r="D2962">
        <v>2.1986005319402002</v>
      </c>
      <c r="E2962">
        <v>239.64745798148201</v>
      </c>
      <c r="F2962">
        <v>0.91922802001429604</v>
      </c>
      <c r="G2962">
        <v>0.88864226327075702</v>
      </c>
      <c r="H2962" t="str">
        <f t="shared" si="46"/>
        <v>Q4</v>
      </c>
    </row>
    <row r="2963" spans="1:8">
      <c r="A2963">
        <v>704770</v>
      </c>
      <c r="B2963" t="s">
        <v>1197</v>
      </c>
      <c r="C2963">
        <v>108</v>
      </c>
      <c r="D2963">
        <v>2.2176867488909702</v>
      </c>
      <c r="E2963">
        <v>239.510168880224</v>
      </c>
      <c r="F2963">
        <v>0.91866370715924905</v>
      </c>
      <c r="G2963">
        <v>0.88860464241375403</v>
      </c>
      <c r="H2963" t="str">
        <f t="shared" si="46"/>
        <v>Q4</v>
      </c>
    </row>
    <row r="2964" spans="1:8">
      <c r="A2964">
        <v>660726</v>
      </c>
      <c r="B2964" t="s">
        <v>659</v>
      </c>
      <c r="C2964">
        <v>76</v>
      </c>
      <c r="D2964">
        <v>3.1501114478726899</v>
      </c>
      <c r="E2964">
        <v>239.40847003832499</v>
      </c>
      <c r="F2964">
        <v>0.88612166585154795</v>
      </c>
      <c r="G2964">
        <v>0.88856702155675105</v>
      </c>
      <c r="H2964" t="str">
        <f t="shared" si="46"/>
        <v>Q4</v>
      </c>
    </row>
    <row r="2965" spans="1:8">
      <c r="A2965">
        <v>804190</v>
      </c>
      <c r="B2965" t="s">
        <v>1019</v>
      </c>
      <c r="C2965">
        <v>29</v>
      </c>
      <c r="D2965">
        <v>8.2537696472015902</v>
      </c>
      <c r="E2965">
        <v>239.35931976884601</v>
      </c>
      <c r="F2965">
        <v>0.75501297919566601</v>
      </c>
      <c r="G2965">
        <v>0.88852940069974795</v>
      </c>
      <c r="H2965" t="str">
        <f t="shared" si="46"/>
        <v>Q3</v>
      </c>
    </row>
    <row r="2966" spans="1:8">
      <c r="A2966">
        <v>776738</v>
      </c>
      <c r="B2966" t="s">
        <v>1218</v>
      </c>
      <c r="C2966">
        <v>17</v>
      </c>
      <c r="D2966">
        <v>14.0779661781648</v>
      </c>
      <c r="E2966">
        <v>239.32542502880099</v>
      </c>
      <c r="F2966">
        <v>0.65926789812271902</v>
      </c>
      <c r="G2966">
        <v>0.88849177984274497</v>
      </c>
      <c r="H2966" t="str">
        <f t="shared" si="46"/>
        <v>Q3</v>
      </c>
    </row>
    <row r="2967" spans="1:8">
      <c r="A2967">
        <v>631744</v>
      </c>
      <c r="B2967" t="s">
        <v>3246</v>
      </c>
      <c r="C2967">
        <v>152</v>
      </c>
      <c r="D2967">
        <v>1.5731935150382199</v>
      </c>
      <c r="E2967">
        <v>239.125414285809</v>
      </c>
      <c r="F2967">
        <v>0.94371919792332903</v>
      </c>
      <c r="G2967">
        <v>0.88845415898574198</v>
      </c>
      <c r="H2967" t="str">
        <f t="shared" si="46"/>
        <v>Q4</v>
      </c>
    </row>
    <row r="2968" spans="1:8">
      <c r="A2968">
        <v>640331</v>
      </c>
      <c r="B2968" t="s">
        <v>1345</v>
      </c>
      <c r="C2968">
        <v>72</v>
      </c>
      <c r="D2968">
        <v>3.3193972867189201</v>
      </c>
      <c r="E2968">
        <v>238.996604643762</v>
      </c>
      <c r="F2968">
        <v>0.87957563673300498</v>
      </c>
      <c r="G2968">
        <v>0.888416538128739</v>
      </c>
      <c r="H2968" t="str">
        <f t="shared" si="46"/>
        <v>Q4</v>
      </c>
    </row>
    <row r="2969" spans="1:8">
      <c r="A2969">
        <v>575172</v>
      </c>
      <c r="B2969" t="s">
        <v>2467</v>
      </c>
      <c r="C2969">
        <v>120</v>
      </c>
      <c r="D2969">
        <v>1.9900423839377901</v>
      </c>
      <c r="E2969">
        <v>238.80508607253401</v>
      </c>
      <c r="F2969">
        <v>0.92731650426996703</v>
      </c>
      <c r="G2969">
        <v>0.88837891727173501</v>
      </c>
      <c r="H2969" t="str">
        <f t="shared" si="46"/>
        <v>Q4</v>
      </c>
    </row>
    <row r="2970" spans="1:8">
      <c r="A2970">
        <v>690449</v>
      </c>
      <c r="B2970" t="s">
        <v>4447</v>
      </c>
      <c r="C2970">
        <v>42</v>
      </c>
      <c r="D2970">
        <v>5.6837772063556198</v>
      </c>
      <c r="E2970">
        <v>238.71864266693601</v>
      </c>
      <c r="F2970">
        <v>0.81103043527331597</v>
      </c>
      <c r="G2970">
        <v>0.88834129641473203</v>
      </c>
      <c r="H2970" t="str">
        <f t="shared" si="46"/>
        <v>Q3</v>
      </c>
    </row>
    <row r="2971" spans="1:8">
      <c r="A2971">
        <v>697302</v>
      </c>
      <c r="B2971" t="s">
        <v>720</v>
      </c>
      <c r="C2971">
        <v>31</v>
      </c>
      <c r="D2971">
        <v>7.6999454729018701</v>
      </c>
      <c r="E2971">
        <v>238.698309659958</v>
      </c>
      <c r="F2971">
        <v>0.766073511154584</v>
      </c>
      <c r="G2971">
        <v>0.88830367555772904</v>
      </c>
      <c r="H2971" t="str">
        <f t="shared" si="46"/>
        <v>Q3</v>
      </c>
    </row>
    <row r="2972" spans="1:8">
      <c r="A2972">
        <v>808736</v>
      </c>
      <c r="B2972" t="s">
        <v>2956</v>
      </c>
      <c r="C2972">
        <v>48</v>
      </c>
      <c r="D2972">
        <v>4.9700918762634201</v>
      </c>
      <c r="E2972">
        <v>238.56441006064401</v>
      </c>
      <c r="F2972">
        <v>0.82957751777585498</v>
      </c>
      <c r="G2972">
        <v>0.88826605470072595</v>
      </c>
      <c r="H2972" t="str">
        <f t="shared" si="46"/>
        <v>Q3</v>
      </c>
    </row>
    <row r="2973" spans="1:8">
      <c r="A2973">
        <v>785226</v>
      </c>
      <c r="B2973" t="s">
        <v>4401</v>
      </c>
      <c r="C2973">
        <v>44</v>
      </c>
      <c r="D2973">
        <v>5.4212250662120898</v>
      </c>
      <c r="E2973">
        <v>238.53390291333201</v>
      </c>
      <c r="F2973">
        <v>0.817689326962868</v>
      </c>
      <c r="G2973">
        <v>0.88822843384372296</v>
      </c>
      <c r="H2973" t="str">
        <f t="shared" si="46"/>
        <v>Q3</v>
      </c>
    </row>
    <row r="2974" spans="1:8">
      <c r="A2974">
        <v>737083</v>
      </c>
      <c r="B2974" t="s">
        <v>2307</v>
      </c>
      <c r="C2974">
        <v>50</v>
      </c>
      <c r="D2974">
        <v>4.7705424502492004</v>
      </c>
      <c r="E2974">
        <v>238.52712251246001</v>
      </c>
      <c r="F2974">
        <v>0.83559685489635405</v>
      </c>
      <c r="G2974">
        <v>0.88819081298671998</v>
      </c>
      <c r="H2974" t="str">
        <f t="shared" si="46"/>
        <v>Q4</v>
      </c>
    </row>
    <row r="2975" spans="1:8">
      <c r="A2975">
        <v>754627</v>
      </c>
      <c r="B2975" t="s">
        <v>131</v>
      </c>
      <c r="C2975">
        <v>29</v>
      </c>
      <c r="D2975">
        <v>8.2157218636109892</v>
      </c>
      <c r="E2975">
        <v>238.255934044719</v>
      </c>
      <c r="F2975">
        <v>0.75501297919566601</v>
      </c>
      <c r="G2975">
        <v>0.888153192129717</v>
      </c>
      <c r="H2975" t="str">
        <f t="shared" si="46"/>
        <v>Q3</v>
      </c>
    </row>
    <row r="2976" spans="1:8">
      <c r="A2976">
        <v>730570</v>
      </c>
      <c r="B2976" t="s">
        <v>5210</v>
      </c>
      <c r="C2976">
        <v>85</v>
      </c>
      <c r="D2976">
        <v>2.8028115137096701</v>
      </c>
      <c r="E2976">
        <v>238.23897866532201</v>
      </c>
      <c r="F2976">
        <v>0.89721981866746903</v>
      </c>
      <c r="G2976">
        <v>0.88811557127271401</v>
      </c>
      <c r="H2976" t="str">
        <f t="shared" si="46"/>
        <v>Q4</v>
      </c>
    </row>
    <row r="2977" spans="1:8">
      <c r="A2977">
        <v>725279</v>
      </c>
      <c r="B2977" t="s">
        <v>3158</v>
      </c>
      <c r="C2977">
        <v>25</v>
      </c>
      <c r="D2977">
        <v>9.5290849506854993</v>
      </c>
      <c r="E2977">
        <v>238.22712376713801</v>
      </c>
      <c r="F2977">
        <v>0.72991986757458305</v>
      </c>
      <c r="G2977">
        <v>0.88807795041571003</v>
      </c>
      <c r="H2977" t="str">
        <f t="shared" si="46"/>
        <v>Q3</v>
      </c>
    </row>
    <row r="2978" spans="1:8">
      <c r="A2978">
        <v>689022</v>
      </c>
      <c r="B2978" t="s">
        <v>531</v>
      </c>
      <c r="C2978">
        <v>102</v>
      </c>
      <c r="D2978">
        <v>2.3347125260853301</v>
      </c>
      <c r="E2978">
        <v>238.140677660704</v>
      </c>
      <c r="F2978">
        <v>0.91332154546480604</v>
      </c>
      <c r="G2978">
        <v>0.88804032955870704</v>
      </c>
      <c r="H2978" t="str">
        <f t="shared" si="46"/>
        <v>Q4</v>
      </c>
    </row>
    <row r="2979" spans="1:8">
      <c r="A2979">
        <v>839672</v>
      </c>
      <c r="B2979" t="s">
        <v>3693</v>
      </c>
      <c r="C2979">
        <v>75</v>
      </c>
      <c r="D2979">
        <v>3.1748248214523</v>
      </c>
      <c r="E2979">
        <v>238.111861608922</v>
      </c>
      <c r="F2979">
        <v>0.88420300214438896</v>
      </c>
      <c r="G2979">
        <v>0.88800270870170395</v>
      </c>
      <c r="H2979" t="str">
        <f t="shared" si="46"/>
        <v>Q4</v>
      </c>
    </row>
    <row r="2980" spans="1:8">
      <c r="A2980">
        <v>738572</v>
      </c>
      <c r="B2980" t="s">
        <v>4985</v>
      </c>
      <c r="C2980">
        <v>39</v>
      </c>
      <c r="D2980">
        <v>6.1042155186908396</v>
      </c>
      <c r="E2980">
        <v>238.064405228943</v>
      </c>
      <c r="F2980">
        <v>0.80087280388247195</v>
      </c>
      <c r="G2980">
        <v>0.88796508784470096</v>
      </c>
      <c r="H2980" t="str">
        <f t="shared" si="46"/>
        <v>Q3</v>
      </c>
    </row>
    <row r="2981" spans="1:8">
      <c r="A2981">
        <v>704126</v>
      </c>
      <c r="B2981" t="s">
        <v>4663</v>
      </c>
      <c r="C2981">
        <v>74</v>
      </c>
      <c r="D2981">
        <v>3.21529999224318</v>
      </c>
      <c r="E2981">
        <v>237.93219942599501</v>
      </c>
      <c r="F2981">
        <v>0.88307437643429498</v>
      </c>
      <c r="G2981">
        <v>0.88792746698769798</v>
      </c>
      <c r="H2981" t="str">
        <f t="shared" si="46"/>
        <v>Q4</v>
      </c>
    </row>
    <row r="2982" spans="1:8">
      <c r="A2982">
        <v>743049</v>
      </c>
      <c r="B2982" t="s">
        <v>2062</v>
      </c>
      <c r="C2982">
        <v>93</v>
      </c>
      <c r="D2982">
        <v>2.5581374068454101</v>
      </c>
      <c r="E2982">
        <v>237.906778836623</v>
      </c>
      <c r="F2982">
        <v>0.90587261577818701</v>
      </c>
      <c r="G2982">
        <v>0.88788984613069499</v>
      </c>
      <c r="H2982" t="str">
        <f t="shared" si="46"/>
        <v>Q4</v>
      </c>
    </row>
    <row r="2983" spans="1:8">
      <c r="A2983">
        <v>714493</v>
      </c>
      <c r="B2983" t="s">
        <v>179</v>
      </c>
      <c r="C2983">
        <v>73</v>
      </c>
      <c r="D2983">
        <v>3.2589040435085099</v>
      </c>
      <c r="E2983">
        <v>237.89999517612199</v>
      </c>
      <c r="F2983">
        <v>0.88111809187013301</v>
      </c>
      <c r="G2983">
        <v>0.88785222527369201</v>
      </c>
      <c r="H2983" t="str">
        <f t="shared" si="46"/>
        <v>Q4</v>
      </c>
    </row>
    <row r="2984" spans="1:8">
      <c r="A2984">
        <v>788633</v>
      </c>
      <c r="B2984" t="s">
        <v>4027</v>
      </c>
      <c r="C2984">
        <v>55</v>
      </c>
      <c r="D2984">
        <v>4.3233898908577197</v>
      </c>
      <c r="E2984">
        <v>237.78644399717501</v>
      </c>
      <c r="F2984">
        <v>0.84763552913735396</v>
      </c>
      <c r="G2984">
        <v>0.88781460441668902</v>
      </c>
      <c r="H2984" t="str">
        <f t="shared" si="46"/>
        <v>Q4</v>
      </c>
    </row>
    <row r="2985" spans="1:8">
      <c r="A2985">
        <v>693759</v>
      </c>
      <c r="B2985" t="s">
        <v>2151</v>
      </c>
      <c r="C2985">
        <v>48</v>
      </c>
      <c r="D2985">
        <v>4.9535664652163804</v>
      </c>
      <c r="E2985">
        <v>237.77119033038599</v>
      </c>
      <c r="F2985">
        <v>0.82957751777585498</v>
      </c>
      <c r="G2985">
        <v>0.88777698355968504</v>
      </c>
      <c r="H2985" t="str">
        <f t="shared" si="46"/>
        <v>Q3</v>
      </c>
    </row>
    <row r="2986" spans="1:8">
      <c r="A2986">
        <v>691187</v>
      </c>
      <c r="B2986" t="s">
        <v>3193</v>
      </c>
      <c r="C2986">
        <v>49</v>
      </c>
      <c r="D2986">
        <v>4.8516085257335604</v>
      </c>
      <c r="E2986">
        <v>237.728817760944</v>
      </c>
      <c r="F2986">
        <v>0.83258718633610496</v>
      </c>
      <c r="G2986">
        <v>0.88773936270268194</v>
      </c>
      <c r="H2986" t="str">
        <f t="shared" si="46"/>
        <v>Q4</v>
      </c>
    </row>
    <row r="2987" spans="1:8">
      <c r="A2987">
        <v>750067</v>
      </c>
      <c r="B2987" t="s">
        <v>1526</v>
      </c>
      <c r="C2987">
        <v>52</v>
      </c>
      <c r="D2987">
        <v>4.5695567879682502</v>
      </c>
      <c r="E2987">
        <v>237.616952974349</v>
      </c>
      <c r="F2987">
        <v>0.84003611602272299</v>
      </c>
      <c r="G2987">
        <v>0.88770174184567896</v>
      </c>
      <c r="H2987" t="str">
        <f t="shared" si="46"/>
        <v>Q4</v>
      </c>
    </row>
    <row r="2988" spans="1:8">
      <c r="A2988">
        <v>757046</v>
      </c>
      <c r="B2988" t="s">
        <v>1511</v>
      </c>
      <c r="C2988">
        <v>80</v>
      </c>
      <c r="D2988">
        <v>2.9698304599151002</v>
      </c>
      <c r="E2988">
        <v>237.58643679320801</v>
      </c>
      <c r="F2988">
        <v>0.89150144840299494</v>
      </c>
      <c r="G2988">
        <v>0.88766412098867598</v>
      </c>
      <c r="H2988" t="str">
        <f t="shared" si="46"/>
        <v>Q4</v>
      </c>
    </row>
    <row r="2989" spans="1:8">
      <c r="A2989">
        <v>647396</v>
      </c>
      <c r="B2989" t="s">
        <v>633</v>
      </c>
      <c r="C2989">
        <v>35</v>
      </c>
      <c r="D2989">
        <v>6.7861016946179502</v>
      </c>
      <c r="E2989">
        <v>237.513559311628</v>
      </c>
      <c r="F2989">
        <v>0.78420676423008895</v>
      </c>
      <c r="G2989">
        <v>0.88762650013167299</v>
      </c>
      <c r="H2989" t="str">
        <f t="shared" si="46"/>
        <v>Q3</v>
      </c>
    </row>
    <row r="2990" spans="1:8">
      <c r="A2990">
        <v>823494</v>
      </c>
      <c r="B2990" t="s">
        <v>3795</v>
      </c>
      <c r="C2990">
        <v>85</v>
      </c>
      <c r="D2990">
        <v>2.7942571799982998</v>
      </c>
      <c r="E2990">
        <v>237.51186029985499</v>
      </c>
      <c r="F2990">
        <v>0.89721981866746903</v>
      </c>
      <c r="G2990">
        <v>0.88758887927467001</v>
      </c>
      <c r="H2990" t="str">
        <f t="shared" si="46"/>
        <v>Q4</v>
      </c>
    </row>
    <row r="2991" spans="1:8">
      <c r="A2991">
        <v>752945</v>
      </c>
      <c r="B2991" t="s">
        <v>1602</v>
      </c>
      <c r="C2991">
        <v>60</v>
      </c>
      <c r="D2991">
        <v>3.95844634001454</v>
      </c>
      <c r="E2991">
        <v>237.506780400872</v>
      </c>
      <c r="F2991">
        <v>0.85805650652721899</v>
      </c>
      <c r="G2991">
        <v>0.88755125841766702</v>
      </c>
      <c r="H2991" t="str">
        <f t="shared" si="46"/>
        <v>Q4</v>
      </c>
    </row>
    <row r="2992" spans="1:8">
      <c r="A2992">
        <v>690565</v>
      </c>
      <c r="B2992" t="s">
        <v>2472</v>
      </c>
      <c r="C2992">
        <v>20</v>
      </c>
      <c r="D2992">
        <v>11.8751696124673</v>
      </c>
      <c r="E2992">
        <v>237.50339224934601</v>
      </c>
      <c r="F2992">
        <v>0.69196042285843296</v>
      </c>
      <c r="G2992">
        <v>0.88751363756066404</v>
      </c>
      <c r="H2992" t="str">
        <f t="shared" si="46"/>
        <v>Q3</v>
      </c>
    </row>
    <row r="2993" spans="1:8">
      <c r="A2993">
        <v>685044</v>
      </c>
      <c r="B2993" t="s">
        <v>803</v>
      </c>
      <c r="C2993">
        <v>60</v>
      </c>
      <c r="D2993">
        <v>3.9568079387148201</v>
      </c>
      <c r="E2993">
        <v>237.40847632288899</v>
      </c>
      <c r="F2993">
        <v>0.85805650652721899</v>
      </c>
      <c r="G2993">
        <v>0.88747601670366005</v>
      </c>
      <c r="H2993" t="str">
        <f t="shared" si="46"/>
        <v>Q4</v>
      </c>
    </row>
    <row r="2994" spans="1:8">
      <c r="A2994">
        <v>549477</v>
      </c>
      <c r="B2994" t="s">
        <v>5187</v>
      </c>
      <c r="C2994">
        <v>74</v>
      </c>
      <c r="D2994">
        <v>3.20769584662205</v>
      </c>
      <c r="E2994">
        <v>237.36949265003199</v>
      </c>
      <c r="F2994">
        <v>0.88307437643429498</v>
      </c>
      <c r="G2994">
        <v>0.88743839584665696</v>
      </c>
      <c r="H2994" t="str">
        <f t="shared" si="46"/>
        <v>Q4</v>
      </c>
    </row>
    <row r="2995" spans="1:8">
      <c r="A2995">
        <v>746067</v>
      </c>
      <c r="B2995" t="s">
        <v>3424</v>
      </c>
      <c r="C2995">
        <v>114</v>
      </c>
      <c r="D2995">
        <v>2.0811031850283599</v>
      </c>
      <c r="E2995">
        <v>237.24576309323299</v>
      </c>
      <c r="F2995">
        <v>0.92306534742861401</v>
      </c>
      <c r="G2995">
        <v>0.88740077498965397</v>
      </c>
      <c r="H2995" t="str">
        <f t="shared" si="46"/>
        <v>Q4</v>
      </c>
    </row>
    <row r="2996" spans="1:8">
      <c r="A2996">
        <v>625480</v>
      </c>
      <c r="B2996" t="s">
        <v>1762</v>
      </c>
      <c r="C2996">
        <v>100</v>
      </c>
      <c r="D2996">
        <v>2.3723219642415598</v>
      </c>
      <c r="E2996">
        <v>237.232196424156</v>
      </c>
      <c r="F2996">
        <v>0.91155336518565899</v>
      </c>
      <c r="G2996">
        <v>0.88736315413265099</v>
      </c>
      <c r="H2996" t="str">
        <f t="shared" si="46"/>
        <v>Q4</v>
      </c>
    </row>
    <row r="2997" spans="1:8">
      <c r="A2997">
        <v>636392</v>
      </c>
      <c r="B2997" t="s">
        <v>2317</v>
      </c>
      <c r="C2997">
        <v>98</v>
      </c>
      <c r="D2997">
        <v>2.42030439822345</v>
      </c>
      <c r="E2997">
        <v>237.189831025898</v>
      </c>
      <c r="F2997">
        <v>0.90997328919152798</v>
      </c>
      <c r="G2997">
        <v>0.887325533275648</v>
      </c>
      <c r="H2997" t="str">
        <f t="shared" si="46"/>
        <v>Q4</v>
      </c>
    </row>
    <row r="2998" spans="1:8">
      <c r="A2998">
        <v>783417</v>
      </c>
      <c r="B2998" t="s">
        <v>4159</v>
      </c>
      <c r="C2998">
        <v>79</v>
      </c>
      <c r="D2998">
        <v>2.9972537432478998</v>
      </c>
      <c r="E2998">
        <v>236.78304571658401</v>
      </c>
      <c r="F2998">
        <v>0.89022233926488803</v>
      </c>
      <c r="G2998">
        <v>0.88728791241864502</v>
      </c>
      <c r="H2998" t="str">
        <f t="shared" si="46"/>
        <v>Q4</v>
      </c>
    </row>
    <row r="2999" spans="1:8">
      <c r="A2999">
        <v>658287</v>
      </c>
      <c r="B2999" t="s">
        <v>4064</v>
      </c>
      <c r="C2999">
        <v>50</v>
      </c>
      <c r="D2999">
        <v>4.7329491265118104</v>
      </c>
      <c r="E2999">
        <v>236.64745632559101</v>
      </c>
      <c r="F2999">
        <v>0.83559685489635405</v>
      </c>
      <c r="G2999">
        <v>0.88725029156164203</v>
      </c>
      <c r="H2999" t="str">
        <f t="shared" si="46"/>
        <v>Q4</v>
      </c>
    </row>
    <row r="3000" spans="1:8">
      <c r="A3000">
        <v>742982</v>
      </c>
      <c r="B3000" t="s">
        <v>2931</v>
      </c>
      <c r="C3000">
        <v>104</v>
      </c>
      <c r="D3000">
        <v>2.2753585380716999</v>
      </c>
      <c r="E3000">
        <v>236.63728795945599</v>
      </c>
      <c r="F3000">
        <v>0.91524020917196502</v>
      </c>
      <c r="G3000">
        <v>0.88721267070463905</v>
      </c>
      <c r="H3000" t="str">
        <f t="shared" si="46"/>
        <v>Q4</v>
      </c>
    </row>
    <row r="3001" spans="1:8">
      <c r="A3001">
        <v>148033</v>
      </c>
      <c r="B3001" t="s">
        <v>3478</v>
      </c>
      <c r="C3001">
        <v>223</v>
      </c>
      <c r="D3001">
        <v>1.0611233426750799</v>
      </c>
      <c r="E3001">
        <v>236.63050541654201</v>
      </c>
      <c r="F3001">
        <v>0.96410970241902105</v>
      </c>
      <c r="G3001">
        <v>0.88717504984763595</v>
      </c>
      <c r="H3001" t="str">
        <f t="shared" si="46"/>
        <v>Q2</v>
      </c>
    </row>
    <row r="3002" spans="1:8">
      <c r="A3002">
        <v>854993</v>
      </c>
      <c r="B3002" t="s">
        <v>3358</v>
      </c>
      <c r="C3002">
        <v>44</v>
      </c>
      <c r="D3002">
        <v>5.37688760933551</v>
      </c>
      <c r="E3002">
        <v>236.58305481076201</v>
      </c>
      <c r="F3002">
        <v>0.817689326962868</v>
      </c>
      <c r="G3002">
        <v>0.88713742899063197</v>
      </c>
      <c r="H3002" t="str">
        <f t="shared" si="46"/>
        <v>Q3</v>
      </c>
    </row>
    <row r="3003" spans="1:8">
      <c r="A3003">
        <v>777018</v>
      </c>
      <c r="B3003" t="s">
        <v>4639</v>
      </c>
      <c r="C3003">
        <v>40</v>
      </c>
      <c r="D3003">
        <v>5.9140254091471398</v>
      </c>
      <c r="E3003">
        <v>236.56101636588599</v>
      </c>
      <c r="F3003">
        <v>0.804522027011775</v>
      </c>
      <c r="G3003">
        <v>0.88709980813362899</v>
      </c>
      <c r="H3003" t="str">
        <f t="shared" si="46"/>
        <v>Q3</v>
      </c>
    </row>
    <row r="3004" spans="1:8">
      <c r="A3004">
        <v>740791</v>
      </c>
      <c r="B3004" t="s">
        <v>4005</v>
      </c>
      <c r="C3004">
        <v>36</v>
      </c>
      <c r="D3004">
        <v>6.5696797851059197</v>
      </c>
      <c r="E3004">
        <v>236.50847226381299</v>
      </c>
      <c r="F3004">
        <v>0.78890937135547901</v>
      </c>
      <c r="G3004">
        <v>0.887062187276626</v>
      </c>
      <c r="H3004" t="str">
        <f t="shared" si="46"/>
        <v>Q3</v>
      </c>
    </row>
    <row r="3005" spans="1:8">
      <c r="A3005">
        <v>567993</v>
      </c>
      <c r="B3005" t="s">
        <v>2220</v>
      </c>
      <c r="C3005">
        <v>139</v>
      </c>
      <c r="D3005">
        <v>1.69871966069792</v>
      </c>
      <c r="E3005">
        <v>236.12203283701101</v>
      </c>
      <c r="F3005">
        <v>0.93796320680185097</v>
      </c>
      <c r="G3005">
        <v>0.88702456641962302</v>
      </c>
      <c r="H3005" t="str">
        <f t="shared" si="46"/>
        <v>Q4</v>
      </c>
    </row>
    <row r="3006" spans="1:8">
      <c r="A3006">
        <v>513699</v>
      </c>
      <c r="B3006" t="s">
        <v>4094</v>
      </c>
      <c r="C3006">
        <v>80</v>
      </c>
      <c r="D3006">
        <v>2.9508686019107699</v>
      </c>
      <c r="E3006">
        <v>236.06948815286199</v>
      </c>
      <c r="F3006">
        <v>0.89150144840299494</v>
      </c>
      <c r="G3006">
        <v>0.88698694556262003</v>
      </c>
      <c r="H3006" t="str">
        <f t="shared" si="46"/>
        <v>Q4</v>
      </c>
    </row>
    <row r="3007" spans="1:8">
      <c r="A3007">
        <v>747990</v>
      </c>
      <c r="B3007" t="s">
        <v>389</v>
      </c>
      <c r="C3007">
        <v>41</v>
      </c>
      <c r="D3007">
        <v>5.7515503611506498</v>
      </c>
      <c r="E3007">
        <v>235.81356480717699</v>
      </c>
      <c r="F3007">
        <v>0.80787028328505295</v>
      </c>
      <c r="G3007">
        <v>0.88694932470561705</v>
      </c>
      <c r="H3007" t="str">
        <f t="shared" si="46"/>
        <v>Q3</v>
      </c>
    </row>
    <row r="3008" spans="1:8">
      <c r="A3008">
        <v>827635</v>
      </c>
      <c r="B3008" t="s">
        <v>3032</v>
      </c>
      <c r="C3008">
        <v>48</v>
      </c>
      <c r="D3008">
        <v>4.9114407816280901</v>
      </c>
      <c r="E3008">
        <v>235.749157518148</v>
      </c>
      <c r="F3008">
        <v>0.82957751777585498</v>
      </c>
      <c r="G3008">
        <v>0.88691170384861395</v>
      </c>
      <c r="H3008" t="str">
        <f t="shared" si="46"/>
        <v>Q3</v>
      </c>
    </row>
    <row r="3009" spans="1:8">
      <c r="A3009">
        <v>779551</v>
      </c>
      <c r="B3009" t="s">
        <v>1356</v>
      </c>
      <c r="C3009">
        <v>179</v>
      </c>
      <c r="D3009">
        <v>1.3170248878256099</v>
      </c>
      <c r="E3009">
        <v>235.74745492078401</v>
      </c>
      <c r="F3009">
        <v>0.95308679131710605</v>
      </c>
      <c r="G3009">
        <v>0.88687408299161097</v>
      </c>
      <c r="H3009" t="str">
        <f t="shared" si="46"/>
        <v>Q2</v>
      </c>
    </row>
    <row r="3010" spans="1:8">
      <c r="A3010">
        <v>671599</v>
      </c>
      <c r="B3010" t="s">
        <v>4987</v>
      </c>
      <c r="C3010">
        <v>147</v>
      </c>
      <c r="D3010">
        <v>1.6016948486672</v>
      </c>
      <c r="E3010">
        <v>235.449142754078</v>
      </c>
      <c r="F3010">
        <v>0.94195101764418199</v>
      </c>
      <c r="G3010">
        <v>0.88683646213460698</v>
      </c>
      <c r="H3010" t="str">
        <f t="shared" si="46"/>
        <v>Q4</v>
      </c>
    </row>
    <row r="3011" spans="1:8">
      <c r="A3011">
        <v>789087</v>
      </c>
      <c r="B3011" t="s">
        <v>1251</v>
      </c>
      <c r="C3011">
        <v>30</v>
      </c>
      <c r="D3011">
        <v>7.8411300604542102</v>
      </c>
      <c r="E3011">
        <v>235.23390181362601</v>
      </c>
      <c r="F3011">
        <v>0.760430382604116</v>
      </c>
      <c r="G3011">
        <v>0.886798841277604</v>
      </c>
      <c r="H3011" t="str">
        <f t="shared" ref="H3011:H3074" si="47">IF(C3011&gt;$J$2,
   IF(D3011&gt;$J$3,"Q1","Q2"),
   IF(D3011&gt;$J$3,"Q3","Q4"))</f>
        <v>Q3</v>
      </c>
    </row>
    <row r="3012" spans="1:8">
      <c r="A3012">
        <v>814649</v>
      </c>
      <c r="B3012" t="s">
        <v>4709</v>
      </c>
      <c r="C3012">
        <v>61</v>
      </c>
      <c r="D3012">
        <v>3.8549875077165501</v>
      </c>
      <c r="E3012">
        <v>235.15423797071</v>
      </c>
      <c r="F3012">
        <v>0.86035137880440904</v>
      </c>
      <c r="G3012">
        <v>0.88676122042060102</v>
      </c>
      <c r="H3012" t="str">
        <f t="shared" si="47"/>
        <v>Q4</v>
      </c>
    </row>
    <row r="3013" spans="1:8">
      <c r="A3013">
        <v>737658</v>
      </c>
      <c r="B3013" t="s">
        <v>3730</v>
      </c>
      <c r="C3013">
        <v>48</v>
      </c>
      <c r="D3013">
        <v>4.8983758043808203</v>
      </c>
      <c r="E3013">
        <v>235.12203861027999</v>
      </c>
      <c r="F3013">
        <v>0.82957751777585498</v>
      </c>
      <c r="G3013">
        <v>0.88672359956359803</v>
      </c>
      <c r="H3013" t="str">
        <f t="shared" si="47"/>
        <v>Q4</v>
      </c>
    </row>
    <row r="3014" spans="1:8">
      <c r="A3014">
        <v>614496</v>
      </c>
      <c r="B3014" t="s">
        <v>4700</v>
      </c>
      <c r="C3014">
        <v>167</v>
      </c>
      <c r="D3014">
        <v>1.40648528565457</v>
      </c>
      <c r="E3014">
        <v>234.88304270431399</v>
      </c>
      <c r="F3014">
        <v>0.94898611790376597</v>
      </c>
      <c r="G3014">
        <v>0.88668597870659505</v>
      </c>
      <c r="H3014" t="str">
        <f t="shared" si="47"/>
        <v>Q4</v>
      </c>
    </row>
    <row r="3015" spans="1:8">
      <c r="A3015">
        <v>690644</v>
      </c>
      <c r="B3015" t="s">
        <v>3844</v>
      </c>
      <c r="C3015">
        <v>196</v>
      </c>
      <c r="D3015">
        <v>1.19776894464348</v>
      </c>
      <c r="E3015">
        <v>234.76271315012099</v>
      </c>
      <c r="F3015">
        <v>0.95790226101350595</v>
      </c>
      <c r="G3015">
        <v>0.88664835784959195</v>
      </c>
      <c r="H3015" t="str">
        <f t="shared" si="47"/>
        <v>Q2</v>
      </c>
    </row>
    <row r="3016" spans="1:8">
      <c r="A3016">
        <v>794934</v>
      </c>
      <c r="B3016" t="s">
        <v>4252</v>
      </c>
      <c r="C3016">
        <v>41</v>
      </c>
      <c r="D3016">
        <v>5.7229435116779497</v>
      </c>
      <c r="E3016">
        <v>234.64068397879601</v>
      </c>
      <c r="F3016">
        <v>0.80787028328505295</v>
      </c>
      <c r="G3016">
        <v>0.88661073699258897</v>
      </c>
      <c r="H3016" t="str">
        <f t="shared" si="47"/>
        <v>Q3</v>
      </c>
    </row>
    <row r="3017" spans="1:8">
      <c r="A3017">
        <v>785069</v>
      </c>
      <c r="B3017" t="s">
        <v>3788</v>
      </c>
      <c r="C3017">
        <v>58</v>
      </c>
      <c r="D3017">
        <v>4.0441555388528698</v>
      </c>
      <c r="E3017">
        <v>234.561021253467</v>
      </c>
      <c r="F3017">
        <v>0.853993453970881</v>
      </c>
      <c r="G3017">
        <v>0.88657311613558598</v>
      </c>
      <c r="H3017" t="str">
        <f t="shared" si="47"/>
        <v>Q4</v>
      </c>
    </row>
    <row r="3018" spans="1:8">
      <c r="A3018">
        <v>702292</v>
      </c>
      <c r="B3018" t="s">
        <v>4660</v>
      </c>
      <c r="C3018">
        <v>102</v>
      </c>
      <c r="D3018">
        <v>2.2993519491351702</v>
      </c>
      <c r="E3018">
        <v>234.533898811787</v>
      </c>
      <c r="F3018">
        <v>0.91332154546480604</v>
      </c>
      <c r="G3018">
        <v>0.886535495278582</v>
      </c>
      <c r="H3018" t="str">
        <f t="shared" si="47"/>
        <v>Q4</v>
      </c>
    </row>
    <row r="3019" spans="1:8">
      <c r="A3019">
        <v>615372</v>
      </c>
      <c r="B3019" t="s">
        <v>4257</v>
      </c>
      <c r="C3019">
        <v>97</v>
      </c>
      <c r="D3019">
        <v>2.4175432827515699</v>
      </c>
      <c r="E3019">
        <v>234.50169842690201</v>
      </c>
      <c r="F3019">
        <v>0.909108009480456</v>
      </c>
      <c r="G3019">
        <v>0.88649787442157901</v>
      </c>
      <c r="H3019" t="str">
        <f t="shared" si="47"/>
        <v>Q4</v>
      </c>
    </row>
    <row r="3020" spans="1:8">
      <c r="A3020">
        <v>785464</v>
      </c>
      <c r="B3020" t="s">
        <v>2586</v>
      </c>
      <c r="C3020">
        <v>57</v>
      </c>
      <c r="D3020">
        <v>4.1119238655818098</v>
      </c>
      <c r="E3020">
        <v>234.37966033816301</v>
      </c>
      <c r="F3020">
        <v>0.851849065121703</v>
      </c>
      <c r="G3020">
        <v>0.88646025356457603</v>
      </c>
      <c r="H3020" t="str">
        <f t="shared" si="47"/>
        <v>Q4</v>
      </c>
    </row>
    <row r="3021" spans="1:8">
      <c r="A3021">
        <v>637661</v>
      </c>
      <c r="B3021" t="s">
        <v>2901</v>
      </c>
      <c r="C3021">
        <v>81</v>
      </c>
      <c r="D3021">
        <v>2.89152543301936</v>
      </c>
      <c r="E3021">
        <v>234.21356007456799</v>
      </c>
      <c r="F3021">
        <v>0.89293104096911302</v>
      </c>
      <c r="G3021">
        <v>0.88642263270757304</v>
      </c>
      <c r="H3021" t="str">
        <f t="shared" si="47"/>
        <v>Q4</v>
      </c>
    </row>
    <row r="3022" spans="1:8">
      <c r="A3022">
        <v>691715</v>
      </c>
      <c r="B3022" t="s">
        <v>4619</v>
      </c>
      <c r="C3022">
        <v>51</v>
      </c>
      <c r="D3022">
        <v>4.5844467539413296</v>
      </c>
      <c r="E3022">
        <v>233.80678445100801</v>
      </c>
      <c r="F3022">
        <v>0.83762838117452298</v>
      </c>
      <c r="G3022">
        <v>0.88638501185056995</v>
      </c>
      <c r="H3022" t="str">
        <f t="shared" si="47"/>
        <v>Q4</v>
      </c>
    </row>
    <row r="3023" spans="1:8">
      <c r="A3023">
        <v>443860</v>
      </c>
      <c r="B3023" t="s">
        <v>3861</v>
      </c>
      <c r="C3023">
        <v>52</v>
      </c>
      <c r="D3023">
        <v>4.4959909157254403</v>
      </c>
      <c r="E3023">
        <v>233.79152761772301</v>
      </c>
      <c r="F3023">
        <v>0.84003611602272299</v>
      </c>
      <c r="G3023">
        <v>0.88634739099356696</v>
      </c>
      <c r="H3023" t="str">
        <f t="shared" si="47"/>
        <v>Q4</v>
      </c>
    </row>
    <row r="3024" spans="1:8">
      <c r="A3024">
        <v>667641</v>
      </c>
      <c r="B3024" t="s">
        <v>2063</v>
      </c>
      <c r="C3024">
        <v>47</v>
      </c>
      <c r="D3024">
        <v>4.9733863152722098</v>
      </c>
      <c r="E3024">
        <v>233.74915681779399</v>
      </c>
      <c r="F3024">
        <v>0.82641736578759295</v>
      </c>
      <c r="G3024">
        <v>0.88630977013656398</v>
      </c>
      <c r="H3024" t="str">
        <f t="shared" si="47"/>
        <v>Q3</v>
      </c>
    </row>
    <row r="3025" spans="1:8">
      <c r="A3025">
        <v>736089</v>
      </c>
      <c r="B3025" t="s">
        <v>3431</v>
      </c>
      <c r="C3025">
        <v>30</v>
      </c>
      <c r="D3025">
        <v>7.78898314883312</v>
      </c>
      <c r="E3025">
        <v>233.66949446499299</v>
      </c>
      <c r="F3025">
        <v>0.760430382604116</v>
      </c>
      <c r="G3025">
        <v>0.88627214927956099</v>
      </c>
      <c r="H3025" t="str">
        <f t="shared" si="47"/>
        <v>Q3</v>
      </c>
    </row>
    <row r="3026" spans="1:8">
      <c r="A3026">
        <v>754979</v>
      </c>
      <c r="B3026" t="s">
        <v>3823</v>
      </c>
      <c r="C3026">
        <v>73</v>
      </c>
      <c r="D3026">
        <v>3.1988854660359101</v>
      </c>
      <c r="E3026">
        <v>233.518639020622</v>
      </c>
      <c r="F3026">
        <v>0.88111809187013301</v>
      </c>
      <c r="G3026">
        <v>0.88623452842255701</v>
      </c>
      <c r="H3026" t="str">
        <f t="shared" si="47"/>
        <v>Q4</v>
      </c>
    </row>
    <row r="3027" spans="1:8">
      <c r="A3027">
        <v>682285</v>
      </c>
      <c r="B3027" t="s">
        <v>2380</v>
      </c>
      <c r="C3027">
        <v>23</v>
      </c>
      <c r="D3027">
        <v>10.1509949435358</v>
      </c>
      <c r="E3027">
        <v>233.47288370132401</v>
      </c>
      <c r="F3027">
        <v>0.71547345848538402</v>
      </c>
      <c r="G3027">
        <v>0.88619690756555403</v>
      </c>
      <c r="H3027" t="str">
        <f t="shared" si="47"/>
        <v>Q3</v>
      </c>
    </row>
    <row r="3028" spans="1:8">
      <c r="A3028">
        <v>757333</v>
      </c>
      <c r="B3028" t="s">
        <v>1418</v>
      </c>
      <c r="C3028">
        <v>34</v>
      </c>
      <c r="D3028">
        <v>6.8617147174389901</v>
      </c>
      <c r="E3028">
        <v>233.298300392926</v>
      </c>
      <c r="F3028">
        <v>0.77969226138971404</v>
      </c>
      <c r="G3028">
        <v>0.88615928670855104</v>
      </c>
      <c r="H3028" t="str">
        <f t="shared" si="47"/>
        <v>Q3</v>
      </c>
    </row>
    <row r="3029" spans="1:8">
      <c r="A3029">
        <v>700115</v>
      </c>
      <c r="B3029" t="s">
        <v>612</v>
      </c>
      <c r="C3029">
        <v>50</v>
      </c>
      <c r="D3029">
        <v>4.6648475509136897</v>
      </c>
      <c r="E3029">
        <v>233.242377545685</v>
      </c>
      <c r="F3029">
        <v>0.83559685489635405</v>
      </c>
      <c r="G3029">
        <v>0.88612166585154795</v>
      </c>
      <c r="H3029" t="str">
        <f t="shared" si="47"/>
        <v>Q4</v>
      </c>
    </row>
    <row r="3030" spans="1:8">
      <c r="A3030">
        <v>754357</v>
      </c>
      <c r="B3030" t="s">
        <v>350</v>
      </c>
      <c r="C3030">
        <v>41</v>
      </c>
      <c r="D3030">
        <v>5.6863994723776496</v>
      </c>
      <c r="E3030">
        <v>233.14237836748401</v>
      </c>
      <c r="F3030">
        <v>0.80787028328505295</v>
      </c>
      <c r="G3030">
        <v>0.88608404499454496</v>
      </c>
      <c r="H3030" t="str">
        <f t="shared" si="47"/>
        <v>Q3</v>
      </c>
    </row>
    <row r="3031" spans="1:8">
      <c r="A3031">
        <v>816353</v>
      </c>
      <c r="B3031" t="s">
        <v>1898</v>
      </c>
      <c r="C3031">
        <v>49</v>
      </c>
      <c r="D3031">
        <v>4.7576963901519802</v>
      </c>
      <c r="E3031">
        <v>233.12712311744701</v>
      </c>
      <c r="F3031">
        <v>0.83258718633610496</v>
      </c>
      <c r="G3031">
        <v>0.88604642413754198</v>
      </c>
      <c r="H3031" t="str">
        <f t="shared" si="47"/>
        <v>Q4</v>
      </c>
    </row>
    <row r="3032" spans="1:8">
      <c r="A3032">
        <v>636407</v>
      </c>
      <c r="B3032" t="s">
        <v>4199</v>
      </c>
      <c r="C3032">
        <v>114</v>
      </c>
      <c r="D3032">
        <v>2.0449746571677299</v>
      </c>
      <c r="E3032">
        <v>233.127110917121</v>
      </c>
      <c r="F3032">
        <v>0.92306534742861401</v>
      </c>
      <c r="G3032">
        <v>0.88600880328053899</v>
      </c>
      <c r="H3032" t="str">
        <f t="shared" si="47"/>
        <v>Q4</v>
      </c>
    </row>
    <row r="3033" spans="1:8">
      <c r="A3033">
        <v>793356</v>
      </c>
      <c r="B3033" t="s">
        <v>1322</v>
      </c>
      <c r="C3033">
        <v>41</v>
      </c>
      <c r="D3033">
        <v>5.6849939339771502</v>
      </c>
      <c r="E3033">
        <v>233.08475129306299</v>
      </c>
      <c r="F3033">
        <v>0.80787028328505295</v>
      </c>
      <c r="G3033">
        <v>0.88597118242353601</v>
      </c>
      <c r="H3033" t="str">
        <f t="shared" si="47"/>
        <v>Q3</v>
      </c>
    </row>
    <row r="3034" spans="1:8">
      <c r="A3034">
        <v>794454</v>
      </c>
      <c r="B3034" t="s">
        <v>3177</v>
      </c>
      <c r="C3034">
        <v>51</v>
      </c>
      <c r="D3034">
        <v>4.5702227299996396</v>
      </c>
      <c r="E3034">
        <v>233.08135922998201</v>
      </c>
      <c r="F3034">
        <v>0.83762838117452298</v>
      </c>
      <c r="G3034">
        <v>0.88593356156653202</v>
      </c>
      <c r="H3034" t="str">
        <f t="shared" si="47"/>
        <v>Q4</v>
      </c>
    </row>
    <row r="3035" spans="1:8">
      <c r="A3035">
        <v>441386</v>
      </c>
      <c r="B3035" t="s">
        <v>2395</v>
      </c>
      <c r="C3035">
        <v>69</v>
      </c>
      <c r="D3035">
        <v>3.37720460298917</v>
      </c>
      <c r="E3035">
        <v>233.02711760625201</v>
      </c>
      <c r="F3035">
        <v>0.87393250818253598</v>
      </c>
      <c r="G3035">
        <v>0.88589594070952904</v>
      </c>
      <c r="H3035" t="str">
        <f t="shared" si="47"/>
        <v>Q4</v>
      </c>
    </row>
    <row r="3036" spans="1:8">
      <c r="A3036">
        <v>700966</v>
      </c>
      <c r="B3036" t="s">
        <v>337</v>
      </c>
      <c r="C3036">
        <v>71</v>
      </c>
      <c r="D3036">
        <v>3.2810455817781699</v>
      </c>
      <c r="E3036">
        <v>232.95423630625001</v>
      </c>
      <c r="F3036">
        <v>0.87799556073887397</v>
      </c>
      <c r="G3036">
        <v>0.88585831985252605</v>
      </c>
      <c r="H3036" t="str">
        <f t="shared" si="47"/>
        <v>Q4</v>
      </c>
    </row>
    <row r="3037" spans="1:8">
      <c r="A3037">
        <v>768632</v>
      </c>
      <c r="B3037" t="s">
        <v>3892</v>
      </c>
      <c r="C3037">
        <v>42</v>
      </c>
      <c r="D3037">
        <v>5.5453994577484496</v>
      </c>
      <c r="E3037">
        <v>232.90677722543501</v>
      </c>
      <c r="F3037">
        <v>0.81103043527331597</v>
      </c>
      <c r="G3037">
        <v>0.88582069899552296</v>
      </c>
      <c r="H3037" t="str">
        <f t="shared" si="47"/>
        <v>Q3</v>
      </c>
    </row>
    <row r="3038" spans="1:8">
      <c r="A3038">
        <v>599716</v>
      </c>
      <c r="B3038" t="s">
        <v>3536</v>
      </c>
      <c r="C3038">
        <v>65</v>
      </c>
      <c r="D3038">
        <v>3.5817209573892401</v>
      </c>
      <c r="E3038">
        <v>232.81186223030099</v>
      </c>
      <c r="F3038">
        <v>0.86802603363304598</v>
      </c>
      <c r="G3038">
        <v>0.88578307813851997</v>
      </c>
      <c r="H3038" t="str">
        <f t="shared" si="47"/>
        <v>Q4</v>
      </c>
    </row>
    <row r="3039" spans="1:8">
      <c r="A3039">
        <v>713993</v>
      </c>
      <c r="B3039" t="s">
        <v>2587</v>
      </c>
      <c r="C3039">
        <v>183</v>
      </c>
      <c r="D3039">
        <v>1.2714920706711099</v>
      </c>
      <c r="E3039">
        <v>232.68304893281299</v>
      </c>
      <c r="F3039">
        <v>0.95447876302622203</v>
      </c>
      <c r="G3039">
        <v>0.88574545728151699</v>
      </c>
      <c r="H3039" t="str">
        <f t="shared" si="47"/>
        <v>Q2</v>
      </c>
    </row>
    <row r="3040" spans="1:8">
      <c r="A3040">
        <v>829187</v>
      </c>
      <c r="B3040" t="s">
        <v>662</v>
      </c>
      <c r="C3040">
        <v>21</v>
      </c>
      <c r="D3040">
        <v>11.077724024653399</v>
      </c>
      <c r="E3040">
        <v>232.63220451772199</v>
      </c>
      <c r="F3040">
        <v>0.70008652797110704</v>
      </c>
      <c r="G3040">
        <v>0.88570783642451401</v>
      </c>
      <c r="H3040" t="str">
        <f t="shared" si="47"/>
        <v>Q3</v>
      </c>
    </row>
    <row r="3041" spans="1:8">
      <c r="A3041">
        <v>768393</v>
      </c>
      <c r="B3041" t="s">
        <v>1283</v>
      </c>
      <c r="C3041">
        <v>78</v>
      </c>
      <c r="D3041">
        <v>2.9822902992749798</v>
      </c>
      <c r="E3041">
        <v>232.61864334344901</v>
      </c>
      <c r="F3041">
        <v>0.88867988412776</v>
      </c>
      <c r="G3041">
        <v>0.88567021556751102</v>
      </c>
      <c r="H3041" t="str">
        <f t="shared" si="47"/>
        <v>Q4</v>
      </c>
    </row>
    <row r="3042" spans="1:8">
      <c r="A3042">
        <v>573390</v>
      </c>
      <c r="B3042" t="s">
        <v>1975</v>
      </c>
      <c r="C3042">
        <v>113</v>
      </c>
      <c r="D3042">
        <v>2.0565920822586099</v>
      </c>
      <c r="E3042">
        <v>232.394905295223</v>
      </c>
      <c r="F3042">
        <v>0.92257627628757399</v>
      </c>
      <c r="G3042">
        <v>0.88563259471050704</v>
      </c>
      <c r="H3042" t="str">
        <f t="shared" si="47"/>
        <v>Q4</v>
      </c>
    </row>
    <row r="3043" spans="1:8">
      <c r="A3043">
        <v>779250</v>
      </c>
      <c r="B3043" t="s">
        <v>4498</v>
      </c>
      <c r="C3043">
        <v>47</v>
      </c>
      <c r="D3043">
        <v>4.9434187564443999</v>
      </c>
      <c r="E3043">
        <v>232.34068155288699</v>
      </c>
      <c r="F3043">
        <v>0.82641736578759295</v>
      </c>
      <c r="G3043">
        <v>0.88559497385350405</v>
      </c>
      <c r="H3043" t="str">
        <f t="shared" si="47"/>
        <v>Q3</v>
      </c>
    </row>
    <row r="3044" spans="1:8">
      <c r="A3044">
        <v>779250</v>
      </c>
      <c r="B3044" t="s">
        <v>4499</v>
      </c>
      <c r="C3044">
        <v>46</v>
      </c>
      <c r="D3044">
        <v>5.0495947832646602</v>
      </c>
      <c r="E3044">
        <v>232.281360030174</v>
      </c>
      <c r="F3044">
        <v>0.82378390579737404</v>
      </c>
      <c r="G3044">
        <v>0.88555735299650096</v>
      </c>
      <c r="H3044" t="str">
        <f t="shared" si="47"/>
        <v>Q3</v>
      </c>
    </row>
    <row r="3045" spans="1:8">
      <c r="A3045">
        <v>244267</v>
      </c>
      <c r="B3045" t="s">
        <v>4417</v>
      </c>
      <c r="C3045">
        <v>168</v>
      </c>
      <c r="D3045">
        <v>1.38178972244662</v>
      </c>
      <c r="E3045">
        <v>232.14067337103199</v>
      </c>
      <c r="F3045">
        <v>0.94936232647379704</v>
      </c>
      <c r="G3045">
        <v>0.88551973213949797</v>
      </c>
      <c r="H3045" t="str">
        <f t="shared" si="47"/>
        <v>Q4</v>
      </c>
    </row>
    <row r="3046" spans="1:8">
      <c r="A3046">
        <v>755604</v>
      </c>
      <c r="B3046" t="s">
        <v>3099</v>
      </c>
      <c r="C3046">
        <v>144</v>
      </c>
      <c r="D3046">
        <v>1.61207620500742</v>
      </c>
      <c r="E3046">
        <v>232.138973521069</v>
      </c>
      <c r="F3046">
        <v>0.94048380422106004</v>
      </c>
      <c r="G3046">
        <v>0.88548211128249499</v>
      </c>
      <c r="H3046" t="str">
        <f t="shared" si="47"/>
        <v>Q4</v>
      </c>
    </row>
    <row r="3047" spans="1:8">
      <c r="A3047">
        <v>703998</v>
      </c>
      <c r="B3047" t="s">
        <v>4433</v>
      </c>
      <c r="C3047">
        <v>81</v>
      </c>
      <c r="D3047">
        <v>2.8657250382282098</v>
      </c>
      <c r="E3047">
        <v>232.123728096485</v>
      </c>
      <c r="F3047">
        <v>0.89293104096911302</v>
      </c>
      <c r="G3047">
        <v>0.885444490425492</v>
      </c>
      <c r="H3047" t="str">
        <f t="shared" si="47"/>
        <v>Q4</v>
      </c>
    </row>
    <row r="3048" spans="1:8">
      <c r="A3048">
        <v>729815</v>
      </c>
      <c r="B3048" t="s">
        <v>2179</v>
      </c>
      <c r="C3048">
        <v>72</v>
      </c>
      <c r="D3048">
        <v>3.2232108564736901</v>
      </c>
      <c r="E3048">
        <v>232.07118166610601</v>
      </c>
      <c r="F3048">
        <v>0.87957563673300498</v>
      </c>
      <c r="G3048">
        <v>0.88540686956848902</v>
      </c>
      <c r="H3048" t="str">
        <f t="shared" si="47"/>
        <v>Q4</v>
      </c>
    </row>
    <row r="3049" spans="1:8">
      <c r="A3049">
        <v>739819</v>
      </c>
      <c r="B3049" t="s">
        <v>3857</v>
      </c>
      <c r="C3049">
        <v>70</v>
      </c>
      <c r="D3049">
        <v>3.3121064864098999</v>
      </c>
      <c r="E3049">
        <v>231.84745404869301</v>
      </c>
      <c r="F3049">
        <v>0.87555020503367098</v>
      </c>
      <c r="G3049">
        <v>0.88536924871148603</v>
      </c>
      <c r="H3049" t="str">
        <f t="shared" si="47"/>
        <v>Q4</v>
      </c>
    </row>
    <row r="3050" spans="1:8">
      <c r="A3050">
        <v>753692</v>
      </c>
      <c r="B3050" t="s">
        <v>5265</v>
      </c>
      <c r="C3050">
        <v>182</v>
      </c>
      <c r="D3050">
        <v>1.2737194892367001</v>
      </c>
      <c r="E3050">
        <v>231.816947041079</v>
      </c>
      <c r="F3050">
        <v>0.95425303788420301</v>
      </c>
      <c r="G3050">
        <v>0.88533162785448205</v>
      </c>
      <c r="H3050" t="str">
        <f t="shared" si="47"/>
        <v>Q2</v>
      </c>
    </row>
    <row r="3051" spans="1:8">
      <c r="A3051">
        <v>782875</v>
      </c>
      <c r="B3051" t="s">
        <v>939</v>
      </c>
      <c r="C3051">
        <v>71</v>
      </c>
      <c r="D3051">
        <v>3.2643828541040398</v>
      </c>
      <c r="E3051">
        <v>231.77118264138701</v>
      </c>
      <c r="F3051">
        <v>0.87799556073887397</v>
      </c>
      <c r="G3051">
        <v>0.88529400699747895</v>
      </c>
      <c r="H3051" t="str">
        <f t="shared" si="47"/>
        <v>Q4</v>
      </c>
    </row>
    <row r="3052" spans="1:8">
      <c r="A3052">
        <v>778761</v>
      </c>
      <c r="B3052" t="s">
        <v>3959</v>
      </c>
      <c r="C3052">
        <v>45</v>
      </c>
      <c r="D3052">
        <v>5.1462523349457303</v>
      </c>
      <c r="E3052">
        <v>231.58135507255801</v>
      </c>
      <c r="F3052">
        <v>0.82069899552311798</v>
      </c>
      <c r="G3052">
        <v>0.88525638614047597</v>
      </c>
      <c r="H3052" t="str">
        <f t="shared" si="47"/>
        <v>Q3</v>
      </c>
    </row>
    <row r="3053" spans="1:8">
      <c r="A3053">
        <v>486639</v>
      </c>
      <c r="B3053" t="s">
        <v>2261</v>
      </c>
      <c r="C3053">
        <v>80</v>
      </c>
      <c r="D3053">
        <v>2.8946821985300599</v>
      </c>
      <c r="E3053">
        <v>231.57457588240499</v>
      </c>
      <c r="F3053">
        <v>0.89150144840299494</v>
      </c>
      <c r="G3053">
        <v>0.88521876528347299</v>
      </c>
      <c r="H3053" t="str">
        <f t="shared" si="47"/>
        <v>Q4</v>
      </c>
    </row>
    <row r="3054" spans="1:8">
      <c r="A3054">
        <v>750424</v>
      </c>
      <c r="B3054" t="s">
        <v>4545</v>
      </c>
      <c r="C3054">
        <v>88</v>
      </c>
      <c r="D3054">
        <v>2.6313366225539601</v>
      </c>
      <c r="E3054">
        <v>231.55762278474899</v>
      </c>
      <c r="F3054">
        <v>0.90045521236973802</v>
      </c>
      <c r="G3054">
        <v>0.88518114442647</v>
      </c>
      <c r="H3054" t="str">
        <f t="shared" si="47"/>
        <v>Q4</v>
      </c>
    </row>
    <row r="3055" spans="1:8">
      <c r="A3055">
        <v>744044</v>
      </c>
      <c r="B3055" t="s">
        <v>4669</v>
      </c>
      <c r="C3055">
        <v>47</v>
      </c>
      <c r="D3055">
        <v>4.9245943810711497</v>
      </c>
      <c r="E3055">
        <v>231.45593591034401</v>
      </c>
      <c r="F3055">
        <v>0.82641736578759295</v>
      </c>
      <c r="G3055">
        <v>0.88514352356946702</v>
      </c>
      <c r="H3055" t="str">
        <f t="shared" si="47"/>
        <v>Q3</v>
      </c>
    </row>
    <row r="3056" spans="1:8">
      <c r="A3056">
        <v>746070</v>
      </c>
      <c r="B3056" t="s">
        <v>5178</v>
      </c>
      <c r="C3056">
        <v>39</v>
      </c>
      <c r="D3056">
        <v>5.9277270275812901</v>
      </c>
      <c r="E3056">
        <v>231.18135407566999</v>
      </c>
      <c r="F3056">
        <v>0.80087280388247195</v>
      </c>
      <c r="G3056">
        <v>0.88510590271246403</v>
      </c>
      <c r="H3056" t="str">
        <f t="shared" si="47"/>
        <v>Q3</v>
      </c>
    </row>
    <row r="3057" spans="1:8">
      <c r="A3057">
        <v>609719</v>
      </c>
      <c r="B3057" t="s">
        <v>2672</v>
      </c>
      <c r="C3057">
        <v>187</v>
      </c>
      <c r="D3057">
        <v>1.23594666763961</v>
      </c>
      <c r="E3057">
        <v>231.12202684860699</v>
      </c>
      <c r="F3057">
        <v>0.95553214702230904</v>
      </c>
      <c r="G3057">
        <v>0.88506828185546105</v>
      </c>
      <c r="H3057" t="str">
        <f t="shared" si="47"/>
        <v>Q2</v>
      </c>
    </row>
    <row r="3058" spans="1:8">
      <c r="A3058">
        <v>773602</v>
      </c>
      <c r="B3058" t="s">
        <v>3079</v>
      </c>
      <c r="C3058">
        <v>70</v>
      </c>
      <c r="D3058">
        <v>3.3011621795594701</v>
      </c>
      <c r="E3058">
        <v>231.08135256916299</v>
      </c>
      <c r="F3058">
        <v>0.87555020503367098</v>
      </c>
      <c r="G3058">
        <v>0.88503066099845795</v>
      </c>
      <c r="H3058" t="str">
        <f t="shared" si="47"/>
        <v>Q4</v>
      </c>
    </row>
    <row r="3059" spans="1:8">
      <c r="A3059">
        <v>819082</v>
      </c>
      <c r="B3059" t="s">
        <v>1500</v>
      </c>
      <c r="C3059">
        <v>50</v>
      </c>
      <c r="D3059">
        <v>4.6184068471193296</v>
      </c>
      <c r="E3059">
        <v>230.92034235596699</v>
      </c>
      <c r="F3059">
        <v>0.83559685489635405</v>
      </c>
      <c r="G3059">
        <v>0.88499304014145397</v>
      </c>
      <c r="H3059" t="str">
        <f t="shared" si="47"/>
        <v>Q4</v>
      </c>
    </row>
    <row r="3060" spans="1:8">
      <c r="A3060">
        <v>717345</v>
      </c>
      <c r="B3060" t="s">
        <v>1599</v>
      </c>
      <c r="C3060">
        <v>57</v>
      </c>
      <c r="D3060">
        <v>4.0506393044141298</v>
      </c>
      <c r="E3060">
        <v>230.88644035160499</v>
      </c>
      <c r="F3060">
        <v>0.851849065121703</v>
      </c>
      <c r="G3060">
        <v>0.88495541928445098</v>
      </c>
      <c r="H3060" t="str">
        <f t="shared" si="47"/>
        <v>Q4</v>
      </c>
    </row>
    <row r="3061" spans="1:8">
      <c r="A3061">
        <v>758191</v>
      </c>
      <c r="B3061" t="s">
        <v>323</v>
      </c>
      <c r="C3061">
        <v>75</v>
      </c>
      <c r="D3061">
        <v>3.0784632194166401</v>
      </c>
      <c r="E3061">
        <v>230.88474145624801</v>
      </c>
      <c r="F3061">
        <v>0.88420300214438896</v>
      </c>
      <c r="G3061">
        <v>0.884917798427448</v>
      </c>
      <c r="H3061" t="str">
        <f t="shared" si="47"/>
        <v>Q4</v>
      </c>
    </row>
    <row r="3062" spans="1:8">
      <c r="A3062">
        <v>760857</v>
      </c>
      <c r="B3062" t="s">
        <v>4042</v>
      </c>
      <c r="C3062">
        <v>49</v>
      </c>
      <c r="D3062">
        <v>4.7042892409526598</v>
      </c>
      <c r="E3062">
        <v>230.51017280668</v>
      </c>
      <c r="F3062">
        <v>0.83258718633610496</v>
      </c>
      <c r="G3062">
        <v>0.88488017757044501</v>
      </c>
      <c r="H3062" t="str">
        <f t="shared" si="47"/>
        <v>Q4</v>
      </c>
    </row>
    <row r="3063" spans="1:8">
      <c r="A3063">
        <v>788248</v>
      </c>
      <c r="B3063" t="s">
        <v>3870</v>
      </c>
      <c r="C3063">
        <v>64</v>
      </c>
      <c r="D3063">
        <v>3.6012711818329999</v>
      </c>
      <c r="E3063">
        <v>230.48135563731199</v>
      </c>
      <c r="F3063">
        <v>0.86633309506790601</v>
      </c>
      <c r="G3063">
        <v>0.88484255671344203</v>
      </c>
      <c r="H3063" t="str">
        <f t="shared" si="47"/>
        <v>Q4</v>
      </c>
    </row>
    <row r="3064" spans="1:8">
      <c r="A3064">
        <v>564309</v>
      </c>
      <c r="B3064" t="s">
        <v>321</v>
      </c>
      <c r="C3064">
        <v>144</v>
      </c>
      <c r="D3064">
        <v>1.60018826104028</v>
      </c>
      <c r="E3064">
        <v>230.42710958980001</v>
      </c>
      <c r="F3064">
        <v>0.94048380422106004</v>
      </c>
      <c r="G3064">
        <v>0.88480493585643905</v>
      </c>
      <c r="H3064" t="str">
        <f t="shared" si="47"/>
        <v>Q4</v>
      </c>
    </row>
    <row r="3065" spans="1:8">
      <c r="A3065">
        <v>751281</v>
      </c>
      <c r="B3065" t="s">
        <v>497</v>
      </c>
      <c r="C3065">
        <v>95</v>
      </c>
      <c r="D3065">
        <v>2.42513827391361</v>
      </c>
      <c r="E3065">
        <v>230.388136021793</v>
      </c>
      <c r="F3065">
        <v>0.90760317520033096</v>
      </c>
      <c r="G3065">
        <v>0.88476731499943595</v>
      </c>
      <c r="H3065" t="str">
        <f t="shared" si="47"/>
        <v>Q4</v>
      </c>
    </row>
    <row r="3066" spans="1:8">
      <c r="A3066">
        <v>740824</v>
      </c>
      <c r="B3066" t="s">
        <v>5257</v>
      </c>
      <c r="C3066">
        <v>161</v>
      </c>
      <c r="D3066">
        <v>1.43009784590939</v>
      </c>
      <c r="E3066">
        <v>230.24575319141101</v>
      </c>
      <c r="F3066">
        <v>0.94680410819758498</v>
      </c>
      <c r="G3066">
        <v>0.88472969414243297</v>
      </c>
      <c r="H3066" t="str">
        <f t="shared" si="47"/>
        <v>Q4</v>
      </c>
    </row>
    <row r="3067" spans="1:8">
      <c r="A3067">
        <v>668364</v>
      </c>
      <c r="B3067" t="s">
        <v>3848</v>
      </c>
      <c r="C3067">
        <v>55</v>
      </c>
      <c r="D3067">
        <v>4.1853620992465501</v>
      </c>
      <c r="E3067">
        <v>230.19491545855999</v>
      </c>
      <c r="F3067">
        <v>0.84763552913735396</v>
      </c>
      <c r="G3067">
        <v>0.88469207328542898</v>
      </c>
      <c r="H3067" t="str">
        <f t="shared" si="47"/>
        <v>Q4</v>
      </c>
    </row>
    <row r="3068" spans="1:8">
      <c r="A3068">
        <v>780361</v>
      </c>
      <c r="B3068" t="s">
        <v>1346</v>
      </c>
      <c r="C3068">
        <v>81</v>
      </c>
      <c r="D3068">
        <v>2.8393805682383202</v>
      </c>
      <c r="E3068">
        <v>229.98982602730399</v>
      </c>
      <c r="F3068">
        <v>0.89293104096911302</v>
      </c>
      <c r="G3068">
        <v>0.884654452428426</v>
      </c>
      <c r="H3068" t="str">
        <f t="shared" si="47"/>
        <v>Q4</v>
      </c>
    </row>
    <row r="3069" spans="1:8">
      <c r="A3069">
        <v>746076</v>
      </c>
      <c r="B3069" t="s">
        <v>3841</v>
      </c>
      <c r="C3069">
        <v>57</v>
      </c>
      <c r="D3069">
        <v>4.0345524748166399</v>
      </c>
      <c r="E3069">
        <v>229.96949106454801</v>
      </c>
      <c r="F3069">
        <v>0.851849065121703</v>
      </c>
      <c r="G3069">
        <v>0.88461683157142301</v>
      </c>
      <c r="H3069" t="str">
        <f t="shared" si="47"/>
        <v>Q4</v>
      </c>
    </row>
    <row r="3070" spans="1:8">
      <c r="A3070">
        <v>695214</v>
      </c>
      <c r="B3070" t="s">
        <v>216</v>
      </c>
      <c r="C3070">
        <v>34</v>
      </c>
      <c r="D3070">
        <v>6.7620139130774701</v>
      </c>
      <c r="E3070">
        <v>229.90847304463401</v>
      </c>
      <c r="F3070">
        <v>0.77969226138971404</v>
      </c>
      <c r="G3070">
        <v>0.88457921071442003</v>
      </c>
      <c r="H3070" t="str">
        <f t="shared" si="47"/>
        <v>Q3</v>
      </c>
    </row>
    <row r="3071" spans="1:8">
      <c r="A3071">
        <v>735829</v>
      </c>
      <c r="B3071" t="s">
        <v>222</v>
      </c>
      <c r="C3071">
        <v>73</v>
      </c>
      <c r="D3071">
        <v>3.1491989269852598</v>
      </c>
      <c r="E3071">
        <v>229.891521669924</v>
      </c>
      <c r="F3071">
        <v>0.88111809187013301</v>
      </c>
      <c r="G3071">
        <v>0.88454158985741704</v>
      </c>
      <c r="H3071" t="str">
        <f t="shared" si="47"/>
        <v>Q4</v>
      </c>
    </row>
    <row r="3072" spans="1:8">
      <c r="A3072">
        <v>839674</v>
      </c>
      <c r="B3072" t="s">
        <v>3694</v>
      </c>
      <c r="C3072">
        <v>43</v>
      </c>
      <c r="D3072">
        <v>5.3434372424732803</v>
      </c>
      <c r="E3072">
        <v>229.76780142635101</v>
      </c>
      <c r="F3072">
        <v>0.81437869154659304</v>
      </c>
      <c r="G3072">
        <v>0.88450396900041395</v>
      </c>
      <c r="H3072" t="str">
        <f t="shared" si="47"/>
        <v>Q3</v>
      </c>
    </row>
    <row r="3073" spans="1:8">
      <c r="A3073">
        <v>747195</v>
      </c>
      <c r="B3073" t="s">
        <v>4253</v>
      </c>
      <c r="C3073">
        <v>149</v>
      </c>
      <c r="D3073">
        <v>1.54175855619395</v>
      </c>
      <c r="E3073">
        <v>229.722024872899</v>
      </c>
      <c r="F3073">
        <v>0.94266581392724103</v>
      </c>
      <c r="G3073">
        <v>0.88446634814341096</v>
      </c>
      <c r="H3073" t="str">
        <f t="shared" si="47"/>
        <v>Q4</v>
      </c>
    </row>
    <row r="3074" spans="1:8">
      <c r="A3074">
        <v>775210</v>
      </c>
      <c r="B3074" t="s">
        <v>5052</v>
      </c>
      <c r="C3074">
        <v>48</v>
      </c>
      <c r="D3074">
        <v>4.7854167370436098</v>
      </c>
      <c r="E3074">
        <v>229.70000337809299</v>
      </c>
      <c r="F3074">
        <v>0.82957751777585498</v>
      </c>
      <c r="G3074">
        <v>0.88442872728640798</v>
      </c>
      <c r="H3074" t="str">
        <f t="shared" si="47"/>
        <v>Q4</v>
      </c>
    </row>
    <row r="3075" spans="1:8">
      <c r="A3075">
        <v>708460</v>
      </c>
      <c r="B3075" t="s">
        <v>1180</v>
      </c>
      <c r="C3075">
        <v>79</v>
      </c>
      <c r="D3075">
        <v>2.9071228790886798</v>
      </c>
      <c r="E3075">
        <v>229.66270744800599</v>
      </c>
      <c r="F3075">
        <v>0.89022233926488803</v>
      </c>
      <c r="G3075">
        <v>0.88439110642940399</v>
      </c>
      <c r="H3075" t="str">
        <f t="shared" ref="H3075:H3138" si="48">IF(C3075&gt;$J$2,
   IF(D3075&gt;$J$3,"Q1","Q2"),
   IF(D3075&gt;$J$3,"Q3","Q4"))</f>
        <v>Q4</v>
      </c>
    </row>
    <row r="3076" spans="1:8">
      <c r="A3076">
        <v>713986</v>
      </c>
      <c r="B3076" t="s">
        <v>3021</v>
      </c>
      <c r="C3076">
        <v>23</v>
      </c>
      <c r="D3076">
        <v>9.9837142812169102</v>
      </c>
      <c r="E3076">
        <v>229.625428467989</v>
      </c>
      <c r="F3076">
        <v>0.71547345848538402</v>
      </c>
      <c r="G3076">
        <v>0.88435348557240101</v>
      </c>
      <c r="H3076" t="str">
        <f t="shared" si="48"/>
        <v>Q3</v>
      </c>
    </row>
    <row r="3077" spans="1:8">
      <c r="A3077">
        <v>815330</v>
      </c>
      <c r="B3077" t="s">
        <v>2320</v>
      </c>
      <c r="C3077">
        <v>10</v>
      </c>
      <c r="D3077">
        <v>22.913559377193501</v>
      </c>
      <c r="E3077">
        <v>229.13559377193499</v>
      </c>
      <c r="F3077">
        <v>0.54821112824950202</v>
      </c>
      <c r="G3077">
        <v>0.88431586471539803</v>
      </c>
      <c r="H3077" t="str">
        <f t="shared" si="48"/>
        <v>Q3</v>
      </c>
    </row>
    <row r="3078" spans="1:8">
      <c r="A3078">
        <v>640258</v>
      </c>
      <c r="B3078" t="s">
        <v>3928</v>
      </c>
      <c r="C3078">
        <v>137</v>
      </c>
      <c r="D3078">
        <v>1.67252252109512</v>
      </c>
      <c r="E3078">
        <v>229.135585390031</v>
      </c>
      <c r="F3078">
        <v>0.93687220194875998</v>
      </c>
      <c r="G3078">
        <v>0.88427824385839504</v>
      </c>
      <c r="H3078" t="str">
        <f t="shared" si="48"/>
        <v>Q4</v>
      </c>
    </row>
    <row r="3079" spans="1:8">
      <c r="A3079">
        <v>810592</v>
      </c>
      <c r="B3079" t="s">
        <v>812</v>
      </c>
      <c r="C3079">
        <v>49</v>
      </c>
      <c r="D3079">
        <v>4.6757178229032696</v>
      </c>
      <c r="E3079">
        <v>229.11017332226001</v>
      </c>
      <c r="F3079">
        <v>0.83258718633610496</v>
      </c>
      <c r="G3079">
        <v>0.88424062300139195</v>
      </c>
      <c r="H3079" t="str">
        <f t="shared" si="48"/>
        <v>Q4</v>
      </c>
    </row>
    <row r="3080" spans="1:8">
      <c r="A3080">
        <v>637262</v>
      </c>
      <c r="B3080" t="s">
        <v>4424</v>
      </c>
      <c r="C3080">
        <v>59</v>
      </c>
      <c r="D3080">
        <v>3.8829072331220398</v>
      </c>
      <c r="E3080">
        <v>229.0915267542</v>
      </c>
      <c r="F3080">
        <v>0.85617546367706299</v>
      </c>
      <c r="G3080">
        <v>0.88420300214438896</v>
      </c>
      <c r="H3080" t="str">
        <f t="shared" si="48"/>
        <v>Q4</v>
      </c>
    </row>
    <row r="3081" spans="1:8">
      <c r="A3081">
        <v>570319</v>
      </c>
      <c r="B3081" t="s">
        <v>2799</v>
      </c>
      <c r="C3081">
        <v>108</v>
      </c>
      <c r="D3081">
        <v>2.12046444864461</v>
      </c>
      <c r="E3081">
        <v>229.010160453618</v>
      </c>
      <c r="F3081">
        <v>0.91866370715924905</v>
      </c>
      <c r="G3081">
        <v>0.88416538128738598</v>
      </c>
      <c r="H3081" t="str">
        <f t="shared" si="48"/>
        <v>Q4</v>
      </c>
    </row>
    <row r="3082" spans="1:8">
      <c r="A3082">
        <v>778745</v>
      </c>
      <c r="B3082" t="s">
        <v>1748</v>
      </c>
      <c r="C3082">
        <v>72</v>
      </c>
      <c r="D3082">
        <v>3.1795668053544199</v>
      </c>
      <c r="E3082">
        <v>228.928809985518</v>
      </c>
      <c r="F3082">
        <v>0.87957563673300498</v>
      </c>
      <c r="G3082">
        <v>0.88412776043038299</v>
      </c>
      <c r="H3082" t="str">
        <f t="shared" si="48"/>
        <v>Q4</v>
      </c>
    </row>
    <row r="3083" spans="1:8">
      <c r="A3083">
        <v>776163</v>
      </c>
      <c r="B3083" t="s">
        <v>1357</v>
      </c>
      <c r="C3083">
        <v>70</v>
      </c>
      <c r="D3083">
        <v>3.2674575663570802</v>
      </c>
      <c r="E3083">
        <v>228.72202964499601</v>
      </c>
      <c r="F3083">
        <v>0.87555020503367098</v>
      </c>
      <c r="G3083">
        <v>0.88409013957337901</v>
      </c>
      <c r="H3083" t="str">
        <f t="shared" si="48"/>
        <v>Q4</v>
      </c>
    </row>
    <row r="3084" spans="1:8">
      <c r="A3084">
        <v>758129</v>
      </c>
      <c r="B3084" t="s">
        <v>3427</v>
      </c>
      <c r="C3084">
        <v>77</v>
      </c>
      <c r="D3084">
        <v>2.9693594492681599</v>
      </c>
      <c r="E3084">
        <v>228.64067759364801</v>
      </c>
      <c r="F3084">
        <v>0.88740077498965397</v>
      </c>
      <c r="G3084">
        <v>0.88405251871637602</v>
      </c>
      <c r="H3084" t="str">
        <f t="shared" si="48"/>
        <v>Q4</v>
      </c>
    </row>
    <row r="3085" spans="1:8">
      <c r="A3085">
        <v>784397</v>
      </c>
      <c r="B3085" t="s">
        <v>2299</v>
      </c>
      <c r="C3085">
        <v>70</v>
      </c>
      <c r="D3085">
        <v>3.26382561187659</v>
      </c>
      <c r="E3085">
        <v>228.46779283136101</v>
      </c>
      <c r="F3085">
        <v>0.87555020503367098</v>
      </c>
      <c r="G3085">
        <v>0.88401489785937304</v>
      </c>
      <c r="H3085" t="str">
        <f t="shared" si="48"/>
        <v>Q4</v>
      </c>
    </row>
    <row r="3086" spans="1:8">
      <c r="A3086">
        <v>669429</v>
      </c>
      <c r="B3086" t="s">
        <v>3708</v>
      </c>
      <c r="C3086">
        <v>26</v>
      </c>
      <c r="D3086">
        <v>8.7835723892427406</v>
      </c>
      <c r="E3086">
        <v>228.372882120311</v>
      </c>
      <c r="F3086">
        <v>0.73706783040517698</v>
      </c>
      <c r="G3086">
        <v>0.88397727700237005</v>
      </c>
      <c r="H3086" t="str">
        <f t="shared" si="48"/>
        <v>Q3</v>
      </c>
    </row>
    <row r="3087" spans="1:8">
      <c r="A3087">
        <v>356289</v>
      </c>
      <c r="B3087" t="s">
        <v>2351</v>
      </c>
      <c r="C3087">
        <v>141</v>
      </c>
      <c r="D3087">
        <v>1.6195215443347399</v>
      </c>
      <c r="E3087">
        <v>228.35253775119801</v>
      </c>
      <c r="F3087">
        <v>0.939242315939957</v>
      </c>
      <c r="G3087">
        <v>0.88393965614536696</v>
      </c>
      <c r="H3087" t="str">
        <f t="shared" si="48"/>
        <v>Q4</v>
      </c>
    </row>
    <row r="3088" spans="1:8">
      <c r="A3088">
        <v>750072</v>
      </c>
      <c r="B3088" t="s">
        <v>1534</v>
      </c>
      <c r="C3088">
        <v>49</v>
      </c>
      <c r="D3088">
        <v>4.6596680178630097</v>
      </c>
      <c r="E3088">
        <v>228.32373287528799</v>
      </c>
      <c r="F3088">
        <v>0.83258718633610496</v>
      </c>
      <c r="G3088">
        <v>0.88390203528836397</v>
      </c>
      <c r="H3088" t="str">
        <f t="shared" si="48"/>
        <v>Q4</v>
      </c>
    </row>
    <row r="3089" spans="1:8">
      <c r="A3089">
        <v>545303</v>
      </c>
      <c r="B3089" t="s">
        <v>3719</v>
      </c>
      <c r="C3089">
        <v>79</v>
      </c>
      <c r="D3089">
        <v>2.8894871968445899</v>
      </c>
      <c r="E3089">
        <v>228.269488550723</v>
      </c>
      <c r="F3089">
        <v>0.89022233926488803</v>
      </c>
      <c r="G3089">
        <v>0.88386441443136099</v>
      </c>
      <c r="H3089" t="str">
        <f t="shared" si="48"/>
        <v>Q4</v>
      </c>
    </row>
    <row r="3090" spans="1:8">
      <c r="A3090">
        <v>709991</v>
      </c>
      <c r="B3090" t="s">
        <v>4442</v>
      </c>
      <c r="C3090">
        <v>136</v>
      </c>
      <c r="D3090">
        <v>1.67833998669213</v>
      </c>
      <c r="E3090">
        <v>228.254238190129</v>
      </c>
      <c r="F3090">
        <v>0.93630788909371399</v>
      </c>
      <c r="G3090">
        <v>0.88382679357435801</v>
      </c>
      <c r="H3090" t="str">
        <f t="shared" si="48"/>
        <v>Q4</v>
      </c>
    </row>
    <row r="3091" spans="1:8">
      <c r="A3091">
        <v>738236</v>
      </c>
      <c r="B3091" t="s">
        <v>2127</v>
      </c>
      <c r="C3091">
        <v>59</v>
      </c>
      <c r="D3091">
        <v>3.86819879256063</v>
      </c>
      <c r="E3091">
        <v>228.22372876107701</v>
      </c>
      <c r="F3091">
        <v>0.85617546367706299</v>
      </c>
      <c r="G3091">
        <v>0.88378917271735402</v>
      </c>
      <c r="H3091" t="str">
        <f t="shared" si="48"/>
        <v>Q4</v>
      </c>
    </row>
    <row r="3092" spans="1:8">
      <c r="A3092">
        <v>731743</v>
      </c>
      <c r="B3092" t="s">
        <v>3489</v>
      </c>
      <c r="C3092">
        <v>284</v>
      </c>
      <c r="D3092">
        <v>0.80315110939358103</v>
      </c>
      <c r="E3092">
        <v>228.09491506777701</v>
      </c>
      <c r="F3092">
        <v>0.97389112523983301</v>
      </c>
      <c r="G3092">
        <v>0.88375155186035104</v>
      </c>
      <c r="H3092" t="str">
        <f t="shared" si="48"/>
        <v>Q2</v>
      </c>
    </row>
    <row r="3093" spans="1:8">
      <c r="A3093">
        <v>551045</v>
      </c>
      <c r="B3093" t="s">
        <v>3948</v>
      </c>
      <c r="C3093">
        <v>73</v>
      </c>
      <c r="D3093">
        <v>3.1229393952207198</v>
      </c>
      <c r="E3093">
        <v>227.974575851113</v>
      </c>
      <c r="F3093">
        <v>0.88111809187013301</v>
      </c>
      <c r="G3093">
        <v>0.88371393100334805</v>
      </c>
      <c r="H3093" t="str">
        <f t="shared" si="48"/>
        <v>Q4</v>
      </c>
    </row>
    <row r="3094" spans="1:8">
      <c r="A3094">
        <v>816586</v>
      </c>
      <c r="B3094" t="s">
        <v>2090</v>
      </c>
      <c r="C3094">
        <v>84</v>
      </c>
      <c r="D3094">
        <v>2.7135189666989299</v>
      </c>
      <c r="E3094">
        <v>227.93559320271001</v>
      </c>
      <c r="F3094">
        <v>0.89639215981340103</v>
      </c>
      <c r="G3094">
        <v>0.88367631014634496</v>
      </c>
      <c r="H3094" t="str">
        <f t="shared" si="48"/>
        <v>Q4</v>
      </c>
    </row>
    <row r="3095" spans="1:8">
      <c r="A3095">
        <v>765433</v>
      </c>
      <c r="B3095" t="s">
        <v>4637</v>
      </c>
      <c r="C3095">
        <v>69</v>
      </c>
      <c r="D3095">
        <v>3.30314412982999</v>
      </c>
      <c r="E3095">
        <v>227.91694495826999</v>
      </c>
      <c r="F3095">
        <v>0.87393250818253598</v>
      </c>
      <c r="G3095">
        <v>0.88363868928934197</v>
      </c>
      <c r="H3095" t="str">
        <f t="shared" si="48"/>
        <v>Q4</v>
      </c>
    </row>
    <row r="3096" spans="1:8">
      <c r="A3096">
        <v>564312</v>
      </c>
      <c r="B3096" t="s">
        <v>1014</v>
      </c>
      <c r="C3096">
        <v>97</v>
      </c>
      <c r="D3096">
        <v>2.3488729702520001</v>
      </c>
      <c r="E3096">
        <v>227.84067811444399</v>
      </c>
      <c r="F3096">
        <v>0.909108009480456</v>
      </c>
      <c r="G3096">
        <v>0.88360106843233899</v>
      </c>
      <c r="H3096" t="str">
        <f t="shared" si="48"/>
        <v>Q4</v>
      </c>
    </row>
    <row r="3097" spans="1:8">
      <c r="A3097">
        <v>732658</v>
      </c>
      <c r="B3097" t="s">
        <v>1427</v>
      </c>
      <c r="C3097">
        <v>59</v>
      </c>
      <c r="D3097">
        <v>3.8598391685192901</v>
      </c>
      <c r="E3097">
        <v>227.73051094263801</v>
      </c>
      <c r="F3097">
        <v>0.85617546367706299</v>
      </c>
      <c r="G3097">
        <v>0.883563447575336</v>
      </c>
      <c r="H3097" t="str">
        <f t="shared" si="48"/>
        <v>Q4</v>
      </c>
    </row>
    <row r="3098" spans="1:8">
      <c r="A3098">
        <v>749974</v>
      </c>
      <c r="B3098" t="s">
        <v>575</v>
      </c>
      <c r="C3098">
        <v>118</v>
      </c>
      <c r="D3098">
        <v>1.9276212979802601</v>
      </c>
      <c r="E3098">
        <v>227.45931316167099</v>
      </c>
      <c r="F3098">
        <v>0.92592453256085205</v>
      </c>
      <c r="G3098">
        <v>0.88352582671833302</v>
      </c>
      <c r="H3098" t="str">
        <f t="shared" si="48"/>
        <v>Q4</v>
      </c>
    </row>
    <row r="3099" spans="1:8">
      <c r="A3099">
        <v>616920</v>
      </c>
      <c r="B3099" t="s">
        <v>2775</v>
      </c>
      <c r="C3099">
        <v>80</v>
      </c>
      <c r="D3099">
        <v>2.8419279580703001</v>
      </c>
      <c r="E3099">
        <v>227.35423664562401</v>
      </c>
      <c r="F3099">
        <v>0.89150144840299494</v>
      </c>
      <c r="G3099">
        <v>0.88348820586132903</v>
      </c>
      <c r="H3099" t="str">
        <f t="shared" si="48"/>
        <v>Q4</v>
      </c>
    </row>
    <row r="3100" spans="1:8">
      <c r="A3100">
        <v>662696</v>
      </c>
      <c r="B3100" t="s">
        <v>4686</v>
      </c>
      <c r="C3100">
        <v>55</v>
      </c>
      <c r="D3100">
        <v>4.1312788325277197</v>
      </c>
      <c r="E3100">
        <v>227.220335789025</v>
      </c>
      <c r="F3100">
        <v>0.84763552913735396</v>
      </c>
      <c r="G3100">
        <v>0.88345058500432605</v>
      </c>
      <c r="H3100" t="str">
        <f t="shared" si="48"/>
        <v>Q4</v>
      </c>
    </row>
    <row r="3101" spans="1:8">
      <c r="A3101">
        <v>810632</v>
      </c>
      <c r="B3101" t="s">
        <v>1170</v>
      </c>
      <c r="C3101">
        <v>41</v>
      </c>
      <c r="D3101">
        <v>5.5377843449028497</v>
      </c>
      <c r="E3101">
        <v>227.04915814101699</v>
      </c>
      <c r="F3101">
        <v>0.80787028328505295</v>
      </c>
      <c r="G3101">
        <v>0.88341296414732295</v>
      </c>
      <c r="H3101" t="str">
        <f t="shared" si="48"/>
        <v>Q3</v>
      </c>
    </row>
    <row r="3102" spans="1:8">
      <c r="A3102">
        <v>806696</v>
      </c>
      <c r="B3102" t="s">
        <v>4108</v>
      </c>
      <c r="C3102">
        <v>28</v>
      </c>
      <c r="D3102">
        <v>8.1078088044055896</v>
      </c>
      <c r="E3102">
        <v>227.01864652335601</v>
      </c>
      <c r="F3102">
        <v>0.74974605921522897</v>
      </c>
      <c r="G3102">
        <v>0.88337534329031997</v>
      </c>
      <c r="H3102" t="str">
        <f t="shared" si="48"/>
        <v>Q3</v>
      </c>
    </row>
    <row r="3103" spans="1:8">
      <c r="A3103">
        <v>581298</v>
      </c>
      <c r="B3103" t="s">
        <v>3677</v>
      </c>
      <c r="C3103">
        <v>205</v>
      </c>
      <c r="D3103">
        <v>1.1073501218428301</v>
      </c>
      <c r="E3103">
        <v>227.00677497778099</v>
      </c>
      <c r="F3103">
        <v>0.96038523757571204</v>
      </c>
      <c r="G3103">
        <v>0.88333772243331699</v>
      </c>
      <c r="H3103" t="str">
        <f t="shared" si="48"/>
        <v>Q2</v>
      </c>
    </row>
    <row r="3104" spans="1:8">
      <c r="A3104">
        <v>647338</v>
      </c>
      <c r="B3104" t="s">
        <v>2592</v>
      </c>
      <c r="C3104">
        <v>39</v>
      </c>
      <c r="D3104">
        <v>5.8199043314044303</v>
      </c>
      <c r="E3104">
        <v>226.976268924773</v>
      </c>
      <c r="F3104">
        <v>0.80087280388247195</v>
      </c>
      <c r="G3104">
        <v>0.883300101576314</v>
      </c>
      <c r="H3104" t="str">
        <f t="shared" si="48"/>
        <v>Q3</v>
      </c>
    </row>
    <row r="3105" spans="1:8">
      <c r="A3105">
        <v>776473</v>
      </c>
      <c r="B3105" t="s">
        <v>5122</v>
      </c>
      <c r="C3105">
        <v>41</v>
      </c>
      <c r="D3105">
        <v>5.5354280033852996</v>
      </c>
      <c r="E3105">
        <v>226.952548138797</v>
      </c>
      <c r="F3105">
        <v>0.80787028328505295</v>
      </c>
      <c r="G3105">
        <v>0.88326248071931102</v>
      </c>
      <c r="H3105" t="str">
        <f t="shared" si="48"/>
        <v>Q3</v>
      </c>
    </row>
    <row r="3106" spans="1:8">
      <c r="A3106">
        <v>729936</v>
      </c>
      <c r="B3106" t="s">
        <v>5039</v>
      </c>
      <c r="C3106">
        <v>52</v>
      </c>
      <c r="D3106">
        <v>4.36339639843656</v>
      </c>
      <c r="E3106">
        <v>226.89661271870099</v>
      </c>
      <c r="F3106">
        <v>0.84003611602272299</v>
      </c>
      <c r="G3106">
        <v>0.88322485986230803</v>
      </c>
      <c r="H3106" t="str">
        <f t="shared" si="48"/>
        <v>Q4</v>
      </c>
    </row>
    <row r="3107" spans="1:8">
      <c r="A3107">
        <v>738417</v>
      </c>
      <c r="B3107" t="s">
        <v>3710</v>
      </c>
      <c r="C3107">
        <v>30</v>
      </c>
      <c r="D3107">
        <v>7.5594915946324699</v>
      </c>
      <c r="E3107">
        <v>226.784747838974</v>
      </c>
      <c r="F3107">
        <v>0.760430382604116</v>
      </c>
      <c r="G3107">
        <v>0.88318723900530405</v>
      </c>
      <c r="H3107" t="str">
        <f t="shared" si="48"/>
        <v>Q3</v>
      </c>
    </row>
    <row r="3108" spans="1:8">
      <c r="A3108">
        <v>690511</v>
      </c>
      <c r="B3108" t="e" cm="1">
        <f t="array" ref="B3108">+ Shake it in Balconette</f>
        <v>#NAME?</v>
      </c>
      <c r="C3108">
        <v>98</v>
      </c>
      <c r="D3108">
        <v>2.3141300666849198</v>
      </c>
      <c r="E3108">
        <v>226.784746535122</v>
      </c>
      <c r="F3108">
        <v>0.90997328919152798</v>
      </c>
      <c r="G3108">
        <v>0.88314961814830095</v>
      </c>
      <c r="H3108" t="str">
        <f t="shared" si="48"/>
        <v>Q4</v>
      </c>
    </row>
    <row r="3109" spans="1:8">
      <c r="A3109">
        <v>452898</v>
      </c>
      <c r="B3109" t="s">
        <v>3083</v>
      </c>
      <c r="C3109">
        <v>111</v>
      </c>
      <c r="D3109">
        <v>2.04296838995573</v>
      </c>
      <c r="E3109">
        <v>226.76949128508599</v>
      </c>
      <c r="F3109">
        <v>0.92084571686543004</v>
      </c>
      <c r="G3109">
        <v>0.88311199729129797</v>
      </c>
      <c r="H3109" t="str">
        <f t="shared" si="48"/>
        <v>Q4</v>
      </c>
    </row>
    <row r="3110" spans="1:8">
      <c r="A3110">
        <v>795937</v>
      </c>
      <c r="B3110" t="s">
        <v>4242</v>
      </c>
      <c r="C3110">
        <v>36</v>
      </c>
      <c r="D3110">
        <v>6.2989170766539004</v>
      </c>
      <c r="E3110">
        <v>226.76101475954101</v>
      </c>
      <c r="F3110">
        <v>0.78890937135547901</v>
      </c>
      <c r="G3110">
        <v>0.88307437643429498</v>
      </c>
      <c r="H3110" t="str">
        <f t="shared" si="48"/>
        <v>Q3</v>
      </c>
    </row>
    <row r="3111" spans="1:8">
      <c r="A3111">
        <v>628642</v>
      </c>
      <c r="B3111" t="s">
        <v>608</v>
      </c>
      <c r="C3111">
        <v>48</v>
      </c>
      <c r="D3111">
        <v>4.7231992483527101</v>
      </c>
      <c r="E3111">
        <v>226.71356392093</v>
      </c>
      <c r="F3111">
        <v>0.82957751777585498</v>
      </c>
      <c r="G3111">
        <v>0.883036755577292</v>
      </c>
      <c r="H3111" t="str">
        <f t="shared" si="48"/>
        <v>Q4</v>
      </c>
    </row>
    <row r="3112" spans="1:8">
      <c r="A3112">
        <v>742084</v>
      </c>
      <c r="B3112" t="s">
        <v>170</v>
      </c>
      <c r="C3112">
        <v>117</v>
      </c>
      <c r="D3112">
        <v>1.93741849711181</v>
      </c>
      <c r="E3112">
        <v>226.677964162081</v>
      </c>
      <c r="F3112">
        <v>0.925247357134796</v>
      </c>
      <c r="G3112">
        <v>0.88299913472028901</v>
      </c>
      <c r="H3112" t="str">
        <f t="shared" si="48"/>
        <v>Q4</v>
      </c>
    </row>
    <row r="3113" spans="1:8">
      <c r="A3113">
        <v>806243</v>
      </c>
      <c r="B3113" t="s">
        <v>573</v>
      </c>
      <c r="C3113">
        <v>83</v>
      </c>
      <c r="D3113">
        <v>2.7300591911582002</v>
      </c>
      <c r="E3113">
        <v>226.59491286612999</v>
      </c>
      <c r="F3113">
        <v>0.89530115496031004</v>
      </c>
      <c r="G3113">
        <v>0.88296151386328603</v>
      </c>
      <c r="H3113" t="str">
        <f t="shared" si="48"/>
        <v>Q4</v>
      </c>
    </row>
    <row r="3114" spans="1:8">
      <c r="A3114">
        <v>755474</v>
      </c>
      <c r="B3114" t="s">
        <v>4392</v>
      </c>
      <c r="C3114">
        <v>60</v>
      </c>
      <c r="D3114">
        <v>3.7758192761490701</v>
      </c>
      <c r="E3114">
        <v>226.549156568944</v>
      </c>
      <c r="F3114">
        <v>0.85805650652721899</v>
      </c>
      <c r="G3114">
        <v>0.88292389300628304</v>
      </c>
      <c r="H3114" t="str">
        <f t="shared" si="48"/>
        <v>Q4</v>
      </c>
    </row>
    <row r="3115" spans="1:8">
      <c r="A3115">
        <v>760074</v>
      </c>
      <c r="B3115" t="s">
        <v>1682</v>
      </c>
      <c r="C3115">
        <v>74</v>
      </c>
      <c r="D3115">
        <v>3.0609252950730399</v>
      </c>
      <c r="E3115">
        <v>226.508471835405</v>
      </c>
      <c r="F3115">
        <v>0.88307437643429498</v>
      </c>
      <c r="G3115">
        <v>0.88288627214927995</v>
      </c>
      <c r="H3115" t="str">
        <f t="shared" si="48"/>
        <v>Q4</v>
      </c>
    </row>
    <row r="3116" spans="1:8">
      <c r="A3116">
        <v>773461</v>
      </c>
      <c r="B3116" t="s">
        <v>4183</v>
      </c>
      <c r="C3116">
        <v>92</v>
      </c>
      <c r="D3116">
        <v>2.4617907206487399</v>
      </c>
      <c r="E3116">
        <v>226.48474629968399</v>
      </c>
      <c r="F3116">
        <v>0.90429253978405599</v>
      </c>
      <c r="G3116">
        <v>0.88284865129227597</v>
      </c>
      <c r="H3116" t="str">
        <f t="shared" si="48"/>
        <v>Q4</v>
      </c>
    </row>
    <row r="3117" spans="1:8">
      <c r="A3117">
        <v>634249</v>
      </c>
      <c r="B3117" t="s">
        <v>2078</v>
      </c>
      <c r="C3117">
        <v>72</v>
      </c>
      <c r="D3117">
        <v>3.1452918567487802</v>
      </c>
      <c r="E3117">
        <v>226.46101368591201</v>
      </c>
      <c r="F3117">
        <v>0.87957563673300498</v>
      </c>
      <c r="G3117">
        <v>0.88281103043527298</v>
      </c>
      <c r="H3117" t="str">
        <f t="shared" si="48"/>
        <v>Q4</v>
      </c>
    </row>
    <row r="3118" spans="1:8">
      <c r="A3118">
        <v>751542</v>
      </c>
      <c r="B3118" t="s">
        <v>451</v>
      </c>
      <c r="C3118">
        <v>150</v>
      </c>
      <c r="D3118">
        <v>1.5092315844570601</v>
      </c>
      <c r="E3118">
        <v>226.38473766855901</v>
      </c>
      <c r="F3118">
        <v>0.94292915992626303</v>
      </c>
      <c r="G3118">
        <v>0.88277340957827</v>
      </c>
      <c r="H3118" t="str">
        <f t="shared" si="48"/>
        <v>Q4</v>
      </c>
    </row>
    <row r="3119" spans="1:8">
      <c r="A3119">
        <v>782502</v>
      </c>
      <c r="B3119" t="s">
        <v>5251</v>
      </c>
      <c r="C3119">
        <v>83</v>
      </c>
      <c r="D3119">
        <v>2.7244843318160799</v>
      </c>
      <c r="E3119">
        <v>226.13219954073401</v>
      </c>
      <c r="F3119">
        <v>0.89530115496031004</v>
      </c>
      <c r="G3119">
        <v>0.88273578872126701</v>
      </c>
      <c r="H3119" t="str">
        <f t="shared" si="48"/>
        <v>Q4</v>
      </c>
    </row>
    <row r="3120" spans="1:8">
      <c r="A3120">
        <v>724822</v>
      </c>
      <c r="B3120" t="s">
        <v>3774</v>
      </c>
      <c r="C3120">
        <v>54</v>
      </c>
      <c r="D3120">
        <v>4.1845574802546599</v>
      </c>
      <c r="E3120">
        <v>225.96610393375201</v>
      </c>
      <c r="F3120">
        <v>0.84515255257514799</v>
      </c>
      <c r="G3120">
        <v>0.88269816786426403</v>
      </c>
      <c r="H3120" t="str">
        <f t="shared" si="48"/>
        <v>Q4</v>
      </c>
    </row>
    <row r="3121" spans="1:8">
      <c r="A3121">
        <v>782059</v>
      </c>
      <c r="B3121" t="s">
        <v>1892</v>
      </c>
      <c r="C3121">
        <v>31</v>
      </c>
      <c r="D3121">
        <v>7.28447218575785</v>
      </c>
      <c r="E3121">
        <v>225.818637758493</v>
      </c>
      <c r="F3121">
        <v>0.766073511154584</v>
      </c>
      <c r="G3121">
        <v>0.88266054700726104</v>
      </c>
      <c r="H3121" t="str">
        <f t="shared" si="48"/>
        <v>Q3</v>
      </c>
    </row>
    <row r="3122" spans="1:8">
      <c r="A3122">
        <v>782890</v>
      </c>
      <c r="B3122" t="s">
        <v>2969</v>
      </c>
      <c r="C3122">
        <v>73</v>
      </c>
      <c r="D3122">
        <v>3.0915253884988299</v>
      </c>
      <c r="E3122">
        <v>225.68135336041499</v>
      </c>
      <c r="F3122">
        <v>0.88111809187013301</v>
      </c>
      <c r="G3122">
        <v>0.88262292615025795</v>
      </c>
      <c r="H3122" t="str">
        <f t="shared" si="48"/>
        <v>Q4</v>
      </c>
    </row>
    <row r="3123" spans="1:8">
      <c r="A3123">
        <v>750409</v>
      </c>
      <c r="B3123" t="s">
        <v>3397</v>
      </c>
      <c r="C3123">
        <v>95</v>
      </c>
      <c r="D3123">
        <v>2.3754326538427901</v>
      </c>
      <c r="E3123">
        <v>225.666102115065</v>
      </c>
      <c r="F3123">
        <v>0.90760317520033096</v>
      </c>
      <c r="G3123">
        <v>0.88258530529325496</v>
      </c>
      <c r="H3123" t="str">
        <f t="shared" si="48"/>
        <v>Q4</v>
      </c>
    </row>
    <row r="3124" spans="1:8">
      <c r="A3124">
        <v>726537</v>
      </c>
      <c r="B3124" t="s">
        <v>764</v>
      </c>
      <c r="C3124">
        <v>34</v>
      </c>
      <c r="D3124">
        <v>6.63673970848322</v>
      </c>
      <c r="E3124">
        <v>225.649150088429</v>
      </c>
      <c r="F3124">
        <v>0.77969226138971404</v>
      </c>
      <c r="G3124">
        <v>0.88254768443625098</v>
      </c>
      <c r="H3124" t="str">
        <f t="shared" si="48"/>
        <v>Q3</v>
      </c>
    </row>
    <row r="3125" spans="1:8">
      <c r="A3125">
        <v>622956</v>
      </c>
      <c r="B3125" t="s">
        <v>711</v>
      </c>
      <c r="C3125">
        <v>77</v>
      </c>
      <c r="D3125">
        <v>2.9300022253452198</v>
      </c>
      <c r="E3125">
        <v>225.61017135158201</v>
      </c>
      <c r="F3125">
        <v>0.88740077498965397</v>
      </c>
      <c r="G3125">
        <v>0.88251006357924799</v>
      </c>
      <c r="H3125" t="str">
        <f t="shared" si="48"/>
        <v>Q4</v>
      </c>
    </row>
    <row r="3126" spans="1:8">
      <c r="A3126">
        <v>702782</v>
      </c>
      <c r="B3126" t="s">
        <v>3869</v>
      </c>
      <c r="C3126">
        <v>43</v>
      </c>
      <c r="D3126">
        <v>5.2438312361753301</v>
      </c>
      <c r="E3126">
        <v>225.48474315553901</v>
      </c>
      <c r="F3126">
        <v>0.81437869154659304</v>
      </c>
      <c r="G3126">
        <v>0.88247244272224501</v>
      </c>
      <c r="H3126" t="str">
        <f t="shared" si="48"/>
        <v>Q3</v>
      </c>
    </row>
    <row r="3127" spans="1:8">
      <c r="A3127">
        <v>835045</v>
      </c>
      <c r="B3127" t="s">
        <v>3251</v>
      </c>
      <c r="C3127">
        <v>35</v>
      </c>
      <c r="D3127">
        <v>6.4400483667850503</v>
      </c>
      <c r="E3127">
        <v>225.40169283747699</v>
      </c>
      <c r="F3127">
        <v>0.78420676423008895</v>
      </c>
      <c r="G3127">
        <v>0.88243482186524203</v>
      </c>
      <c r="H3127" t="str">
        <f t="shared" si="48"/>
        <v>Q3</v>
      </c>
    </row>
    <row r="3128" spans="1:8">
      <c r="A3128">
        <v>812241</v>
      </c>
      <c r="B3128" t="s">
        <v>1455</v>
      </c>
      <c r="C3128">
        <v>72</v>
      </c>
      <c r="D3128">
        <v>3.1303671809534199</v>
      </c>
      <c r="E3128">
        <v>225.38643702864599</v>
      </c>
      <c r="F3128">
        <v>0.87957563673300498</v>
      </c>
      <c r="G3128">
        <v>0.88239720100823904</v>
      </c>
      <c r="H3128" t="str">
        <f t="shared" si="48"/>
        <v>Q4</v>
      </c>
    </row>
    <row r="3129" spans="1:8">
      <c r="A3129">
        <v>633109</v>
      </c>
      <c r="B3129" t="s">
        <v>3825</v>
      </c>
      <c r="C3129">
        <v>120</v>
      </c>
      <c r="D3129">
        <v>1.8769915328205899</v>
      </c>
      <c r="E3129">
        <v>225.23898393847</v>
      </c>
      <c r="F3129">
        <v>0.92731650426996703</v>
      </c>
      <c r="G3129">
        <v>0.88235958015123594</v>
      </c>
      <c r="H3129" t="str">
        <f t="shared" si="48"/>
        <v>Q4</v>
      </c>
    </row>
    <row r="3130" spans="1:8">
      <c r="A3130">
        <v>707100</v>
      </c>
      <c r="B3130" t="s">
        <v>2454</v>
      </c>
      <c r="C3130">
        <v>29</v>
      </c>
      <c r="D3130">
        <v>7.7613092830468897</v>
      </c>
      <c r="E3130">
        <v>225.07796920836</v>
      </c>
      <c r="F3130">
        <v>0.75501297919566601</v>
      </c>
      <c r="G3130">
        <v>0.88232195929423296</v>
      </c>
      <c r="H3130" t="str">
        <f t="shared" si="48"/>
        <v>Q3</v>
      </c>
    </row>
    <row r="3131" spans="1:8">
      <c r="A3131">
        <v>736066</v>
      </c>
      <c r="B3131" t="s">
        <v>1135</v>
      </c>
      <c r="C3131">
        <v>178</v>
      </c>
      <c r="D3131">
        <v>1.26447341917606</v>
      </c>
      <c r="E3131">
        <v>225.07626861333799</v>
      </c>
      <c r="F3131">
        <v>0.95274820360407797</v>
      </c>
      <c r="G3131">
        <v>0.88228433843722998</v>
      </c>
      <c r="H3131" t="str">
        <f t="shared" si="48"/>
        <v>Q2</v>
      </c>
    </row>
    <row r="3132" spans="1:8">
      <c r="A3132">
        <v>756428</v>
      </c>
      <c r="B3132" t="s">
        <v>5032</v>
      </c>
      <c r="C3132">
        <v>145</v>
      </c>
      <c r="D3132">
        <v>1.5522150155799099</v>
      </c>
      <c r="E3132">
        <v>225.07117725908799</v>
      </c>
      <c r="F3132">
        <v>0.94082239193408801</v>
      </c>
      <c r="G3132">
        <v>0.88224671758022599</v>
      </c>
      <c r="H3132" t="str">
        <f t="shared" si="48"/>
        <v>Q4</v>
      </c>
    </row>
    <row r="3133" spans="1:8">
      <c r="A3133">
        <v>129085</v>
      </c>
      <c r="B3133" t="s">
        <v>3824</v>
      </c>
      <c r="C3133">
        <v>152</v>
      </c>
      <c r="D3133">
        <v>1.4805418739438401</v>
      </c>
      <c r="E3133">
        <v>225.042364839464</v>
      </c>
      <c r="F3133">
        <v>0.94371919792332903</v>
      </c>
      <c r="G3133">
        <v>0.88220909672322301</v>
      </c>
      <c r="H3133" t="str">
        <f t="shared" si="48"/>
        <v>Q4</v>
      </c>
    </row>
    <row r="3134" spans="1:8">
      <c r="A3134">
        <v>492245</v>
      </c>
      <c r="B3134" t="s">
        <v>4847</v>
      </c>
      <c r="C3134">
        <v>115</v>
      </c>
      <c r="D3134">
        <v>1.9565217180744501</v>
      </c>
      <c r="E3134">
        <v>224.99999757856099</v>
      </c>
      <c r="F3134">
        <v>0.92370490199766797</v>
      </c>
      <c r="G3134">
        <v>0.88217147586622002</v>
      </c>
      <c r="H3134" t="str">
        <f t="shared" si="48"/>
        <v>Q4</v>
      </c>
    </row>
    <row r="3135" spans="1:8">
      <c r="A3135">
        <v>629881</v>
      </c>
      <c r="B3135" t="s">
        <v>3505</v>
      </c>
      <c r="C3135">
        <v>39</v>
      </c>
      <c r="D3135">
        <v>5.7656671851873398</v>
      </c>
      <c r="E3135">
        <v>224.861020222306</v>
      </c>
      <c r="F3135">
        <v>0.80087280388247195</v>
      </c>
      <c r="G3135">
        <v>0.88213385500921704</v>
      </c>
      <c r="H3135" t="str">
        <f t="shared" si="48"/>
        <v>Q3</v>
      </c>
    </row>
    <row r="3136" spans="1:8">
      <c r="A3136">
        <v>683790</v>
      </c>
      <c r="B3136" t="s">
        <v>5159</v>
      </c>
      <c r="C3136">
        <v>41</v>
      </c>
      <c r="D3136">
        <v>5.4843325054318397</v>
      </c>
      <c r="E3136">
        <v>224.857632722706</v>
      </c>
      <c r="F3136">
        <v>0.80787028328505295</v>
      </c>
      <c r="G3136">
        <v>0.88209623415221405</v>
      </c>
      <c r="H3136" t="str">
        <f t="shared" si="48"/>
        <v>Q3</v>
      </c>
    </row>
    <row r="3137" spans="1:8">
      <c r="A3137">
        <v>581275</v>
      </c>
      <c r="B3137" t="s">
        <v>3858</v>
      </c>
      <c r="C3137">
        <v>149</v>
      </c>
      <c r="D3137">
        <v>1.50884990080341</v>
      </c>
      <c r="E3137">
        <v>224.818635219708</v>
      </c>
      <c r="F3137">
        <v>0.94266581392724103</v>
      </c>
      <c r="G3137">
        <v>0.88205861329521096</v>
      </c>
      <c r="H3137" t="str">
        <f t="shared" si="48"/>
        <v>Q4</v>
      </c>
    </row>
    <row r="3138" spans="1:8">
      <c r="A3138">
        <v>691418</v>
      </c>
      <c r="B3138" t="s">
        <v>2556</v>
      </c>
      <c r="C3138">
        <v>47</v>
      </c>
      <c r="D3138">
        <v>4.7810675417806197</v>
      </c>
      <c r="E3138">
        <v>224.71017446368899</v>
      </c>
      <c r="F3138">
        <v>0.82641736578759295</v>
      </c>
      <c r="G3138">
        <v>0.88202099243820797</v>
      </c>
      <c r="H3138" t="str">
        <f t="shared" si="48"/>
        <v>Q4</v>
      </c>
    </row>
    <row r="3139" spans="1:8">
      <c r="A3139">
        <v>562252</v>
      </c>
      <c r="B3139" t="s">
        <v>4581</v>
      </c>
      <c r="C3139">
        <v>161</v>
      </c>
      <c r="D3139">
        <v>1.3953994979839</v>
      </c>
      <c r="E3139">
        <v>224.65931917540701</v>
      </c>
      <c r="F3139">
        <v>0.94680410819758498</v>
      </c>
      <c r="G3139">
        <v>0.88198337158120499</v>
      </c>
      <c r="H3139" t="str">
        <f t="shared" ref="H3139:H3202" si="49">IF(C3139&gt;$J$2,
   IF(D3139&gt;$J$3,"Q1","Q2"),
   IF(D3139&gt;$J$3,"Q3","Q4"))</f>
        <v>Q4</v>
      </c>
    </row>
    <row r="3140" spans="1:8">
      <c r="A3140">
        <v>707983</v>
      </c>
      <c r="B3140" t="s">
        <v>1418</v>
      </c>
      <c r="C3140">
        <v>27</v>
      </c>
      <c r="D3140">
        <v>8.3180164021474301</v>
      </c>
      <c r="E3140">
        <v>224.58644285798101</v>
      </c>
      <c r="F3140">
        <v>0.74312478838267904</v>
      </c>
      <c r="G3140">
        <v>0.88194575072420101</v>
      </c>
      <c r="H3140" t="str">
        <f t="shared" si="49"/>
        <v>Q3</v>
      </c>
    </row>
    <row r="3141" spans="1:8">
      <c r="A3141">
        <v>753802</v>
      </c>
      <c r="B3141" t="s">
        <v>4196</v>
      </c>
      <c r="C3141">
        <v>61</v>
      </c>
      <c r="D3141">
        <v>3.6807724580046601</v>
      </c>
      <c r="E3141">
        <v>224.52711993828399</v>
      </c>
      <c r="F3141">
        <v>0.86035137880440904</v>
      </c>
      <c r="G3141">
        <v>0.88190812986719802</v>
      </c>
      <c r="H3141" t="str">
        <f t="shared" si="49"/>
        <v>Q4</v>
      </c>
    </row>
    <row r="3142" spans="1:8">
      <c r="A3142">
        <v>743483</v>
      </c>
      <c r="B3142" t="s">
        <v>3422</v>
      </c>
      <c r="C3142">
        <v>42</v>
      </c>
      <c r="D3142">
        <v>5.3455207142091901</v>
      </c>
      <c r="E3142">
        <v>224.511869996786</v>
      </c>
      <c r="F3142">
        <v>0.81103043527331597</v>
      </c>
      <c r="G3142">
        <v>0.88187050901019504</v>
      </c>
      <c r="H3142" t="str">
        <f t="shared" si="49"/>
        <v>Q3</v>
      </c>
    </row>
    <row r="3143" spans="1:8">
      <c r="A3143">
        <v>809874</v>
      </c>
      <c r="B3143" t="s">
        <v>4425</v>
      </c>
      <c r="C3143">
        <v>144</v>
      </c>
      <c r="D3143">
        <v>1.5582744271442699</v>
      </c>
      <c r="E3143">
        <v>224.391517508775</v>
      </c>
      <c r="F3143">
        <v>0.94048380422106004</v>
      </c>
      <c r="G3143">
        <v>0.88183288815319205</v>
      </c>
      <c r="H3143" t="str">
        <f t="shared" si="49"/>
        <v>Q4</v>
      </c>
    </row>
    <row r="3144" spans="1:8">
      <c r="A3144">
        <v>561445</v>
      </c>
      <c r="B3144" t="s">
        <v>589</v>
      </c>
      <c r="C3144">
        <v>323</v>
      </c>
      <c r="D3144">
        <v>0.69468437020750495</v>
      </c>
      <c r="E3144">
        <v>224.38305157702399</v>
      </c>
      <c r="F3144">
        <v>0.978217523795192</v>
      </c>
      <c r="G3144">
        <v>0.88179526729618896</v>
      </c>
      <c r="H3144" t="str">
        <f t="shared" si="49"/>
        <v>Q2</v>
      </c>
    </row>
    <row r="3145" spans="1:8">
      <c r="A3145">
        <v>805939</v>
      </c>
      <c r="B3145" t="s">
        <v>5106</v>
      </c>
      <c r="C3145">
        <v>20</v>
      </c>
      <c r="D3145">
        <v>11.218474470078901</v>
      </c>
      <c r="E3145">
        <v>224.36948940157899</v>
      </c>
      <c r="F3145">
        <v>0.69196042285843296</v>
      </c>
      <c r="G3145">
        <v>0.88175764643918597</v>
      </c>
      <c r="H3145" t="str">
        <f t="shared" si="49"/>
        <v>Q3</v>
      </c>
    </row>
    <row r="3146" spans="1:8">
      <c r="A3146">
        <v>776735</v>
      </c>
      <c r="B3146" t="s">
        <v>1216</v>
      </c>
      <c r="C3146">
        <v>29</v>
      </c>
      <c r="D3146">
        <v>7.7319111803482299</v>
      </c>
      <c r="E3146">
        <v>224.22542423009901</v>
      </c>
      <c r="F3146">
        <v>0.75501297919566601</v>
      </c>
      <c r="G3146">
        <v>0.88172002558218299</v>
      </c>
      <c r="H3146" t="str">
        <f t="shared" si="49"/>
        <v>Q3</v>
      </c>
    </row>
    <row r="3147" spans="1:8">
      <c r="A3147">
        <v>779098</v>
      </c>
      <c r="B3147" t="s">
        <v>2445</v>
      </c>
      <c r="C3147">
        <v>49</v>
      </c>
      <c r="D3147">
        <v>4.5757868954417704</v>
      </c>
      <c r="E3147">
        <v>224.213557876647</v>
      </c>
      <c r="F3147">
        <v>0.83258718633610496</v>
      </c>
      <c r="G3147">
        <v>0.88168240472518</v>
      </c>
      <c r="H3147" t="str">
        <f t="shared" si="49"/>
        <v>Q4</v>
      </c>
    </row>
    <row r="3148" spans="1:8">
      <c r="A3148">
        <v>756986</v>
      </c>
      <c r="B3148" t="s">
        <v>1192</v>
      </c>
      <c r="C3148">
        <v>70</v>
      </c>
      <c r="D3148">
        <v>3.2019369889582898</v>
      </c>
      <c r="E3148">
        <v>224.13558922708</v>
      </c>
      <c r="F3148">
        <v>0.87555020503367098</v>
      </c>
      <c r="G3148">
        <v>0.88164478386817602</v>
      </c>
      <c r="H3148" t="str">
        <f t="shared" si="49"/>
        <v>Q4</v>
      </c>
    </row>
    <row r="3149" spans="1:8">
      <c r="A3149">
        <v>670698</v>
      </c>
      <c r="B3149" t="s">
        <v>3982</v>
      </c>
      <c r="C3149">
        <v>54</v>
      </c>
      <c r="D3149">
        <v>4.1505336002619204</v>
      </c>
      <c r="E3149">
        <v>224.12881441414399</v>
      </c>
      <c r="F3149">
        <v>0.84515255257514799</v>
      </c>
      <c r="G3149">
        <v>0.88160716301117303</v>
      </c>
      <c r="H3149" t="str">
        <f t="shared" si="49"/>
        <v>Q4</v>
      </c>
    </row>
    <row r="3150" spans="1:8">
      <c r="A3150">
        <v>743759</v>
      </c>
      <c r="B3150" t="s">
        <v>388</v>
      </c>
      <c r="C3150">
        <v>71</v>
      </c>
      <c r="D3150">
        <v>3.1539269381950401</v>
      </c>
      <c r="E3150">
        <v>223.928812611848</v>
      </c>
      <c r="F3150">
        <v>0.87799556073887397</v>
      </c>
      <c r="G3150">
        <v>0.88156954215417005</v>
      </c>
      <c r="H3150" t="str">
        <f t="shared" si="49"/>
        <v>Q4</v>
      </c>
    </row>
    <row r="3151" spans="1:8">
      <c r="A3151">
        <v>800807</v>
      </c>
      <c r="B3151" t="s">
        <v>2094</v>
      </c>
      <c r="C3151">
        <v>74</v>
      </c>
      <c r="D3151">
        <v>3.0238662116430901</v>
      </c>
      <c r="E3151">
        <v>223.76609966158901</v>
      </c>
      <c r="F3151">
        <v>0.88307437643429498</v>
      </c>
      <c r="G3151">
        <v>0.88153192129716695</v>
      </c>
      <c r="H3151" t="str">
        <f t="shared" si="49"/>
        <v>Q4</v>
      </c>
    </row>
    <row r="3152" spans="1:8">
      <c r="A3152">
        <v>537119</v>
      </c>
      <c r="B3152" t="s">
        <v>4209</v>
      </c>
      <c r="C3152">
        <v>40</v>
      </c>
      <c r="D3152">
        <v>5.5908899707719701</v>
      </c>
      <c r="E3152">
        <v>223.63559883087899</v>
      </c>
      <c r="F3152">
        <v>0.804522027011775</v>
      </c>
      <c r="G3152">
        <v>0.88149430044016397</v>
      </c>
      <c r="H3152" t="str">
        <f t="shared" si="49"/>
        <v>Q3</v>
      </c>
    </row>
    <row r="3153" spans="1:8">
      <c r="A3153">
        <v>772305</v>
      </c>
      <c r="B3153" t="s">
        <v>3203</v>
      </c>
      <c r="C3153">
        <v>54</v>
      </c>
      <c r="D3153">
        <v>4.1413999076380801</v>
      </c>
      <c r="E3153">
        <v>223.63559501245601</v>
      </c>
      <c r="F3153">
        <v>0.84515255257514799</v>
      </c>
      <c r="G3153">
        <v>0.88145667958316098</v>
      </c>
      <c r="H3153" t="str">
        <f t="shared" si="49"/>
        <v>Q4</v>
      </c>
    </row>
    <row r="3154" spans="1:8">
      <c r="A3154">
        <v>669562</v>
      </c>
      <c r="B3154" t="s">
        <v>2985</v>
      </c>
      <c r="C3154">
        <v>58</v>
      </c>
      <c r="D3154">
        <v>3.8515195796458901</v>
      </c>
      <c r="E3154">
        <v>223.38813561946199</v>
      </c>
      <c r="F3154">
        <v>0.853993453970881</v>
      </c>
      <c r="G3154">
        <v>0.881419058726158</v>
      </c>
      <c r="H3154" t="str">
        <f t="shared" si="49"/>
        <v>Q4</v>
      </c>
    </row>
    <row r="3155" spans="1:8">
      <c r="A3155">
        <v>474461</v>
      </c>
      <c r="B3155" t="s">
        <v>1668</v>
      </c>
      <c r="C3155">
        <v>101</v>
      </c>
      <c r="D3155">
        <v>2.2106561477821698</v>
      </c>
      <c r="E3155">
        <v>223.276270925999</v>
      </c>
      <c r="F3155">
        <v>0.91245626575373395</v>
      </c>
      <c r="G3155">
        <v>0.88138143786915502</v>
      </c>
      <c r="H3155" t="str">
        <f t="shared" si="49"/>
        <v>Q4</v>
      </c>
    </row>
    <row r="3156" spans="1:8">
      <c r="A3156">
        <v>555353</v>
      </c>
      <c r="B3156" t="s">
        <v>3373</v>
      </c>
      <c r="C3156">
        <v>100</v>
      </c>
      <c r="D3156">
        <v>2.2320508449338399</v>
      </c>
      <c r="E3156">
        <v>223.20508449338399</v>
      </c>
      <c r="F3156">
        <v>0.91155336518565899</v>
      </c>
      <c r="G3156">
        <v>0.88134381701215203</v>
      </c>
      <c r="H3156" t="str">
        <f t="shared" si="49"/>
        <v>Q4</v>
      </c>
    </row>
    <row r="3157" spans="1:8">
      <c r="A3157">
        <v>726516</v>
      </c>
      <c r="B3157" t="s">
        <v>998</v>
      </c>
      <c r="C3157">
        <v>149</v>
      </c>
      <c r="D3157">
        <v>1.4971220011091599</v>
      </c>
      <c r="E3157">
        <v>223.071178165264</v>
      </c>
      <c r="F3157">
        <v>0.94266581392724103</v>
      </c>
      <c r="G3157">
        <v>0.88130619615514805</v>
      </c>
      <c r="H3157" t="str">
        <f t="shared" si="49"/>
        <v>Q4</v>
      </c>
    </row>
    <row r="3158" spans="1:8">
      <c r="A3158">
        <v>783129</v>
      </c>
      <c r="B3158" t="s">
        <v>1225</v>
      </c>
      <c r="C3158">
        <v>16</v>
      </c>
      <c r="D3158">
        <v>13.941737357527</v>
      </c>
      <c r="E3158">
        <v>223.067797720432</v>
      </c>
      <c r="F3158">
        <v>0.64756781159474797</v>
      </c>
      <c r="G3158">
        <v>0.88126857529814495</v>
      </c>
      <c r="H3158" t="str">
        <f t="shared" si="49"/>
        <v>Q3</v>
      </c>
    </row>
    <row r="3159" spans="1:8">
      <c r="A3159">
        <v>720101</v>
      </c>
      <c r="B3159" t="s">
        <v>3468</v>
      </c>
      <c r="C3159">
        <v>70</v>
      </c>
      <c r="D3159">
        <v>3.18576265924743</v>
      </c>
      <c r="E3159">
        <v>223.00338614731999</v>
      </c>
      <c r="F3159">
        <v>0.87555020503367098</v>
      </c>
      <c r="G3159">
        <v>0.88123095444114197</v>
      </c>
      <c r="H3159" t="str">
        <f t="shared" si="49"/>
        <v>Q4</v>
      </c>
    </row>
    <row r="3160" spans="1:8">
      <c r="A3160">
        <v>715264</v>
      </c>
      <c r="B3160" t="s">
        <v>1413</v>
      </c>
      <c r="C3160">
        <v>30</v>
      </c>
      <c r="D3160">
        <v>7.4307911098003396</v>
      </c>
      <c r="E3160">
        <v>222.92373329400999</v>
      </c>
      <c r="F3160">
        <v>0.760430382604116</v>
      </c>
      <c r="G3160">
        <v>0.88119333358413898</v>
      </c>
      <c r="H3160" t="str">
        <f t="shared" si="49"/>
        <v>Q3</v>
      </c>
    </row>
    <row r="3161" spans="1:8">
      <c r="A3161">
        <v>757743</v>
      </c>
      <c r="B3161" t="s">
        <v>454</v>
      </c>
      <c r="C3161">
        <v>42</v>
      </c>
      <c r="D3161">
        <v>5.3064973226615404</v>
      </c>
      <c r="E3161">
        <v>222.872887551785</v>
      </c>
      <c r="F3161">
        <v>0.81103043527331597</v>
      </c>
      <c r="G3161">
        <v>0.881155712727136</v>
      </c>
      <c r="H3161" t="str">
        <f t="shared" si="49"/>
        <v>Q3</v>
      </c>
    </row>
    <row r="3162" spans="1:8">
      <c r="A3162">
        <v>738072</v>
      </c>
      <c r="B3162" t="s">
        <v>3111</v>
      </c>
      <c r="C3162">
        <v>102</v>
      </c>
      <c r="D3162">
        <v>2.1842971065209502</v>
      </c>
      <c r="E3162">
        <v>222.798304865137</v>
      </c>
      <c r="F3162">
        <v>0.91332154546480604</v>
      </c>
      <c r="G3162">
        <v>0.88111809187013301</v>
      </c>
      <c r="H3162" t="str">
        <f t="shared" si="49"/>
        <v>Q4</v>
      </c>
    </row>
    <row r="3163" spans="1:8">
      <c r="A3163">
        <v>814651</v>
      </c>
      <c r="B3163" t="s">
        <v>1205</v>
      </c>
      <c r="C3163">
        <v>35</v>
      </c>
      <c r="D3163">
        <v>6.3652783951589003</v>
      </c>
      <c r="E3163">
        <v>222.78474383056201</v>
      </c>
      <c r="F3163">
        <v>0.78420676423008895</v>
      </c>
      <c r="G3163">
        <v>0.88108047101313003</v>
      </c>
      <c r="H3163" t="str">
        <f t="shared" si="49"/>
        <v>Q3</v>
      </c>
    </row>
    <row r="3164" spans="1:8">
      <c r="A3164">
        <v>786920</v>
      </c>
      <c r="B3164" t="s">
        <v>3345</v>
      </c>
      <c r="C3164">
        <v>21</v>
      </c>
      <c r="D3164">
        <v>10.6065376528672</v>
      </c>
      <c r="E3164">
        <v>222.737290710211</v>
      </c>
      <c r="F3164">
        <v>0.70008652797110704</v>
      </c>
      <c r="G3164">
        <v>0.88104285015612704</v>
      </c>
      <c r="H3164" t="str">
        <f t="shared" si="49"/>
        <v>Q3</v>
      </c>
    </row>
    <row r="3165" spans="1:8">
      <c r="A3165">
        <v>746592</v>
      </c>
      <c r="B3165" t="s">
        <v>1572</v>
      </c>
      <c r="C3165">
        <v>55</v>
      </c>
      <c r="D3165">
        <v>4.0497380698269101</v>
      </c>
      <c r="E3165">
        <v>222.73559384047999</v>
      </c>
      <c r="F3165">
        <v>0.84763552913735396</v>
      </c>
      <c r="G3165">
        <v>0.88100522929912295</v>
      </c>
      <c r="H3165" t="str">
        <f t="shared" si="49"/>
        <v>Q4</v>
      </c>
    </row>
    <row r="3166" spans="1:8">
      <c r="A3166">
        <v>729603</v>
      </c>
      <c r="B3166" t="s">
        <v>3885</v>
      </c>
      <c r="C3166">
        <v>29</v>
      </c>
      <c r="D3166">
        <v>7.6803039630939196</v>
      </c>
      <c r="E3166">
        <v>222.728814929724</v>
      </c>
      <c r="F3166">
        <v>0.75501297919566601</v>
      </c>
      <c r="G3166">
        <v>0.88096760844211996</v>
      </c>
      <c r="H3166" t="str">
        <f t="shared" si="49"/>
        <v>Q3</v>
      </c>
    </row>
    <row r="3167" spans="1:8">
      <c r="A3167">
        <v>630438</v>
      </c>
      <c r="B3167" t="s">
        <v>2726</v>
      </c>
      <c r="C3167">
        <v>139</v>
      </c>
      <c r="D3167">
        <v>1.60180459673376</v>
      </c>
      <c r="E3167">
        <v>222.65083894599201</v>
      </c>
      <c r="F3167">
        <v>0.93796320680185097</v>
      </c>
      <c r="G3167">
        <v>0.88092998758511698</v>
      </c>
      <c r="H3167" t="str">
        <f t="shared" si="49"/>
        <v>Q4</v>
      </c>
    </row>
    <row r="3168" spans="1:8">
      <c r="A3168">
        <v>689018</v>
      </c>
      <c r="B3168" t="s">
        <v>532</v>
      </c>
      <c r="C3168">
        <v>45</v>
      </c>
      <c r="D3168">
        <v>4.9458381326662204</v>
      </c>
      <c r="E3168">
        <v>222.56271596997999</v>
      </c>
      <c r="F3168">
        <v>0.82069899552311798</v>
      </c>
      <c r="G3168">
        <v>0.880892366728114</v>
      </c>
      <c r="H3168" t="str">
        <f t="shared" si="49"/>
        <v>Q3</v>
      </c>
    </row>
    <row r="3169" spans="1:8">
      <c r="A3169">
        <v>691291</v>
      </c>
      <c r="B3169" t="s">
        <v>4992</v>
      </c>
      <c r="C3169">
        <v>96</v>
      </c>
      <c r="D3169">
        <v>2.3174434905134502</v>
      </c>
      <c r="E3169">
        <v>222.47457508929099</v>
      </c>
      <c r="F3169">
        <v>0.90812986719837496</v>
      </c>
      <c r="G3169">
        <v>0.88085474587111101</v>
      </c>
      <c r="H3169" t="str">
        <f t="shared" si="49"/>
        <v>Q4</v>
      </c>
    </row>
    <row r="3170" spans="1:8">
      <c r="A3170">
        <v>790057</v>
      </c>
      <c r="B3170" t="s">
        <v>2719</v>
      </c>
      <c r="C3170">
        <v>67</v>
      </c>
      <c r="D3170">
        <v>3.3192258369900398</v>
      </c>
      <c r="E3170">
        <v>222.388131078333</v>
      </c>
      <c r="F3170">
        <v>0.87118618562130801</v>
      </c>
      <c r="G3170">
        <v>0.88081712501410803</v>
      </c>
      <c r="H3170" t="str">
        <f t="shared" si="49"/>
        <v>Q4</v>
      </c>
    </row>
    <row r="3171" spans="1:8">
      <c r="A3171">
        <v>734276</v>
      </c>
      <c r="B3171" t="s">
        <v>4604</v>
      </c>
      <c r="C3171">
        <v>57</v>
      </c>
      <c r="D3171">
        <v>3.8991674094608002</v>
      </c>
      <c r="E3171">
        <v>222.25254233926501</v>
      </c>
      <c r="F3171">
        <v>0.851849065121703</v>
      </c>
      <c r="G3171">
        <v>0.88077950415710504</v>
      </c>
      <c r="H3171" t="str">
        <f t="shared" si="49"/>
        <v>Q4</v>
      </c>
    </row>
    <row r="3172" spans="1:8">
      <c r="A3172">
        <v>684673</v>
      </c>
      <c r="B3172" t="s">
        <v>1730</v>
      </c>
      <c r="C3172">
        <v>68</v>
      </c>
      <c r="D3172">
        <v>3.26834490851444</v>
      </c>
      <c r="E3172">
        <v>222.24745377898199</v>
      </c>
      <c r="F3172">
        <v>0.87223956961739602</v>
      </c>
      <c r="G3172">
        <v>0.88074188330010195</v>
      </c>
      <c r="H3172" t="str">
        <f t="shared" si="49"/>
        <v>Q4</v>
      </c>
    </row>
    <row r="3173" spans="1:8">
      <c r="A3173">
        <v>727589</v>
      </c>
      <c r="B3173" t="s">
        <v>3598</v>
      </c>
      <c r="C3173">
        <v>74</v>
      </c>
      <c r="D3173">
        <v>3.00210713648011</v>
      </c>
      <c r="E3173">
        <v>222.15592809952801</v>
      </c>
      <c r="F3173">
        <v>0.88307437643429498</v>
      </c>
      <c r="G3173">
        <v>0.88070426244309796</v>
      </c>
      <c r="H3173" t="str">
        <f t="shared" si="49"/>
        <v>Q4</v>
      </c>
    </row>
    <row r="3174" spans="1:8">
      <c r="A3174">
        <v>757871</v>
      </c>
      <c r="B3174" t="s">
        <v>2023</v>
      </c>
      <c r="C3174">
        <v>146</v>
      </c>
      <c r="D3174">
        <v>1.5211051093950301</v>
      </c>
      <c r="E3174">
        <v>222.08134597167401</v>
      </c>
      <c r="F3174">
        <v>0.94127384221812604</v>
      </c>
      <c r="G3174">
        <v>0.88066664158609498</v>
      </c>
      <c r="H3174" t="str">
        <f t="shared" si="49"/>
        <v>Q4</v>
      </c>
    </row>
    <row r="3175" spans="1:8">
      <c r="A3175">
        <v>457466</v>
      </c>
      <c r="B3175" t="s">
        <v>1112</v>
      </c>
      <c r="C3175">
        <v>183</v>
      </c>
      <c r="D3175">
        <v>1.21259609557933</v>
      </c>
      <c r="E3175">
        <v>221.90508549101699</v>
      </c>
      <c r="F3175">
        <v>0.95447876302622203</v>
      </c>
      <c r="G3175">
        <v>0.88062902072909199</v>
      </c>
      <c r="H3175" t="str">
        <f t="shared" si="49"/>
        <v>Q2</v>
      </c>
    </row>
    <row r="3176" spans="1:8">
      <c r="A3176">
        <v>783775</v>
      </c>
      <c r="B3176" t="s">
        <v>3415</v>
      </c>
      <c r="C3176">
        <v>45</v>
      </c>
      <c r="D3176">
        <v>4.9300189067920002</v>
      </c>
      <c r="E3176">
        <v>221.85085080563999</v>
      </c>
      <c r="F3176">
        <v>0.82069899552311798</v>
      </c>
      <c r="G3176">
        <v>0.88059139987208901</v>
      </c>
      <c r="H3176" t="str">
        <f t="shared" si="49"/>
        <v>Q3</v>
      </c>
    </row>
    <row r="3177" spans="1:8">
      <c r="A3177">
        <v>664122</v>
      </c>
      <c r="B3177" t="s">
        <v>129</v>
      </c>
      <c r="C3177">
        <v>28</v>
      </c>
      <c r="D3177">
        <v>7.9210049073611</v>
      </c>
      <c r="E3177">
        <v>221.78813740611099</v>
      </c>
      <c r="F3177">
        <v>0.74974605921522897</v>
      </c>
      <c r="G3177">
        <v>0.88055377901508602</v>
      </c>
      <c r="H3177" t="str">
        <f t="shared" si="49"/>
        <v>Q3</v>
      </c>
    </row>
    <row r="3178" spans="1:8">
      <c r="A3178">
        <v>800691</v>
      </c>
      <c r="B3178" t="s">
        <v>1062</v>
      </c>
      <c r="C3178">
        <v>196</v>
      </c>
      <c r="D3178">
        <v>1.1313645936529699</v>
      </c>
      <c r="E3178">
        <v>221.74746035598201</v>
      </c>
      <c r="F3178">
        <v>0.95790226101350595</v>
      </c>
      <c r="G3178">
        <v>0.88051615815808304</v>
      </c>
      <c r="H3178" t="str">
        <f t="shared" si="49"/>
        <v>Q2</v>
      </c>
    </row>
    <row r="3179" spans="1:8">
      <c r="A3179">
        <v>635164</v>
      </c>
      <c r="B3179" t="s">
        <v>5013</v>
      </c>
      <c r="C3179">
        <v>44</v>
      </c>
      <c r="D3179">
        <v>5.0391370875083599</v>
      </c>
      <c r="E3179">
        <v>221.72203185036801</v>
      </c>
      <c r="F3179">
        <v>0.817689326962868</v>
      </c>
      <c r="G3179">
        <v>0.88047853730108006</v>
      </c>
      <c r="H3179" t="str">
        <f t="shared" si="49"/>
        <v>Q3</v>
      </c>
    </row>
    <row r="3180" spans="1:8">
      <c r="A3180">
        <v>695069</v>
      </c>
      <c r="B3180" t="s">
        <v>2301</v>
      </c>
      <c r="C3180">
        <v>73</v>
      </c>
      <c r="D3180">
        <v>3.0346876648190899</v>
      </c>
      <c r="E3180">
        <v>221.53219953179399</v>
      </c>
      <c r="F3180">
        <v>0.88111809187013301</v>
      </c>
      <c r="G3180">
        <v>0.88044091644407696</v>
      </c>
      <c r="H3180" t="str">
        <f t="shared" si="49"/>
        <v>Q4</v>
      </c>
    </row>
    <row r="3181" spans="1:8">
      <c r="A3181">
        <v>756185</v>
      </c>
      <c r="B3181" t="s">
        <v>882</v>
      </c>
      <c r="C3181">
        <v>134</v>
      </c>
      <c r="D3181">
        <v>1.65320003141107</v>
      </c>
      <c r="E3181">
        <v>221.52880420908301</v>
      </c>
      <c r="F3181">
        <v>0.93551785109664798</v>
      </c>
      <c r="G3181">
        <v>0.88040329558707298</v>
      </c>
      <c r="H3181" t="str">
        <f t="shared" si="49"/>
        <v>Q4</v>
      </c>
    </row>
    <row r="3182" spans="1:8">
      <c r="A3182">
        <v>725881</v>
      </c>
      <c r="B3182" t="s">
        <v>2525</v>
      </c>
      <c r="C3182">
        <v>75</v>
      </c>
      <c r="D3182">
        <v>2.95046322296063</v>
      </c>
      <c r="E3182">
        <v>221.28474172204699</v>
      </c>
      <c r="F3182">
        <v>0.88420300214438896</v>
      </c>
      <c r="G3182">
        <v>0.88036567473006999</v>
      </c>
      <c r="H3182" t="str">
        <f t="shared" si="49"/>
        <v>Q4</v>
      </c>
    </row>
    <row r="3183" spans="1:8">
      <c r="A3183">
        <v>771774</v>
      </c>
      <c r="B3183" t="s">
        <v>328</v>
      </c>
      <c r="C3183">
        <v>75</v>
      </c>
      <c r="D3183">
        <v>2.9474575693408598</v>
      </c>
      <c r="E3183">
        <v>221.059317700565</v>
      </c>
      <c r="F3183">
        <v>0.88420300214438896</v>
      </c>
      <c r="G3183">
        <v>0.88032805387306701</v>
      </c>
      <c r="H3183" t="str">
        <f t="shared" si="49"/>
        <v>Q4</v>
      </c>
    </row>
    <row r="3184" spans="1:8">
      <c r="A3184">
        <v>800530</v>
      </c>
      <c r="B3184" t="s">
        <v>5089</v>
      </c>
      <c r="C3184">
        <v>20</v>
      </c>
      <c r="D3184">
        <v>11.051440574228801</v>
      </c>
      <c r="E3184">
        <v>221.02881148457499</v>
      </c>
      <c r="F3184">
        <v>0.69196042285843296</v>
      </c>
      <c r="G3184">
        <v>0.88029043301606402</v>
      </c>
      <c r="H3184" t="str">
        <f t="shared" si="49"/>
        <v>Q3</v>
      </c>
    </row>
    <row r="3185" spans="1:8">
      <c r="A3185">
        <v>739289</v>
      </c>
      <c r="B3185" t="s">
        <v>2714</v>
      </c>
      <c r="C3185">
        <v>27</v>
      </c>
      <c r="D3185">
        <v>8.1853735502119402</v>
      </c>
      <c r="E3185">
        <v>221.005085855722</v>
      </c>
      <c r="F3185">
        <v>0.74312478838267904</v>
      </c>
      <c r="G3185">
        <v>0.88025281215906104</v>
      </c>
      <c r="H3185" t="str">
        <f t="shared" si="49"/>
        <v>Q3</v>
      </c>
    </row>
    <row r="3186" spans="1:8">
      <c r="A3186">
        <v>704611</v>
      </c>
      <c r="B3186" t="s">
        <v>4649</v>
      </c>
      <c r="C3186">
        <v>62</v>
      </c>
      <c r="D3186">
        <v>3.56429741237192</v>
      </c>
      <c r="E3186">
        <v>220.98643956705899</v>
      </c>
      <c r="F3186">
        <v>0.86238290508257798</v>
      </c>
      <c r="G3186">
        <v>0.88021519130205805</v>
      </c>
      <c r="H3186" t="str">
        <f t="shared" si="49"/>
        <v>Q4</v>
      </c>
    </row>
    <row r="3187" spans="1:8">
      <c r="A3187">
        <v>779725</v>
      </c>
      <c r="B3187" t="s">
        <v>4887</v>
      </c>
      <c r="C3187">
        <v>137</v>
      </c>
      <c r="D3187">
        <v>1.61301490653605</v>
      </c>
      <c r="E3187">
        <v>220.983042195439</v>
      </c>
      <c r="F3187">
        <v>0.93687220194875998</v>
      </c>
      <c r="G3187">
        <v>0.88017757044505496</v>
      </c>
      <c r="H3187" t="str">
        <f t="shared" si="49"/>
        <v>Q4</v>
      </c>
    </row>
    <row r="3188" spans="1:8">
      <c r="A3188">
        <v>571092</v>
      </c>
      <c r="B3188" t="s">
        <v>2546</v>
      </c>
      <c r="C3188">
        <v>72</v>
      </c>
      <c r="D3188">
        <v>3.0690207275458499</v>
      </c>
      <c r="E3188">
        <v>220.969492383301</v>
      </c>
      <c r="F3188">
        <v>0.87957563673300498</v>
      </c>
      <c r="G3188">
        <v>0.88013994958805197</v>
      </c>
      <c r="H3188" t="str">
        <f t="shared" si="49"/>
        <v>Q4</v>
      </c>
    </row>
    <row r="3189" spans="1:8">
      <c r="A3189">
        <v>802733</v>
      </c>
      <c r="B3189" t="s">
        <v>1778</v>
      </c>
      <c r="C3189">
        <v>46</v>
      </c>
      <c r="D3189">
        <v>4.8033530418963499</v>
      </c>
      <c r="E3189">
        <v>220.95423992723201</v>
      </c>
      <c r="F3189">
        <v>0.82378390579737404</v>
      </c>
      <c r="G3189">
        <v>0.88010232873104899</v>
      </c>
      <c r="H3189" t="str">
        <f t="shared" si="49"/>
        <v>Q4</v>
      </c>
    </row>
    <row r="3190" spans="1:8">
      <c r="A3190">
        <v>713997</v>
      </c>
      <c r="B3190" t="s">
        <v>4308</v>
      </c>
      <c r="C3190">
        <v>278</v>
      </c>
      <c r="D3190">
        <v>0.79422631274185196</v>
      </c>
      <c r="E3190">
        <v>220.79491494223501</v>
      </c>
      <c r="F3190">
        <v>0.97306346638576402</v>
      </c>
      <c r="G3190">
        <v>0.880064707874045</v>
      </c>
      <c r="H3190" t="str">
        <f t="shared" si="49"/>
        <v>Q2</v>
      </c>
    </row>
    <row r="3191" spans="1:8">
      <c r="A3191">
        <v>772046</v>
      </c>
      <c r="B3191" t="s">
        <v>4568</v>
      </c>
      <c r="C3191">
        <v>50</v>
      </c>
      <c r="D3191">
        <v>4.4151526242494601</v>
      </c>
      <c r="E3191">
        <v>220.757631212473</v>
      </c>
      <c r="F3191">
        <v>0.83559685489635405</v>
      </c>
      <c r="G3191">
        <v>0.88002708701704202</v>
      </c>
      <c r="H3191" t="str">
        <f t="shared" si="49"/>
        <v>Q4</v>
      </c>
    </row>
    <row r="3192" spans="1:8">
      <c r="A3192">
        <v>537732</v>
      </c>
      <c r="B3192" t="s">
        <v>1337</v>
      </c>
      <c r="C3192">
        <v>98</v>
      </c>
      <c r="D3192">
        <v>2.25205806426096</v>
      </c>
      <c r="E3192">
        <v>220.701690297574</v>
      </c>
      <c r="F3192">
        <v>0.90997328919152798</v>
      </c>
      <c r="G3192">
        <v>0.87998946616003904</v>
      </c>
      <c r="H3192" t="str">
        <f t="shared" si="49"/>
        <v>Q4</v>
      </c>
    </row>
    <row r="3193" spans="1:8">
      <c r="A3193">
        <v>753237</v>
      </c>
      <c r="B3193" t="s">
        <v>219</v>
      </c>
      <c r="C3193">
        <v>139</v>
      </c>
      <c r="D3193">
        <v>1.5872697875225299</v>
      </c>
      <c r="E3193">
        <v>220.630500465631</v>
      </c>
      <c r="F3193">
        <v>0.93796320680185097</v>
      </c>
      <c r="G3193">
        <v>0.87995184530303605</v>
      </c>
      <c r="H3193" t="str">
        <f t="shared" si="49"/>
        <v>Q4</v>
      </c>
    </row>
    <row r="3194" spans="1:8">
      <c r="A3194">
        <v>792655</v>
      </c>
      <c r="B3194" t="s">
        <v>3076</v>
      </c>
      <c r="C3194">
        <v>72</v>
      </c>
      <c r="D3194">
        <v>3.06414779560227</v>
      </c>
      <c r="E3194">
        <v>220.61864128336299</v>
      </c>
      <c r="F3194">
        <v>0.87957563673300498</v>
      </c>
      <c r="G3194">
        <v>0.87991422444603296</v>
      </c>
      <c r="H3194" t="str">
        <f t="shared" si="49"/>
        <v>Q4</v>
      </c>
    </row>
    <row r="3195" spans="1:8">
      <c r="A3195">
        <v>630141</v>
      </c>
      <c r="B3195" t="s">
        <v>2050</v>
      </c>
      <c r="C3195">
        <v>70</v>
      </c>
      <c r="D3195">
        <v>3.15121067155685</v>
      </c>
      <c r="E3195">
        <v>220.58474700897901</v>
      </c>
      <c r="F3195">
        <v>0.87555020503367098</v>
      </c>
      <c r="G3195">
        <v>0.87987660358902997</v>
      </c>
      <c r="H3195" t="str">
        <f t="shared" si="49"/>
        <v>Q4</v>
      </c>
    </row>
    <row r="3196" spans="1:8">
      <c r="A3196">
        <v>824821</v>
      </c>
      <c r="B3196" t="s">
        <v>3696</v>
      </c>
      <c r="C3196">
        <v>76</v>
      </c>
      <c r="D3196">
        <v>2.9015833873448802</v>
      </c>
      <c r="E3196">
        <v>220.52033743821099</v>
      </c>
      <c r="F3196">
        <v>0.88612166585154795</v>
      </c>
      <c r="G3196">
        <v>0.87983898273202699</v>
      </c>
      <c r="H3196" t="str">
        <f t="shared" si="49"/>
        <v>Q4</v>
      </c>
    </row>
    <row r="3197" spans="1:8">
      <c r="A3197">
        <v>733814</v>
      </c>
      <c r="B3197" t="s">
        <v>3292</v>
      </c>
      <c r="C3197">
        <v>173</v>
      </c>
      <c r="D3197">
        <v>1.2744684843615599</v>
      </c>
      <c r="E3197">
        <v>220.483047794551</v>
      </c>
      <c r="F3197">
        <v>0.95116812760994696</v>
      </c>
      <c r="G3197">
        <v>0.879801361875024</v>
      </c>
      <c r="H3197" t="str">
        <f t="shared" si="49"/>
        <v>Q2</v>
      </c>
    </row>
    <row r="3198" spans="1:8">
      <c r="A3198">
        <v>771157</v>
      </c>
      <c r="B3198" t="s">
        <v>2570</v>
      </c>
      <c r="C3198">
        <v>47</v>
      </c>
      <c r="D3198">
        <v>4.6895420832678401</v>
      </c>
      <c r="E3198">
        <v>220.408477913588</v>
      </c>
      <c r="F3198">
        <v>0.82641736578759295</v>
      </c>
      <c r="G3198">
        <v>0.87976374101802002</v>
      </c>
      <c r="H3198" t="str">
        <f t="shared" si="49"/>
        <v>Q4</v>
      </c>
    </row>
    <row r="3199" spans="1:8">
      <c r="A3199">
        <v>763468</v>
      </c>
      <c r="B3199" t="s">
        <v>721</v>
      </c>
      <c r="C3199">
        <v>35</v>
      </c>
      <c r="D3199">
        <v>6.2971912005117998</v>
      </c>
      <c r="E3199">
        <v>220.40169201791301</v>
      </c>
      <c r="F3199">
        <v>0.78420676423008895</v>
      </c>
      <c r="G3199">
        <v>0.87972612016101703</v>
      </c>
      <c r="H3199" t="str">
        <f t="shared" si="49"/>
        <v>Q3</v>
      </c>
    </row>
    <row r="3200" spans="1:8">
      <c r="A3200">
        <v>539217</v>
      </c>
      <c r="B3200" t="s">
        <v>1436</v>
      </c>
      <c r="C3200">
        <v>28</v>
      </c>
      <c r="D3200">
        <v>7.8680388097252196</v>
      </c>
      <c r="E3200">
        <v>220.305086672306</v>
      </c>
      <c r="F3200">
        <v>0.74974605921522897</v>
      </c>
      <c r="G3200">
        <v>0.87968849930401405</v>
      </c>
      <c r="H3200" t="str">
        <f t="shared" si="49"/>
        <v>Q3</v>
      </c>
    </row>
    <row r="3201" spans="1:8">
      <c r="A3201">
        <v>709338</v>
      </c>
      <c r="B3201" t="s">
        <v>1721</v>
      </c>
      <c r="C3201">
        <v>53</v>
      </c>
      <c r="D3201">
        <v>4.1559641899646396</v>
      </c>
      <c r="E3201">
        <v>220.266102068126</v>
      </c>
      <c r="F3201">
        <v>0.84218050487190099</v>
      </c>
      <c r="G3201">
        <v>0.87965087844701095</v>
      </c>
      <c r="H3201" t="str">
        <f t="shared" si="49"/>
        <v>Q4</v>
      </c>
    </row>
    <row r="3202" spans="1:8">
      <c r="A3202">
        <v>661822</v>
      </c>
      <c r="B3202" t="s">
        <v>4013</v>
      </c>
      <c r="C3202">
        <v>8</v>
      </c>
      <c r="D3202">
        <v>27.532203681767001</v>
      </c>
      <c r="E3202">
        <v>220.25762945413601</v>
      </c>
      <c r="F3202">
        <v>0.49768631729430801</v>
      </c>
      <c r="G3202">
        <v>0.87961325759000797</v>
      </c>
      <c r="H3202" t="str">
        <f t="shared" si="49"/>
        <v>Q3</v>
      </c>
    </row>
    <row r="3203" spans="1:8">
      <c r="A3203">
        <v>774224</v>
      </c>
      <c r="B3203" t="s">
        <v>2914</v>
      </c>
      <c r="C3203">
        <v>90</v>
      </c>
      <c r="D3203">
        <v>2.4469114643418099</v>
      </c>
      <c r="E3203">
        <v>220.222031790763</v>
      </c>
      <c r="F3203">
        <v>0.90267484293292199</v>
      </c>
      <c r="G3203">
        <v>0.87957563673300498</v>
      </c>
      <c r="H3203" t="str">
        <f t="shared" ref="H3203:H3266" si="50">IF(C3203&gt;$J$2,
   IF(D3203&gt;$J$3,"Q1","Q2"),
   IF(D3203&gt;$J$3,"Q3","Q4"))</f>
        <v>Q4</v>
      </c>
    </row>
    <row r="3204" spans="1:8">
      <c r="A3204">
        <v>757709</v>
      </c>
      <c r="B3204" t="s">
        <v>3798</v>
      </c>
      <c r="C3204">
        <v>80</v>
      </c>
      <c r="D3204">
        <v>2.7522881049662802</v>
      </c>
      <c r="E3204">
        <v>220.183048397303</v>
      </c>
      <c r="F3204">
        <v>0.89150144840299494</v>
      </c>
      <c r="G3204">
        <v>0.879538015876002</v>
      </c>
      <c r="H3204" t="str">
        <f t="shared" si="50"/>
        <v>Q4</v>
      </c>
    </row>
    <row r="3205" spans="1:8">
      <c r="A3205">
        <v>648769</v>
      </c>
      <c r="B3205" t="s">
        <v>4117</v>
      </c>
      <c r="C3205">
        <v>109</v>
      </c>
      <c r="D3205">
        <v>2.01892394384523</v>
      </c>
      <c r="E3205">
        <v>220.06270987913001</v>
      </c>
      <c r="F3205">
        <v>0.91922802001429604</v>
      </c>
      <c r="G3205">
        <v>0.87950039501899901</v>
      </c>
      <c r="H3205" t="str">
        <f t="shared" si="50"/>
        <v>Q4</v>
      </c>
    </row>
    <row r="3206" spans="1:8">
      <c r="A3206">
        <v>765080</v>
      </c>
      <c r="B3206" t="s">
        <v>3553</v>
      </c>
      <c r="C3206">
        <v>59</v>
      </c>
      <c r="D3206">
        <v>3.7294742951201201</v>
      </c>
      <c r="E3206">
        <v>220.03898341208699</v>
      </c>
      <c r="F3206">
        <v>0.85617546367706299</v>
      </c>
      <c r="G3206">
        <v>0.87946277416199503</v>
      </c>
      <c r="H3206" t="str">
        <f t="shared" si="50"/>
        <v>Q4</v>
      </c>
    </row>
    <row r="3207" spans="1:8">
      <c r="A3207">
        <v>697050</v>
      </c>
      <c r="B3207" t="s">
        <v>1085</v>
      </c>
      <c r="C3207">
        <v>166</v>
      </c>
      <c r="D3207">
        <v>1.32549515426024</v>
      </c>
      <c r="E3207">
        <v>220.03219560720001</v>
      </c>
      <c r="F3207">
        <v>0.94860990933373501</v>
      </c>
      <c r="G3207">
        <v>0.87942515330499205</v>
      </c>
      <c r="H3207" t="str">
        <f t="shared" si="50"/>
        <v>Q4</v>
      </c>
    </row>
    <row r="3208" spans="1:8">
      <c r="A3208">
        <v>771125</v>
      </c>
      <c r="B3208" t="s">
        <v>4438</v>
      </c>
      <c r="C3208">
        <v>35</v>
      </c>
      <c r="D3208">
        <v>6.2818885701043303</v>
      </c>
      <c r="E3208">
        <v>219.866099953651</v>
      </c>
      <c r="F3208">
        <v>0.78420676423008895</v>
      </c>
      <c r="G3208">
        <v>0.87938753244798895</v>
      </c>
      <c r="H3208" t="str">
        <f t="shared" si="50"/>
        <v>Q3</v>
      </c>
    </row>
    <row r="3209" spans="1:8">
      <c r="A3209">
        <v>738848</v>
      </c>
      <c r="B3209" t="s">
        <v>3487</v>
      </c>
      <c r="C3209">
        <v>44</v>
      </c>
      <c r="D3209">
        <v>4.9938366240398402</v>
      </c>
      <c r="E3209">
        <v>219.72881145775301</v>
      </c>
      <c r="F3209">
        <v>0.817689326962868</v>
      </c>
      <c r="G3209">
        <v>0.87934991159098597</v>
      </c>
      <c r="H3209" t="str">
        <f t="shared" si="50"/>
        <v>Q3</v>
      </c>
    </row>
    <row r="3210" spans="1:8">
      <c r="A3210">
        <v>669710</v>
      </c>
      <c r="B3210" t="s">
        <v>4587</v>
      </c>
      <c r="C3210">
        <v>168</v>
      </c>
      <c r="D3210">
        <v>1.3078389726745501</v>
      </c>
      <c r="E3210">
        <v>219.71694740932401</v>
      </c>
      <c r="F3210">
        <v>0.94936232647379704</v>
      </c>
      <c r="G3210">
        <v>0.87931229073398298</v>
      </c>
      <c r="H3210" t="str">
        <f t="shared" si="50"/>
        <v>Q4</v>
      </c>
    </row>
    <row r="3211" spans="1:8">
      <c r="A3211">
        <v>735537</v>
      </c>
      <c r="B3211" t="s">
        <v>1530</v>
      </c>
      <c r="C3211">
        <v>48</v>
      </c>
      <c r="D3211">
        <v>4.5752472671059303</v>
      </c>
      <c r="E3211">
        <v>219.61186882108399</v>
      </c>
      <c r="F3211">
        <v>0.82957751777585498</v>
      </c>
      <c r="G3211">
        <v>0.87927466987698</v>
      </c>
      <c r="H3211" t="str">
        <f t="shared" si="50"/>
        <v>Q4</v>
      </c>
    </row>
    <row r="3212" spans="1:8">
      <c r="A3212">
        <v>791522</v>
      </c>
      <c r="B3212" t="s">
        <v>5007</v>
      </c>
      <c r="C3212">
        <v>69</v>
      </c>
      <c r="D3212">
        <v>3.1822401976239898</v>
      </c>
      <c r="E3212">
        <v>219.57457363605499</v>
      </c>
      <c r="F3212">
        <v>0.87393250818253598</v>
      </c>
      <c r="G3212">
        <v>0.87923704901997701</v>
      </c>
      <c r="H3212" t="str">
        <f t="shared" si="50"/>
        <v>Q4</v>
      </c>
    </row>
    <row r="3213" spans="1:8">
      <c r="A3213">
        <v>809278</v>
      </c>
      <c r="B3213" t="s">
        <v>504</v>
      </c>
      <c r="C3213">
        <v>92</v>
      </c>
      <c r="D3213">
        <v>2.3865696447698999</v>
      </c>
      <c r="E3213">
        <v>219.56440731883001</v>
      </c>
      <c r="F3213">
        <v>0.90429253978405599</v>
      </c>
      <c r="G3213">
        <v>0.87919942816297403</v>
      </c>
      <c r="H3213" t="str">
        <f t="shared" si="50"/>
        <v>Q4</v>
      </c>
    </row>
    <row r="3214" spans="1:8">
      <c r="A3214">
        <v>788327</v>
      </c>
      <c r="B3214" t="s">
        <v>4248</v>
      </c>
      <c r="C3214">
        <v>45</v>
      </c>
      <c r="D3214">
        <v>4.8762335090173599</v>
      </c>
      <c r="E3214">
        <v>219.43050790578101</v>
      </c>
      <c r="F3214">
        <v>0.82069899552311798</v>
      </c>
      <c r="G3214">
        <v>0.87916180730597004</v>
      </c>
      <c r="H3214" t="str">
        <f t="shared" si="50"/>
        <v>Q4</v>
      </c>
    </row>
    <row r="3215" spans="1:8">
      <c r="A3215">
        <v>760695</v>
      </c>
      <c r="B3215" t="s">
        <v>654</v>
      </c>
      <c r="C3215">
        <v>48</v>
      </c>
      <c r="D3215">
        <v>4.5694209751672998</v>
      </c>
      <c r="E3215">
        <v>219.332206808031</v>
      </c>
      <c r="F3215">
        <v>0.82957751777585498</v>
      </c>
      <c r="G3215">
        <v>0.87912418644896695</v>
      </c>
      <c r="H3215" t="str">
        <f t="shared" si="50"/>
        <v>Q4</v>
      </c>
    </row>
    <row r="3216" spans="1:8">
      <c r="A3216">
        <v>740812</v>
      </c>
      <c r="B3216" t="s">
        <v>2039</v>
      </c>
      <c r="C3216">
        <v>99</v>
      </c>
      <c r="D3216">
        <v>2.2154083099178599</v>
      </c>
      <c r="E3216">
        <v>219.32542268186799</v>
      </c>
      <c r="F3216">
        <v>0.91076332718859299</v>
      </c>
      <c r="G3216">
        <v>0.87908656559196396</v>
      </c>
      <c r="H3216" t="str">
        <f t="shared" si="50"/>
        <v>Q4</v>
      </c>
    </row>
    <row r="3217" spans="1:8">
      <c r="A3217">
        <v>761622</v>
      </c>
      <c r="B3217" t="s">
        <v>896</v>
      </c>
      <c r="C3217">
        <v>96</v>
      </c>
      <c r="D3217">
        <v>2.28333331178874</v>
      </c>
      <c r="E3217">
        <v>219.199997931719</v>
      </c>
      <c r="F3217">
        <v>0.90812986719837496</v>
      </c>
      <c r="G3217">
        <v>0.87904894473496098</v>
      </c>
      <c r="H3217" t="str">
        <f t="shared" si="50"/>
        <v>Q4</v>
      </c>
    </row>
    <row r="3218" spans="1:8">
      <c r="A3218">
        <v>620963</v>
      </c>
      <c r="B3218" t="s">
        <v>3639</v>
      </c>
      <c r="C3218">
        <v>375</v>
      </c>
      <c r="D3218">
        <v>0.58394576453914204</v>
      </c>
      <c r="E3218">
        <v>218.97966170217799</v>
      </c>
      <c r="F3218">
        <v>0.98220533463752302</v>
      </c>
      <c r="G3218">
        <v>0.879011323877958</v>
      </c>
      <c r="H3218" t="str">
        <f t="shared" si="50"/>
        <v>Q2</v>
      </c>
    </row>
    <row r="3219" spans="1:8">
      <c r="A3219">
        <v>711493</v>
      </c>
      <c r="B3219" t="s">
        <v>1586</v>
      </c>
      <c r="C3219">
        <v>67</v>
      </c>
      <c r="D3219">
        <v>3.2680748252948701</v>
      </c>
      <c r="E3219">
        <v>218.96101329475599</v>
      </c>
      <c r="F3219">
        <v>0.87118618562130801</v>
      </c>
      <c r="G3219">
        <v>0.87897370302095501</v>
      </c>
      <c r="H3219" t="str">
        <f t="shared" si="50"/>
        <v>Q4</v>
      </c>
    </row>
    <row r="3220" spans="1:8">
      <c r="A3220">
        <v>751591</v>
      </c>
      <c r="B3220" t="s">
        <v>4807</v>
      </c>
      <c r="C3220">
        <v>96</v>
      </c>
      <c r="D3220">
        <v>2.2807379621857198</v>
      </c>
      <c r="E3220">
        <v>218.95084436982901</v>
      </c>
      <c r="F3220">
        <v>0.90812986719837496</v>
      </c>
      <c r="G3220">
        <v>0.87893608216395203</v>
      </c>
      <c r="H3220" t="str">
        <f t="shared" si="50"/>
        <v>Q4</v>
      </c>
    </row>
    <row r="3221" spans="1:8">
      <c r="A3221">
        <v>789383</v>
      </c>
      <c r="B3221" t="s">
        <v>4280</v>
      </c>
      <c r="C3221">
        <v>7</v>
      </c>
      <c r="D3221">
        <v>31.277966499328599</v>
      </c>
      <c r="E3221">
        <v>218.94576549530001</v>
      </c>
      <c r="F3221">
        <v>0.46627290169670099</v>
      </c>
      <c r="G3221">
        <v>0.87889846130694904</v>
      </c>
      <c r="H3221" t="str">
        <f t="shared" si="50"/>
        <v>Q3</v>
      </c>
    </row>
    <row r="3222" spans="1:8">
      <c r="A3222">
        <v>784505</v>
      </c>
      <c r="B3222" t="s">
        <v>2376</v>
      </c>
      <c r="C3222">
        <v>68</v>
      </c>
      <c r="D3222">
        <v>3.21899296661072</v>
      </c>
      <c r="E3222">
        <v>218.89152172952899</v>
      </c>
      <c r="F3222">
        <v>0.87223956961739602</v>
      </c>
      <c r="G3222">
        <v>0.87886084044994595</v>
      </c>
      <c r="H3222" t="str">
        <f t="shared" si="50"/>
        <v>Q4</v>
      </c>
    </row>
    <row r="3223" spans="1:8">
      <c r="A3223">
        <v>793012</v>
      </c>
      <c r="B3223" t="s">
        <v>1887</v>
      </c>
      <c r="C3223">
        <v>89</v>
      </c>
      <c r="D3223">
        <v>2.4584269684770801</v>
      </c>
      <c r="E3223">
        <v>218.80000019446001</v>
      </c>
      <c r="F3223">
        <v>0.90135811293781298</v>
      </c>
      <c r="G3223">
        <v>0.87882321959294196</v>
      </c>
      <c r="H3223" t="str">
        <f t="shared" si="50"/>
        <v>Q4</v>
      </c>
    </row>
    <row r="3224" spans="1:8">
      <c r="A3224">
        <v>682305</v>
      </c>
      <c r="B3224" t="s">
        <v>767</v>
      </c>
      <c r="C3224">
        <v>56</v>
      </c>
      <c r="D3224">
        <v>3.9055690335642002</v>
      </c>
      <c r="E3224">
        <v>218.711865879595</v>
      </c>
      <c r="F3224">
        <v>0.85004326398555397</v>
      </c>
      <c r="G3224">
        <v>0.87878559873593898</v>
      </c>
      <c r="H3224" t="str">
        <f t="shared" si="50"/>
        <v>Q4</v>
      </c>
    </row>
    <row r="3225" spans="1:8">
      <c r="A3225">
        <v>765910</v>
      </c>
      <c r="B3225" t="s">
        <v>4921</v>
      </c>
      <c r="C3225">
        <v>10</v>
      </c>
      <c r="D3225">
        <v>21.870508641004601</v>
      </c>
      <c r="E3225">
        <v>218.70508641004599</v>
      </c>
      <c r="F3225">
        <v>0.54821112824950202</v>
      </c>
      <c r="G3225">
        <v>0.87874797787893599</v>
      </c>
      <c r="H3225" t="str">
        <f t="shared" si="50"/>
        <v>Q3</v>
      </c>
    </row>
    <row r="3226" spans="1:8">
      <c r="A3226">
        <v>697649</v>
      </c>
      <c r="B3226" t="s">
        <v>746</v>
      </c>
      <c r="C3226">
        <v>151</v>
      </c>
      <c r="D3226">
        <v>1.4479402292347101</v>
      </c>
      <c r="E3226">
        <v>218.638974614441</v>
      </c>
      <c r="F3226">
        <v>0.94323012678228801</v>
      </c>
      <c r="G3226">
        <v>0.87871035702193301</v>
      </c>
      <c r="H3226" t="str">
        <f t="shared" si="50"/>
        <v>Q4</v>
      </c>
    </row>
    <row r="3227" spans="1:8">
      <c r="A3227">
        <v>782066</v>
      </c>
      <c r="B3227" t="s">
        <v>739</v>
      </c>
      <c r="C3227">
        <v>29</v>
      </c>
      <c r="D3227">
        <v>7.5386908419173304</v>
      </c>
      <c r="E3227">
        <v>218.622034415603</v>
      </c>
      <c r="F3227">
        <v>0.75501297919566601</v>
      </c>
      <c r="G3227">
        <v>0.87867273616493002</v>
      </c>
      <c r="H3227" t="str">
        <f t="shared" si="50"/>
        <v>Q3</v>
      </c>
    </row>
    <row r="3228" spans="1:8">
      <c r="A3228">
        <v>644288</v>
      </c>
      <c r="B3228" t="s">
        <v>3066</v>
      </c>
      <c r="C3228">
        <v>71</v>
      </c>
      <c r="D3228">
        <v>3.0781809962026698</v>
      </c>
      <c r="E3228">
        <v>218.55085073038899</v>
      </c>
      <c r="F3228">
        <v>0.87799556073887397</v>
      </c>
      <c r="G3228">
        <v>0.87863511530792704</v>
      </c>
      <c r="H3228" t="str">
        <f t="shared" si="50"/>
        <v>Q4</v>
      </c>
    </row>
    <row r="3229" spans="1:8">
      <c r="A3229">
        <v>725661</v>
      </c>
      <c r="B3229" t="s">
        <v>4166</v>
      </c>
      <c r="C3229">
        <v>49</v>
      </c>
      <c r="D3229">
        <v>4.4556209665476096</v>
      </c>
      <c r="E3229">
        <v>218.325427360833</v>
      </c>
      <c r="F3229">
        <v>0.83258718633610496</v>
      </c>
      <c r="G3229">
        <v>0.87859749445092405</v>
      </c>
      <c r="H3229" t="str">
        <f t="shared" si="50"/>
        <v>Q4</v>
      </c>
    </row>
    <row r="3230" spans="1:8">
      <c r="A3230">
        <v>735608</v>
      </c>
      <c r="B3230" t="s">
        <v>1672</v>
      </c>
      <c r="C3230">
        <v>105</v>
      </c>
      <c r="D3230">
        <v>2.0789506845176202</v>
      </c>
      <c r="E3230">
        <v>218.28982187435</v>
      </c>
      <c r="F3230">
        <v>0.91618073059704297</v>
      </c>
      <c r="G3230">
        <v>0.87855987359392096</v>
      </c>
      <c r="H3230" t="str">
        <f t="shared" si="50"/>
        <v>Q4</v>
      </c>
    </row>
    <row r="3231" spans="1:8">
      <c r="A3231">
        <v>841367</v>
      </c>
      <c r="B3231" t="s">
        <v>1078</v>
      </c>
      <c r="C3231">
        <v>54</v>
      </c>
      <c r="D3231">
        <v>4.0417765232699896</v>
      </c>
      <c r="E3231">
        <v>218.255932256579</v>
      </c>
      <c r="F3231">
        <v>0.84515255257514799</v>
      </c>
      <c r="G3231">
        <v>0.87852225273691698</v>
      </c>
      <c r="H3231" t="str">
        <f t="shared" si="50"/>
        <v>Q4</v>
      </c>
    </row>
    <row r="3232" spans="1:8">
      <c r="A3232">
        <v>643642</v>
      </c>
      <c r="B3232" t="s">
        <v>376</v>
      </c>
      <c r="C3232">
        <v>44</v>
      </c>
      <c r="D3232">
        <v>4.9594761973077599</v>
      </c>
      <c r="E3232">
        <v>218.21695268154099</v>
      </c>
      <c r="F3232">
        <v>0.817689326962868</v>
      </c>
      <c r="G3232">
        <v>0.87848463187991399</v>
      </c>
      <c r="H3232" t="str">
        <f t="shared" si="50"/>
        <v>Q3</v>
      </c>
    </row>
    <row r="3233" spans="1:8">
      <c r="A3233">
        <v>657179</v>
      </c>
      <c r="B3233" t="s">
        <v>3387</v>
      </c>
      <c r="C3233">
        <v>32</v>
      </c>
      <c r="D3233">
        <v>6.81827332009561</v>
      </c>
      <c r="E3233">
        <v>218.18474624306</v>
      </c>
      <c r="F3233">
        <v>0.77096422256498998</v>
      </c>
      <c r="G3233">
        <v>0.87844701102291101</v>
      </c>
      <c r="H3233" t="str">
        <f t="shared" si="50"/>
        <v>Q3</v>
      </c>
    </row>
    <row r="3234" spans="1:8">
      <c r="A3234">
        <v>771762</v>
      </c>
      <c r="B3234" t="s">
        <v>1130</v>
      </c>
      <c r="C3234">
        <v>19</v>
      </c>
      <c r="D3234">
        <v>11.480017673028099</v>
      </c>
      <c r="E3234">
        <v>218.120335787535</v>
      </c>
      <c r="F3234">
        <v>0.68195327489560198</v>
      </c>
      <c r="G3234">
        <v>0.87840939016590802</v>
      </c>
      <c r="H3234" t="str">
        <f t="shared" si="50"/>
        <v>Q3</v>
      </c>
    </row>
    <row r="3235" spans="1:8">
      <c r="A3235">
        <v>675271</v>
      </c>
      <c r="B3235" t="s">
        <v>271</v>
      </c>
      <c r="C3235">
        <v>48</v>
      </c>
      <c r="D3235">
        <v>4.5439619144114403</v>
      </c>
      <c r="E3235">
        <v>218.11017189174899</v>
      </c>
      <c r="F3235">
        <v>0.82957751777585498</v>
      </c>
      <c r="G3235">
        <v>0.87837176930890504</v>
      </c>
      <c r="H3235" t="str">
        <f t="shared" si="50"/>
        <v>Q4</v>
      </c>
    </row>
    <row r="3236" spans="1:8">
      <c r="A3236">
        <v>751998</v>
      </c>
      <c r="B3236" t="s">
        <v>3184</v>
      </c>
      <c r="C3236">
        <v>122</v>
      </c>
      <c r="D3236">
        <v>1.7868852406953899</v>
      </c>
      <c r="E3236">
        <v>217.999999364838</v>
      </c>
      <c r="F3236">
        <v>0.92855799255106997</v>
      </c>
      <c r="G3236">
        <v>0.87833414845190205</v>
      </c>
      <c r="H3236" t="str">
        <f t="shared" si="50"/>
        <v>Q4</v>
      </c>
    </row>
    <row r="3237" spans="1:8">
      <c r="A3237">
        <v>764998</v>
      </c>
      <c r="B3237" t="s">
        <v>576</v>
      </c>
      <c r="C3237">
        <v>140</v>
      </c>
      <c r="D3237">
        <v>1.5571185876615301</v>
      </c>
      <c r="E3237">
        <v>217.99660227261501</v>
      </c>
      <c r="F3237">
        <v>0.93852751965689796</v>
      </c>
      <c r="G3237">
        <v>0.87829652759489896</v>
      </c>
      <c r="H3237" t="str">
        <f t="shared" si="50"/>
        <v>Q4</v>
      </c>
    </row>
    <row r="3238" spans="1:8">
      <c r="A3238">
        <v>786814</v>
      </c>
      <c r="B3238" t="s">
        <v>567</v>
      </c>
      <c r="C3238">
        <v>133</v>
      </c>
      <c r="D3238">
        <v>1.6388300568201499</v>
      </c>
      <c r="E3238">
        <v>217.96439755707999</v>
      </c>
      <c r="F3238">
        <v>0.93476543395658596</v>
      </c>
      <c r="G3238">
        <v>0.87825890673789597</v>
      </c>
      <c r="H3238" t="str">
        <f t="shared" si="50"/>
        <v>Q4</v>
      </c>
    </row>
    <row r="3239" spans="1:8">
      <c r="A3239">
        <v>564310</v>
      </c>
      <c r="B3239" t="s">
        <v>319</v>
      </c>
      <c r="C3239">
        <v>109</v>
      </c>
      <c r="D3239">
        <v>1.99858489608683</v>
      </c>
      <c r="E3239">
        <v>217.845753673464</v>
      </c>
      <c r="F3239">
        <v>0.91922802001429604</v>
      </c>
      <c r="G3239">
        <v>0.87822128588089199</v>
      </c>
      <c r="H3239" t="str">
        <f t="shared" si="50"/>
        <v>Q4</v>
      </c>
    </row>
    <row r="3240" spans="1:8">
      <c r="A3240">
        <v>798734</v>
      </c>
      <c r="B3240" t="s">
        <v>4758</v>
      </c>
      <c r="C3240">
        <v>66</v>
      </c>
      <c r="D3240">
        <v>3.29830502865441</v>
      </c>
      <c r="E3240">
        <v>217.68813189119101</v>
      </c>
      <c r="F3240">
        <v>0.86968135134118396</v>
      </c>
      <c r="G3240">
        <v>0.878183665023889</v>
      </c>
      <c r="H3240" t="str">
        <f t="shared" si="50"/>
        <v>Q4</v>
      </c>
    </row>
    <row r="3241" spans="1:8">
      <c r="A3241">
        <v>699266</v>
      </c>
      <c r="B3241" t="s">
        <v>3707</v>
      </c>
      <c r="C3241">
        <v>27</v>
      </c>
      <c r="D3241">
        <v>8.0598870637240196</v>
      </c>
      <c r="E3241">
        <v>217.616950720549</v>
      </c>
      <c r="F3241">
        <v>0.74312478838267904</v>
      </c>
      <c r="G3241">
        <v>0.87814604416688602</v>
      </c>
      <c r="H3241" t="str">
        <f t="shared" si="50"/>
        <v>Q3</v>
      </c>
    </row>
    <row r="3242" spans="1:8">
      <c r="A3242">
        <v>629426</v>
      </c>
      <c r="B3242" t="s">
        <v>572</v>
      </c>
      <c r="C3242">
        <v>62</v>
      </c>
      <c r="D3242">
        <v>3.5091853249938301</v>
      </c>
      <c r="E3242">
        <v>217.569490149617</v>
      </c>
      <c r="F3242">
        <v>0.86238290508257798</v>
      </c>
      <c r="G3242">
        <v>0.87810842330988303</v>
      </c>
      <c r="H3242" t="str">
        <f t="shared" si="50"/>
        <v>Q4</v>
      </c>
    </row>
    <row r="3243" spans="1:8">
      <c r="A3243">
        <v>609598</v>
      </c>
      <c r="B3243" t="s">
        <v>3855</v>
      </c>
      <c r="C3243">
        <v>154</v>
      </c>
      <c r="D3243">
        <v>1.41274484793668</v>
      </c>
      <c r="E3243">
        <v>217.56270658224801</v>
      </c>
      <c r="F3243">
        <v>0.94424588992137204</v>
      </c>
      <c r="G3243">
        <v>0.87807080245288005</v>
      </c>
      <c r="H3243" t="str">
        <f t="shared" si="50"/>
        <v>Q4</v>
      </c>
    </row>
    <row r="3244" spans="1:8">
      <c r="A3244">
        <v>688404</v>
      </c>
      <c r="B3244" t="s">
        <v>2601</v>
      </c>
      <c r="C3244">
        <v>55</v>
      </c>
      <c r="D3244">
        <v>3.9545762759040701</v>
      </c>
      <c r="E3244">
        <v>217.50169517472401</v>
      </c>
      <c r="F3244">
        <v>0.84763552913735396</v>
      </c>
      <c r="G3244">
        <v>0.87803318159587695</v>
      </c>
      <c r="H3244" t="str">
        <f t="shared" si="50"/>
        <v>Q4</v>
      </c>
    </row>
    <row r="3245" spans="1:8">
      <c r="A3245">
        <v>441386</v>
      </c>
      <c r="B3245" t="s">
        <v>2394</v>
      </c>
      <c r="C3245">
        <v>58</v>
      </c>
      <c r="D3245">
        <v>3.74959088894057</v>
      </c>
      <c r="E3245">
        <v>217.47627155855301</v>
      </c>
      <c r="F3245">
        <v>0.853993453970881</v>
      </c>
      <c r="G3245">
        <v>0.87799556073887397</v>
      </c>
      <c r="H3245" t="str">
        <f t="shared" si="50"/>
        <v>Q4</v>
      </c>
    </row>
    <row r="3246" spans="1:8">
      <c r="A3246">
        <v>798691</v>
      </c>
      <c r="B3246" t="s">
        <v>3041</v>
      </c>
      <c r="C3246">
        <v>14</v>
      </c>
      <c r="D3246">
        <v>15.5278452272926</v>
      </c>
      <c r="E3246">
        <v>217.389833182096</v>
      </c>
      <c r="F3246">
        <v>0.62070651969451895</v>
      </c>
      <c r="G3246">
        <v>0.87795793988187099</v>
      </c>
      <c r="H3246" t="str">
        <f t="shared" si="50"/>
        <v>Q3</v>
      </c>
    </row>
    <row r="3247" spans="1:8">
      <c r="A3247">
        <v>710943</v>
      </c>
      <c r="B3247" t="s">
        <v>5244</v>
      </c>
      <c r="C3247">
        <v>63</v>
      </c>
      <c r="D3247">
        <v>3.4493946485103102</v>
      </c>
      <c r="E3247">
        <v>217.31186285614999</v>
      </c>
      <c r="F3247">
        <v>0.86445205221775001</v>
      </c>
      <c r="G3247">
        <v>0.877920319024867</v>
      </c>
      <c r="H3247" t="str">
        <f t="shared" si="50"/>
        <v>Q4</v>
      </c>
    </row>
    <row r="3248" spans="1:8">
      <c r="A3248">
        <v>695318</v>
      </c>
      <c r="B3248" t="s">
        <v>2949</v>
      </c>
      <c r="C3248">
        <v>88</v>
      </c>
      <c r="D3248">
        <v>2.4684899698265599</v>
      </c>
      <c r="E3248">
        <v>217.227117344737</v>
      </c>
      <c r="F3248">
        <v>0.90045521236973802</v>
      </c>
      <c r="G3248">
        <v>0.87788269816786402</v>
      </c>
      <c r="H3248" t="str">
        <f t="shared" si="50"/>
        <v>Q4</v>
      </c>
    </row>
    <row r="3249" spans="1:8">
      <c r="A3249">
        <v>678967</v>
      </c>
      <c r="B3249" t="s">
        <v>4143</v>
      </c>
      <c r="C3249">
        <v>37</v>
      </c>
      <c r="D3249">
        <v>5.87068247936062</v>
      </c>
      <c r="E3249">
        <v>217.21525173634299</v>
      </c>
      <c r="F3249">
        <v>0.79304766562582296</v>
      </c>
      <c r="G3249">
        <v>0.87784507731086103</v>
      </c>
      <c r="H3249" t="str">
        <f t="shared" si="50"/>
        <v>Q3</v>
      </c>
    </row>
    <row r="3250" spans="1:8">
      <c r="A3250">
        <v>801336</v>
      </c>
      <c r="B3250" t="s">
        <v>3258</v>
      </c>
      <c r="C3250">
        <v>59</v>
      </c>
      <c r="D3250">
        <v>3.6778224821565502</v>
      </c>
      <c r="E3250">
        <v>216.99152644723699</v>
      </c>
      <c r="F3250">
        <v>0.85617546367706299</v>
      </c>
      <c r="G3250">
        <v>0.87780745645385805</v>
      </c>
      <c r="H3250" t="str">
        <f t="shared" si="50"/>
        <v>Q4</v>
      </c>
    </row>
    <row r="3251" spans="1:8">
      <c r="A3251">
        <v>712320</v>
      </c>
      <c r="B3251" t="s">
        <v>2160</v>
      </c>
      <c r="C3251">
        <v>89</v>
      </c>
      <c r="D3251">
        <v>2.4375166137064399</v>
      </c>
      <c r="E3251">
        <v>216.93897861987401</v>
      </c>
      <c r="F3251">
        <v>0.90135811293781298</v>
      </c>
      <c r="G3251">
        <v>0.87776983559685495</v>
      </c>
      <c r="H3251" t="str">
        <f t="shared" si="50"/>
        <v>Q4</v>
      </c>
    </row>
    <row r="3252" spans="1:8">
      <c r="A3252">
        <v>763543</v>
      </c>
      <c r="B3252" t="s">
        <v>1771</v>
      </c>
      <c r="C3252">
        <v>58</v>
      </c>
      <c r="D3252">
        <v>3.7384862690393299</v>
      </c>
      <c r="E3252">
        <v>216.83220360428101</v>
      </c>
      <c r="F3252">
        <v>0.853993453970881</v>
      </c>
      <c r="G3252">
        <v>0.87773221473985197</v>
      </c>
      <c r="H3252" t="str">
        <f t="shared" si="50"/>
        <v>Q4</v>
      </c>
    </row>
    <row r="3253" spans="1:8">
      <c r="A3253">
        <v>659459</v>
      </c>
      <c r="B3253" t="s">
        <v>1425</v>
      </c>
      <c r="C3253">
        <v>29</v>
      </c>
      <c r="D3253">
        <v>7.4724723039002301</v>
      </c>
      <c r="E3253">
        <v>216.70169681310699</v>
      </c>
      <c r="F3253">
        <v>0.75501297919566601</v>
      </c>
      <c r="G3253">
        <v>0.87769459388284898</v>
      </c>
      <c r="H3253" t="str">
        <f t="shared" si="50"/>
        <v>Q3</v>
      </c>
    </row>
    <row r="3254" spans="1:8">
      <c r="A3254">
        <v>736701</v>
      </c>
      <c r="B3254" t="s">
        <v>5214</v>
      </c>
      <c r="C3254">
        <v>136</v>
      </c>
      <c r="D3254">
        <v>1.5919740181690201</v>
      </c>
      <c r="E3254">
        <v>216.508466470987</v>
      </c>
      <c r="F3254">
        <v>0.93630788909371399</v>
      </c>
      <c r="G3254">
        <v>0.877656973025846</v>
      </c>
      <c r="H3254" t="str">
        <f t="shared" si="50"/>
        <v>Q4</v>
      </c>
    </row>
    <row r="3255" spans="1:8">
      <c r="A3255">
        <v>663009</v>
      </c>
      <c r="B3255" t="s">
        <v>1448</v>
      </c>
      <c r="C3255">
        <v>70</v>
      </c>
      <c r="D3255">
        <v>3.09200962606285</v>
      </c>
      <c r="E3255">
        <v>216.44067382439999</v>
      </c>
      <c r="F3255">
        <v>0.87555020503367098</v>
      </c>
      <c r="G3255">
        <v>0.87761935216884202</v>
      </c>
      <c r="H3255" t="str">
        <f t="shared" si="50"/>
        <v>Q4</v>
      </c>
    </row>
    <row r="3256" spans="1:8">
      <c r="A3256">
        <v>689814</v>
      </c>
      <c r="B3256" t="s">
        <v>1638</v>
      </c>
      <c r="C3256">
        <v>224</v>
      </c>
      <c r="D3256">
        <v>0.96595790486649702</v>
      </c>
      <c r="E3256">
        <v>216.374570690095</v>
      </c>
      <c r="F3256">
        <v>0.96437304841804306</v>
      </c>
      <c r="G3256">
        <v>0.87758173131183903</v>
      </c>
      <c r="H3256" t="str">
        <f t="shared" si="50"/>
        <v>Q2</v>
      </c>
    </row>
    <row r="3257" spans="1:8">
      <c r="A3257">
        <v>824575</v>
      </c>
      <c r="B3257" t="s">
        <v>3968</v>
      </c>
      <c r="C3257">
        <v>149</v>
      </c>
      <c r="D3257">
        <v>1.4517574308552601</v>
      </c>
      <c r="E3257">
        <v>216.31185719743399</v>
      </c>
      <c r="F3257">
        <v>0.94266581392724103</v>
      </c>
      <c r="G3257">
        <v>0.87754411045483605</v>
      </c>
      <c r="H3257" t="str">
        <f t="shared" si="50"/>
        <v>Q4</v>
      </c>
    </row>
    <row r="3258" spans="1:8">
      <c r="A3258">
        <v>770828</v>
      </c>
      <c r="B3258" t="s">
        <v>3778</v>
      </c>
      <c r="C3258">
        <v>34</v>
      </c>
      <c r="D3258">
        <v>6.3616649412057003</v>
      </c>
      <c r="E3258">
        <v>216.29660800099401</v>
      </c>
      <c r="F3258">
        <v>0.77969226138971404</v>
      </c>
      <c r="G3258">
        <v>0.87750648959783295</v>
      </c>
      <c r="H3258" t="str">
        <f t="shared" si="50"/>
        <v>Q3</v>
      </c>
    </row>
    <row r="3259" spans="1:8">
      <c r="A3259">
        <v>758815</v>
      </c>
      <c r="B3259" t="s">
        <v>3261</v>
      </c>
      <c r="C3259">
        <v>51</v>
      </c>
      <c r="D3259">
        <v>4.2385510552455399</v>
      </c>
      <c r="E3259">
        <v>216.16610381752301</v>
      </c>
      <c r="F3259">
        <v>0.83762838117452298</v>
      </c>
      <c r="G3259">
        <v>0.87746886874082997</v>
      </c>
      <c r="H3259" t="str">
        <f t="shared" si="50"/>
        <v>Q4</v>
      </c>
    </row>
    <row r="3260" spans="1:8">
      <c r="A3260">
        <v>746245</v>
      </c>
      <c r="B3260" t="s">
        <v>3122</v>
      </c>
      <c r="C3260">
        <v>23</v>
      </c>
      <c r="D3260">
        <v>9.3979367500413993</v>
      </c>
      <c r="E3260">
        <v>216.15254525095199</v>
      </c>
      <c r="F3260">
        <v>0.71547345848538402</v>
      </c>
      <c r="G3260">
        <v>0.87743124788382698</v>
      </c>
      <c r="H3260" t="str">
        <f t="shared" si="50"/>
        <v>Q3</v>
      </c>
    </row>
    <row r="3261" spans="1:8">
      <c r="A3261">
        <v>761323</v>
      </c>
      <c r="B3261" t="s">
        <v>318</v>
      </c>
      <c r="C3261">
        <v>125</v>
      </c>
      <c r="D3261">
        <v>1.7290846843272401</v>
      </c>
      <c r="E3261">
        <v>216.13558554090599</v>
      </c>
      <c r="F3261">
        <v>0.93028855197321403</v>
      </c>
      <c r="G3261">
        <v>0.877393627026824</v>
      </c>
      <c r="H3261" t="str">
        <f t="shared" si="50"/>
        <v>Q4</v>
      </c>
    </row>
    <row r="3262" spans="1:8">
      <c r="A3262">
        <v>747196</v>
      </c>
      <c r="B3262" t="s">
        <v>5269</v>
      </c>
      <c r="C3262">
        <v>105</v>
      </c>
      <c r="D3262">
        <v>2.0558676367536899</v>
      </c>
      <c r="E3262">
        <v>215.86610185913699</v>
      </c>
      <c r="F3262">
        <v>0.91618073059704297</v>
      </c>
      <c r="G3262">
        <v>0.87735600616982101</v>
      </c>
      <c r="H3262" t="str">
        <f t="shared" si="50"/>
        <v>Q4</v>
      </c>
    </row>
    <row r="3263" spans="1:8">
      <c r="A3263">
        <v>796610</v>
      </c>
      <c r="B3263" t="s">
        <v>1376</v>
      </c>
      <c r="C3263">
        <v>27</v>
      </c>
      <c r="D3263">
        <v>7.9935970405737597</v>
      </c>
      <c r="E3263">
        <v>215.82712009549101</v>
      </c>
      <c r="F3263">
        <v>0.74312478838267904</v>
      </c>
      <c r="G3263">
        <v>0.87731838531281703</v>
      </c>
      <c r="H3263" t="str">
        <f t="shared" si="50"/>
        <v>Q3</v>
      </c>
    </row>
    <row r="3264" spans="1:8">
      <c r="A3264">
        <v>678624</v>
      </c>
      <c r="B3264" t="s">
        <v>3603</v>
      </c>
      <c r="C3264">
        <v>54</v>
      </c>
      <c r="D3264">
        <v>3.9956999701206302</v>
      </c>
      <c r="E3264">
        <v>215.76779838651399</v>
      </c>
      <c r="F3264">
        <v>0.84515255257514799</v>
      </c>
      <c r="G3264">
        <v>0.87728076445581404</v>
      </c>
      <c r="H3264" t="str">
        <f t="shared" si="50"/>
        <v>Q4</v>
      </c>
    </row>
    <row r="3265" spans="1:8">
      <c r="A3265">
        <v>800387</v>
      </c>
      <c r="B3265" t="s">
        <v>984</v>
      </c>
      <c r="C3265">
        <v>53</v>
      </c>
      <c r="D3265">
        <v>4.0708027112315301</v>
      </c>
      <c r="E3265">
        <v>215.75254369527099</v>
      </c>
      <c r="F3265">
        <v>0.84218050487190099</v>
      </c>
      <c r="G3265">
        <v>0.87724314359881095</v>
      </c>
      <c r="H3265" t="str">
        <f t="shared" si="50"/>
        <v>Q4</v>
      </c>
    </row>
    <row r="3266" spans="1:8">
      <c r="A3266">
        <v>807727</v>
      </c>
      <c r="B3266" t="s">
        <v>915</v>
      </c>
      <c r="C3266">
        <v>9</v>
      </c>
      <c r="D3266">
        <v>23.962523705429501</v>
      </c>
      <c r="E3266">
        <v>215.66271334886599</v>
      </c>
      <c r="F3266">
        <v>0.52428426319551602</v>
      </c>
      <c r="G3266">
        <v>0.87720552274180796</v>
      </c>
      <c r="H3266" t="str">
        <f t="shared" si="50"/>
        <v>Q3</v>
      </c>
    </row>
    <row r="3267" spans="1:8">
      <c r="A3267">
        <v>700429</v>
      </c>
      <c r="B3267" t="s">
        <v>349</v>
      </c>
      <c r="C3267">
        <v>70</v>
      </c>
      <c r="D3267">
        <v>3.07987890871508</v>
      </c>
      <c r="E3267">
        <v>215.59152361005499</v>
      </c>
      <c r="F3267">
        <v>0.87555020503367098</v>
      </c>
      <c r="G3267">
        <v>0.87716790188480498</v>
      </c>
      <c r="H3267" t="str">
        <f t="shared" ref="H3267:H3330" si="51">IF(C3267&gt;$J$2,
   IF(D3267&gt;$J$3,"Q1","Q2"),
   IF(D3267&gt;$J$3,"Q3","Q4"))</f>
        <v>Q4</v>
      </c>
    </row>
    <row r="3268" spans="1:8">
      <c r="A3268">
        <v>781758</v>
      </c>
      <c r="B3268" t="s">
        <v>1801</v>
      </c>
      <c r="C3268">
        <v>89</v>
      </c>
      <c r="D3268">
        <v>2.4216720708802799</v>
      </c>
      <c r="E3268">
        <v>215.52881430834501</v>
      </c>
      <c r="F3268">
        <v>0.90135811293781298</v>
      </c>
      <c r="G3268">
        <v>0.87713028102780199</v>
      </c>
      <c r="H3268" t="str">
        <f t="shared" si="51"/>
        <v>Q4</v>
      </c>
    </row>
    <row r="3269" spans="1:8">
      <c r="A3269">
        <v>836485</v>
      </c>
      <c r="B3269" t="s">
        <v>3658</v>
      </c>
      <c r="C3269">
        <v>34</v>
      </c>
      <c r="D3269">
        <v>6.3372880877817401</v>
      </c>
      <c r="E3269">
        <v>215.467794984579</v>
      </c>
      <c r="F3269">
        <v>0.77969226138971404</v>
      </c>
      <c r="G3269">
        <v>0.87709266017079901</v>
      </c>
      <c r="H3269" t="str">
        <f t="shared" si="51"/>
        <v>Q3</v>
      </c>
    </row>
    <row r="3270" spans="1:8">
      <c r="A3270">
        <v>686024</v>
      </c>
      <c r="B3270" t="s">
        <v>247</v>
      </c>
      <c r="C3270">
        <v>60</v>
      </c>
      <c r="D3270">
        <v>3.58898303781947</v>
      </c>
      <c r="E3270">
        <v>215.33898226916801</v>
      </c>
      <c r="F3270">
        <v>0.85805650652721899</v>
      </c>
      <c r="G3270">
        <v>0.87705503931379603</v>
      </c>
      <c r="H3270" t="str">
        <f t="shared" si="51"/>
        <v>Q4</v>
      </c>
    </row>
    <row r="3271" spans="1:8">
      <c r="A3271">
        <v>805986</v>
      </c>
      <c r="B3271" t="s">
        <v>1340</v>
      </c>
      <c r="C3271">
        <v>65</v>
      </c>
      <c r="D3271">
        <v>3.3128291339828402</v>
      </c>
      <c r="E3271">
        <v>215.333893708885</v>
      </c>
      <c r="F3271">
        <v>0.86802603363304598</v>
      </c>
      <c r="G3271">
        <v>0.87701741845679204</v>
      </c>
      <c r="H3271" t="str">
        <f t="shared" si="51"/>
        <v>Q4</v>
      </c>
    </row>
    <row r="3272" spans="1:8">
      <c r="A3272">
        <v>763727</v>
      </c>
      <c r="B3272" t="s">
        <v>2628</v>
      </c>
      <c r="C3272">
        <v>55</v>
      </c>
      <c r="D3272">
        <v>3.9150385490872601</v>
      </c>
      <c r="E3272">
        <v>215.32712019979999</v>
      </c>
      <c r="F3272">
        <v>0.84763552913735396</v>
      </c>
      <c r="G3272">
        <v>0.87697979759978895</v>
      </c>
      <c r="H3272" t="str">
        <f t="shared" si="51"/>
        <v>Q4</v>
      </c>
    </row>
    <row r="3273" spans="1:8">
      <c r="A3273">
        <v>722179</v>
      </c>
      <c r="B3273" t="s">
        <v>3374</v>
      </c>
      <c r="C3273">
        <v>38</v>
      </c>
      <c r="D3273">
        <v>5.6663694154275097</v>
      </c>
      <c r="E3273">
        <v>215.32203778624501</v>
      </c>
      <c r="F3273">
        <v>0.79696023475414801</v>
      </c>
      <c r="G3273">
        <v>0.87694217674278596</v>
      </c>
      <c r="H3273" t="str">
        <f t="shared" si="51"/>
        <v>Q3</v>
      </c>
    </row>
    <row r="3274" spans="1:8">
      <c r="A3274">
        <v>570900</v>
      </c>
      <c r="B3274" t="s">
        <v>4705</v>
      </c>
      <c r="C3274">
        <v>49</v>
      </c>
      <c r="D3274">
        <v>4.3939468013692897</v>
      </c>
      <c r="E3274">
        <v>215.303393267095</v>
      </c>
      <c r="F3274">
        <v>0.83258718633610496</v>
      </c>
      <c r="G3274">
        <v>0.87690455588578298</v>
      </c>
      <c r="H3274" t="str">
        <f t="shared" si="51"/>
        <v>Q4</v>
      </c>
    </row>
    <row r="3275" spans="1:8">
      <c r="A3275">
        <v>786304</v>
      </c>
      <c r="B3275" t="s">
        <v>2374</v>
      </c>
      <c r="C3275">
        <v>90</v>
      </c>
      <c r="D3275">
        <v>2.3909981207301199</v>
      </c>
      <c r="E3275">
        <v>215.189830865711</v>
      </c>
      <c r="F3275">
        <v>0.90267484293292199</v>
      </c>
      <c r="G3275">
        <v>0.87686693502877999</v>
      </c>
      <c r="H3275" t="str">
        <f t="shared" si="51"/>
        <v>Q4</v>
      </c>
    </row>
    <row r="3276" spans="1:8">
      <c r="A3276">
        <v>790132</v>
      </c>
      <c r="B3276" t="s">
        <v>4121</v>
      </c>
      <c r="C3276">
        <v>69</v>
      </c>
      <c r="D3276">
        <v>3.1165806387645598</v>
      </c>
      <c r="E3276">
        <v>215.044064074755</v>
      </c>
      <c r="F3276">
        <v>0.87393250818253598</v>
      </c>
      <c r="G3276">
        <v>0.87682931417177701</v>
      </c>
      <c r="H3276" t="str">
        <f t="shared" si="51"/>
        <v>Q4</v>
      </c>
    </row>
    <row r="3277" spans="1:8">
      <c r="A3277">
        <v>745416</v>
      </c>
      <c r="B3277" t="s">
        <v>1039</v>
      </c>
      <c r="C3277">
        <v>57</v>
      </c>
      <c r="D3277">
        <v>3.7722569253099598</v>
      </c>
      <c r="E3277">
        <v>215.01864474266799</v>
      </c>
      <c r="F3277">
        <v>0.851849065121703</v>
      </c>
      <c r="G3277">
        <v>0.87679169331477402</v>
      </c>
      <c r="H3277" t="str">
        <f t="shared" si="51"/>
        <v>Q4</v>
      </c>
    </row>
    <row r="3278" spans="1:8">
      <c r="A3278">
        <v>853089</v>
      </c>
      <c r="B3278" t="s">
        <v>464</v>
      </c>
      <c r="C3278">
        <v>58</v>
      </c>
      <c r="D3278">
        <v>3.70715953859276</v>
      </c>
      <c r="E3278">
        <v>215.01525323838001</v>
      </c>
      <c r="F3278">
        <v>0.853993453970881</v>
      </c>
      <c r="G3278">
        <v>0.87675407245777104</v>
      </c>
      <c r="H3278" t="str">
        <f t="shared" si="51"/>
        <v>Q4</v>
      </c>
    </row>
    <row r="3279" spans="1:8">
      <c r="A3279">
        <v>661166</v>
      </c>
      <c r="B3279" t="s">
        <v>2645</v>
      </c>
      <c r="C3279">
        <v>64</v>
      </c>
      <c r="D3279">
        <v>3.3578390110051299</v>
      </c>
      <c r="E3279">
        <v>214.901696704328</v>
      </c>
      <c r="F3279">
        <v>0.86633309506790601</v>
      </c>
      <c r="G3279">
        <v>0.87671645160076705</v>
      </c>
      <c r="H3279" t="str">
        <f t="shared" si="51"/>
        <v>Q4</v>
      </c>
    </row>
    <row r="3280" spans="1:8">
      <c r="A3280">
        <v>743642</v>
      </c>
      <c r="B3280" t="s">
        <v>1640</v>
      </c>
      <c r="C3280">
        <v>133</v>
      </c>
      <c r="D3280">
        <v>1.61573843071167</v>
      </c>
      <c r="E3280">
        <v>214.89321128465201</v>
      </c>
      <c r="F3280">
        <v>0.93476543395658596</v>
      </c>
      <c r="G3280">
        <v>0.87667883074376396</v>
      </c>
      <c r="H3280" t="str">
        <f t="shared" si="51"/>
        <v>Q4</v>
      </c>
    </row>
    <row r="3281" spans="1:8">
      <c r="A3281">
        <v>639836</v>
      </c>
      <c r="B3281" t="s">
        <v>2980</v>
      </c>
      <c r="C3281">
        <v>45</v>
      </c>
      <c r="D3281">
        <v>4.7712618278132499</v>
      </c>
      <c r="E3281">
        <v>214.706782251596</v>
      </c>
      <c r="F3281">
        <v>0.82069899552311798</v>
      </c>
      <c r="G3281">
        <v>0.87664120988676097</v>
      </c>
      <c r="H3281" t="str">
        <f t="shared" si="51"/>
        <v>Q4</v>
      </c>
    </row>
    <row r="3282" spans="1:8">
      <c r="A3282">
        <v>568137</v>
      </c>
      <c r="B3282" t="s">
        <v>2780</v>
      </c>
      <c r="C3282">
        <v>180</v>
      </c>
      <c r="D3282">
        <v>1.19259884425749</v>
      </c>
      <c r="E3282">
        <v>214.667791966349</v>
      </c>
      <c r="F3282">
        <v>0.95346299988713701</v>
      </c>
      <c r="G3282">
        <v>0.87660358902975799</v>
      </c>
      <c r="H3282" t="str">
        <f t="shared" si="51"/>
        <v>Q2</v>
      </c>
    </row>
    <row r="3283" spans="1:8">
      <c r="A3283">
        <v>815808</v>
      </c>
      <c r="B3283" t="s">
        <v>492</v>
      </c>
      <c r="C3283">
        <v>44</v>
      </c>
      <c r="D3283">
        <v>4.8770416866649304</v>
      </c>
      <c r="E3283">
        <v>214.58983421325701</v>
      </c>
      <c r="F3283">
        <v>0.817689326962868</v>
      </c>
      <c r="G3283">
        <v>0.87656596817275501</v>
      </c>
      <c r="H3283" t="str">
        <f t="shared" si="51"/>
        <v>Q4</v>
      </c>
    </row>
    <row r="3284" spans="1:8">
      <c r="A3284">
        <v>697834</v>
      </c>
      <c r="B3284" t="s">
        <v>1521</v>
      </c>
      <c r="C3284">
        <v>89</v>
      </c>
      <c r="D3284">
        <v>2.40986478682398</v>
      </c>
      <c r="E3284">
        <v>214.47796602733399</v>
      </c>
      <c r="F3284">
        <v>0.90135811293781298</v>
      </c>
      <c r="G3284">
        <v>0.87652834731575202</v>
      </c>
      <c r="H3284" t="str">
        <f t="shared" si="51"/>
        <v>Q4</v>
      </c>
    </row>
    <row r="3285" spans="1:8">
      <c r="A3285">
        <v>702932</v>
      </c>
      <c r="B3285" t="s">
        <v>239</v>
      </c>
      <c r="C3285">
        <v>88</v>
      </c>
      <c r="D3285">
        <v>2.4360939934426402</v>
      </c>
      <c r="E3285">
        <v>214.37627142295199</v>
      </c>
      <c r="F3285">
        <v>0.90045521236973802</v>
      </c>
      <c r="G3285">
        <v>0.87649072645874904</v>
      </c>
      <c r="H3285" t="str">
        <f t="shared" si="51"/>
        <v>Q4</v>
      </c>
    </row>
    <row r="3286" spans="1:8">
      <c r="A3286">
        <v>696228</v>
      </c>
      <c r="B3286" t="s">
        <v>2928</v>
      </c>
      <c r="C3286">
        <v>93</v>
      </c>
      <c r="D3286">
        <v>2.30510298172713</v>
      </c>
      <c r="E3286">
        <v>214.374577300623</v>
      </c>
      <c r="F3286">
        <v>0.90587261577818701</v>
      </c>
      <c r="G3286">
        <v>0.87645310560174605</v>
      </c>
      <c r="H3286" t="str">
        <f t="shared" si="51"/>
        <v>Q4</v>
      </c>
    </row>
    <row r="3287" spans="1:8">
      <c r="A3287">
        <v>777221</v>
      </c>
      <c r="B3287" t="s">
        <v>3954</v>
      </c>
      <c r="C3287">
        <v>78</v>
      </c>
      <c r="D3287">
        <v>2.74791390730593</v>
      </c>
      <c r="E3287">
        <v>214.337284769863</v>
      </c>
      <c r="F3287">
        <v>0.88867988412776</v>
      </c>
      <c r="G3287">
        <v>0.87641548474474296</v>
      </c>
      <c r="H3287" t="str">
        <f t="shared" si="51"/>
        <v>Q4</v>
      </c>
    </row>
    <row r="3288" spans="1:8">
      <c r="A3288">
        <v>687114</v>
      </c>
      <c r="B3288" t="s">
        <v>4287</v>
      </c>
      <c r="C3288">
        <v>38</v>
      </c>
      <c r="D3288">
        <v>5.6376897141729501</v>
      </c>
      <c r="E3288">
        <v>214.23220913857199</v>
      </c>
      <c r="F3288">
        <v>0.79696023475414801</v>
      </c>
      <c r="G3288">
        <v>0.87637786388773897</v>
      </c>
      <c r="H3288" t="str">
        <f t="shared" si="51"/>
        <v>Q3</v>
      </c>
    </row>
    <row r="3289" spans="1:8">
      <c r="A3289">
        <v>713937</v>
      </c>
      <c r="B3289" t="s">
        <v>1895</v>
      </c>
      <c r="C3289">
        <v>29</v>
      </c>
      <c r="D3289">
        <v>7.3798363707188903</v>
      </c>
      <c r="E3289">
        <v>214.01525475084799</v>
      </c>
      <c r="F3289">
        <v>0.75501297919566601</v>
      </c>
      <c r="G3289">
        <v>0.87634024303073599</v>
      </c>
      <c r="H3289" t="str">
        <f t="shared" si="51"/>
        <v>Q3</v>
      </c>
    </row>
    <row r="3290" spans="1:8">
      <c r="A3290">
        <v>719110</v>
      </c>
      <c r="B3290" t="s">
        <v>1456</v>
      </c>
      <c r="C3290">
        <v>43</v>
      </c>
      <c r="D3290">
        <v>4.9735514447093001</v>
      </c>
      <c r="E3290">
        <v>213.8627121225</v>
      </c>
      <c r="F3290">
        <v>0.81437869154659304</v>
      </c>
      <c r="G3290">
        <v>0.876302622173733</v>
      </c>
      <c r="H3290" t="str">
        <f t="shared" si="51"/>
        <v>Q3</v>
      </c>
    </row>
    <row r="3291" spans="1:8">
      <c r="A3291">
        <v>300908</v>
      </c>
      <c r="B3291" t="s">
        <v>1822</v>
      </c>
      <c r="C3291">
        <v>39</v>
      </c>
      <c r="D3291">
        <v>5.4834420959918901</v>
      </c>
      <c r="E3291">
        <v>213.85424174368401</v>
      </c>
      <c r="F3291">
        <v>0.80087280388247195</v>
      </c>
      <c r="G3291">
        <v>0.87626500131673002</v>
      </c>
      <c r="H3291" t="str">
        <f t="shared" si="51"/>
        <v>Q3</v>
      </c>
    </row>
    <row r="3292" spans="1:8">
      <c r="A3292">
        <v>640314</v>
      </c>
      <c r="B3292" t="s">
        <v>1926</v>
      </c>
      <c r="C3292">
        <v>91</v>
      </c>
      <c r="D3292">
        <v>2.3457440905846099</v>
      </c>
      <c r="E3292">
        <v>213.46271224319901</v>
      </c>
      <c r="F3292">
        <v>0.90350250178699099</v>
      </c>
      <c r="G3292">
        <v>0.87622738045972703</v>
      </c>
      <c r="H3292" t="str">
        <f t="shared" si="51"/>
        <v>Q4</v>
      </c>
    </row>
    <row r="3293" spans="1:8">
      <c r="A3293">
        <v>757482</v>
      </c>
      <c r="B3293" t="s">
        <v>4179</v>
      </c>
      <c r="C3293">
        <v>108</v>
      </c>
      <c r="D3293">
        <v>1.9761455607497</v>
      </c>
      <c r="E3293">
        <v>213.42372056096801</v>
      </c>
      <c r="F3293">
        <v>0.91866370715924905</v>
      </c>
      <c r="G3293">
        <v>0.87618975960272405</v>
      </c>
      <c r="H3293" t="str">
        <f t="shared" si="51"/>
        <v>Q4</v>
      </c>
    </row>
    <row r="3294" spans="1:8">
      <c r="A3294">
        <v>600932</v>
      </c>
      <c r="B3294" t="s">
        <v>2097</v>
      </c>
      <c r="C3294">
        <v>100</v>
      </c>
      <c r="D3294">
        <v>2.1341863498091702</v>
      </c>
      <c r="E3294">
        <v>213.41863498091701</v>
      </c>
      <c r="F3294">
        <v>0.91155336518565899</v>
      </c>
      <c r="G3294">
        <v>0.87615213874572095</v>
      </c>
      <c r="H3294" t="str">
        <f t="shared" si="51"/>
        <v>Q4</v>
      </c>
    </row>
    <row r="3295" spans="1:8">
      <c r="A3295">
        <v>552041</v>
      </c>
      <c r="B3295" t="s">
        <v>2842</v>
      </c>
      <c r="C3295">
        <v>46</v>
      </c>
      <c r="D3295">
        <v>4.6387250697159201</v>
      </c>
      <c r="E3295">
        <v>213.381353206933</v>
      </c>
      <c r="F3295">
        <v>0.82378390579737404</v>
      </c>
      <c r="G3295">
        <v>0.87611451788871797</v>
      </c>
      <c r="H3295" t="str">
        <f t="shared" si="51"/>
        <v>Q4</v>
      </c>
    </row>
    <row r="3296" spans="1:8">
      <c r="A3296">
        <v>649046</v>
      </c>
      <c r="B3296" t="s">
        <v>1022</v>
      </c>
      <c r="C3296">
        <v>45</v>
      </c>
      <c r="D3296">
        <v>4.7406027217705997</v>
      </c>
      <c r="E3296">
        <v>213.327122479677</v>
      </c>
      <c r="F3296">
        <v>0.82069899552311798</v>
      </c>
      <c r="G3296">
        <v>0.87607689703171399</v>
      </c>
      <c r="H3296" t="str">
        <f t="shared" si="51"/>
        <v>Q4</v>
      </c>
    </row>
    <row r="3297" spans="1:8">
      <c r="A3297">
        <v>751225</v>
      </c>
      <c r="B3297" t="s">
        <v>5068</v>
      </c>
      <c r="C3297">
        <v>65</v>
      </c>
      <c r="D3297">
        <v>3.2816948598394</v>
      </c>
      <c r="E3297">
        <v>213.31016588956101</v>
      </c>
      <c r="F3297">
        <v>0.86802603363304598</v>
      </c>
      <c r="G3297">
        <v>0.876039276174711</v>
      </c>
      <c r="H3297" t="str">
        <f t="shared" si="51"/>
        <v>Q4</v>
      </c>
    </row>
    <row r="3298" spans="1:8">
      <c r="A3298">
        <v>765175</v>
      </c>
      <c r="B3298" t="s">
        <v>2479</v>
      </c>
      <c r="C3298">
        <v>65</v>
      </c>
      <c r="D3298">
        <v>3.28062576456712</v>
      </c>
      <c r="E3298">
        <v>213.24067469686301</v>
      </c>
      <c r="F3298">
        <v>0.86802603363304598</v>
      </c>
      <c r="G3298">
        <v>0.87600165531770802</v>
      </c>
      <c r="H3298" t="str">
        <f t="shared" si="51"/>
        <v>Q4</v>
      </c>
    </row>
    <row r="3299" spans="1:8">
      <c r="A3299">
        <v>764230</v>
      </c>
      <c r="B3299" t="s">
        <v>2417</v>
      </c>
      <c r="C3299">
        <v>87</v>
      </c>
      <c r="D3299">
        <v>2.4480031268007498</v>
      </c>
      <c r="E3299">
        <v>212.97627203166499</v>
      </c>
      <c r="F3299">
        <v>0.89955231180166295</v>
      </c>
      <c r="G3299">
        <v>0.87596403446070503</v>
      </c>
      <c r="H3299" t="str">
        <f t="shared" si="51"/>
        <v>Q4</v>
      </c>
    </row>
    <row r="3300" spans="1:8">
      <c r="A3300">
        <v>734968</v>
      </c>
      <c r="B3300" t="s">
        <v>5029</v>
      </c>
      <c r="C3300">
        <v>69</v>
      </c>
      <c r="D3300">
        <v>3.0866125625544698</v>
      </c>
      <c r="E3300">
        <v>212.976266816258</v>
      </c>
      <c r="F3300">
        <v>0.87393250818253598</v>
      </c>
      <c r="G3300">
        <v>0.87592641360370205</v>
      </c>
      <c r="H3300" t="str">
        <f t="shared" si="51"/>
        <v>Q4</v>
      </c>
    </row>
    <row r="3301" spans="1:8">
      <c r="A3301">
        <v>751390</v>
      </c>
      <c r="B3301" t="s">
        <v>3118</v>
      </c>
      <c r="C3301">
        <v>57</v>
      </c>
      <c r="D3301">
        <v>3.73633660931598</v>
      </c>
      <c r="E3301">
        <v>212.97118673101099</v>
      </c>
      <c r="F3301">
        <v>0.851849065121703</v>
      </c>
      <c r="G3301">
        <v>0.87588879274669895</v>
      </c>
      <c r="H3301" t="str">
        <f t="shared" si="51"/>
        <v>Q4</v>
      </c>
    </row>
    <row r="3302" spans="1:8">
      <c r="A3302">
        <v>630701</v>
      </c>
      <c r="B3302" t="s">
        <v>4595</v>
      </c>
      <c r="C3302">
        <v>111</v>
      </c>
      <c r="D3302">
        <v>1.91569701424456</v>
      </c>
      <c r="E3302">
        <v>212.642368581146</v>
      </c>
      <c r="F3302">
        <v>0.92084571686543004</v>
      </c>
      <c r="G3302">
        <v>0.87585117188969597</v>
      </c>
      <c r="H3302" t="str">
        <f t="shared" si="51"/>
        <v>Q4</v>
      </c>
    </row>
    <row r="3303" spans="1:8">
      <c r="A3303">
        <v>832598</v>
      </c>
      <c r="B3303" t="s">
        <v>3744</v>
      </c>
      <c r="C3303">
        <v>31</v>
      </c>
      <c r="D3303">
        <v>6.8587751758675397</v>
      </c>
      <c r="E3303">
        <v>212.62203045189401</v>
      </c>
      <c r="F3303">
        <v>0.766073511154584</v>
      </c>
      <c r="G3303">
        <v>0.87581355103269298</v>
      </c>
      <c r="H3303" t="str">
        <f t="shared" si="51"/>
        <v>Q3</v>
      </c>
    </row>
    <row r="3304" spans="1:8">
      <c r="A3304">
        <v>774546</v>
      </c>
      <c r="B3304" t="s">
        <v>4187</v>
      </c>
      <c r="C3304">
        <v>118</v>
      </c>
      <c r="D3304">
        <v>1.8016374448977299</v>
      </c>
      <c r="E3304">
        <v>212.59321849793201</v>
      </c>
      <c r="F3304">
        <v>0.92592453256085205</v>
      </c>
      <c r="G3304">
        <v>0.875775930175689</v>
      </c>
      <c r="H3304" t="str">
        <f t="shared" si="51"/>
        <v>Q4</v>
      </c>
    </row>
    <row r="3305" spans="1:8">
      <c r="A3305">
        <v>755872</v>
      </c>
      <c r="B3305" t="s">
        <v>189</v>
      </c>
      <c r="C3305">
        <v>36</v>
      </c>
      <c r="D3305">
        <v>5.9021186393996103</v>
      </c>
      <c r="E3305">
        <v>212.476271018386</v>
      </c>
      <c r="F3305">
        <v>0.78890937135547901</v>
      </c>
      <c r="G3305">
        <v>0.87573830931868601</v>
      </c>
      <c r="H3305" t="str">
        <f t="shared" si="51"/>
        <v>Q3</v>
      </c>
    </row>
    <row r="3306" spans="1:8">
      <c r="A3306">
        <v>698482</v>
      </c>
      <c r="B3306" t="s">
        <v>1492</v>
      </c>
      <c r="C3306">
        <v>69</v>
      </c>
      <c r="D3306">
        <v>3.0782362297717198</v>
      </c>
      <c r="E3306">
        <v>212.39829985424899</v>
      </c>
      <c r="F3306">
        <v>0.87393250818253598</v>
      </c>
      <c r="G3306">
        <v>0.87570068846168303</v>
      </c>
      <c r="H3306" t="str">
        <f t="shared" si="51"/>
        <v>Q4</v>
      </c>
    </row>
    <row r="3307" spans="1:8">
      <c r="A3307">
        <v>368979</v>
      </c>
      <c r="B3307" t="s">
        <v>1480</v>
      </c>
      <c r="C3307">
        <v>129</v>
      </c>
      <c r="D3307">
        <v>1.64329254090093</v>
      </c>
      <c r="E3307">
        <v>211.98473777621999</v>
      </c>
      <c r="F3307">
        <v>0.93247056167939502</v>
      </c>
      <c r="G3307">
        <v>0.87566306760468005</v>
      </c>
      <c r="H3307" t="str">
        <f t="shared" si="51"/>
        <v>Q4</v>
      </c>
    </row>
    <row r="3308" spans="1:8">
      <c r="A3308">
        <v>744792</v>
      </c>
      <c r="B3308" t="s">
        <v>1443</v>
      </c>
      <c r="C3308">
        <v>42</v>
      </c>
      <c r="D3308">
        <v>5.04552068277484</v>
      </c>
      <c r="E3308">
        <v>211.91186867654301</v>
      </c>
      <c r="F3308">
        <v>0.81103043527331597</v>
      </c>
      <c r="G3308">
        <v>0.87562544674767695</v>
      </c>
      <c r="H3308" t="str">
        <f t="shared" si="51"/>
        <v>Q3</v>
      </c>
    </row>
    <row r="3309" spans="1:8">
      <c r="A3309">
        <v>672573</v>
      </c>
      <c r="B3309" t="s">
        <v>3217</v>
      </c>
      <c r="C3309">
        <v>31</v>
      </c>
      <c r="D3309">
        <v>6.8355384372895802</v>
      </c>
      <c r="E3309">
        <v>211.90169155597701</v>
      </c>
      <c r="F3309">
        <v>0.766073511154584</v>
      </c>
      <c r="G3309">
        <v>0.87558782589067397</v>
      </c>
      <c r="H3309" t="str">
        <f t="shared" si="51"/>
        <v>Q3</v>
      </c>
    </row>
    <row r="3310" spans="1:8">
      <c r="A3310">
        <v>656367</v>
      </c>
      <c r="B3310" t="s">
        <v>2430</v>
      </c>
      <c r="C3310">
        <v>43</v>
      </c>
      <c r="D3310">
        <v>4.9236894780120197</v>
      </c>
      <c r="E3310">
        <v>211.71864755451699</v>
      </c>
      <c r="F3310">
        <v>0.81437869154659304</v>
      </c>
      <c r="G3310">
        <v>0.87555020503367098</v>
      </c>
      <c r="H3310" t="str">
        <f t="shared" si="51"/>
        <v>Q3</v>
      </c>
    </row>
    <row r="3311" spans="1:8">
      <c r="A3311">
        <v>626813</v>
      </c>
      <c r="B3311" t="s">
        <v>4774</v>
      </c>
      <c r="C3311">
        <v>162</v>
      </c>
      <c r="D3311">
        <v>1.3067482663088601</v>
      </c>
      <c r="E3311">
        <v>211.69321914203499</v>
      </c>
      <c r="F3311">
        <v>0.94714269591061295</v>
      </c>
      <c r="G3311">
        <v>0.875512584176668</v>
      </c>
      <c r="H3311" t="str">
        <f t="shared" si="51"/>
        <v>Q4</v>
      </c>
    </row>
    <row r="3312" spans="1:8">
      <c r="A3312">
        <v>307239</v>
      </c>
      <c r="B3312" t="s">
        <v>2102</v>
      </c>
      <c r="C3312">
        <v>86</v>
      </c>
      <c r="D3312">
        <v>2.46150965780713</v>
      </c>
      <c r="E3312">
        <v>211.68983057141301</v>
      </c>
      <c r="F3312">
        <v>0.89864941123358799</v>
      </c>
      <c r="G3312">
        <v>0.87547496331966401</v>
      </c>
      <c r="H3312" t="str">
        <f t="shared" si="51"/>
        <v>Q4</v>
      </c>
    </row>
    <row r="3313" spans="1:8">
      <c r="A3313">
        <v>739412</v>
      </c>
      <c r="B3313" t="s">
        <v>1831</v>
      </c>
      <c r="C3313">
        <v>18</v>
      </c>
      <c r="D3313">
        <v>11.759133968088401</v>
      </c>
      <c r="E3313">
        <v>211.664411425591</v>
      </c>
      <c r="F3313">
        <v>0.67044129265264696</v>
      </c>
      <c r="G3313">
        <v>0.87543734246266103</v>
      </c>
      <c r="H3313" t="str">
        <f t="shared" si="51"/>
        <v>Q3</v>
      </c>
    </row>
    <row r="3314" spans="1:8">
      <c r="A3314">
        <v>609511</v>
      </c>
      <c r="B3314" t="s">
        <v>3383</v>
      </c>
      <c r="C3314">
        <v>36</v>
      </c>
      <c r="D3314">
        <v>5.8673259491721801</v>
      </c>
      <c r="E3314">
        <v>211.22373417019799</v>
      </c>
      <c r="F3314">
        <v>0.78890937135547901</v>
      </c>
      <c r="G3314">
        <v>0.87539972160565804</v>
      </c>
      <c r="H3314" t="str">
        <f t="shared" si="51"/>
        <v>Q3</v>
      </c>
    </row>
    <row r="3315" spans="1:8">
      <c r="A3315">
        <v>700092</v>
      </c>
      <c r="B3315" t="s">
        <v>1390</v>
      </c>
      <c r="C3315">
        <v>78</v>
      </c>
      <c r="D3315">
        <v>2.7079964749132999</v>
      </c>
      <c r="E3315">
        <v>211.22372504323701</v>
      </c>
      <c r="F3315">
        <v>0.88867988412776</v>
      </c>
      <c r="G3315">
        <v>0.87536210074865495</v>
      </c>
      <c r="H3315" t="str">
        <f t="shared" si="51"/>
        <v>Q4</v>
      </c>
    </row>
    <row r="3316" spans="1:8">
      <c r="A3316">
        <v>571484</v>
      </c>
      <c r="B3316" t="s">
        <v>4126</v>
      </c>
      <c r="C3316">
        <v>52</v>
      </c>
      <c r="D3316">
        <v>4.0619621913020403</v>
      </c>
      <c r="E3316">
        <v>211.222033947706</v>
      </c>
      <c r="F3316">
        <v>0.84003611602272299</v>
      </c>
      <c r="G3316">
        <v>0.87532447989165196</v>
      </c>
      <c r="H3316" t="str">
        <f t="shared" si="51"/>
        <v>Q4</v>
      </c>
    </row>
    <row r="3317" spans="1:8">
      <c r="A3317">
        <v>766272</v>
      </c>
      <c r="B3317" t="s">
        <v>880</v>
      </c>
      <c r="C3317">
        <v>29</v>
      </c>
      <c r="D3317">
        <v>7.2774982786384097</v>
      </c>
      <c r="E3317">
        <v>211.04745008051401</v>
      </c>
      <c r="F3317">
        <v>0.75501297919566601</v>
      </c>
      <c r="G3317">
        <v>0.87528685903464898</v>
      </c>
      <c r="H3317" t="str">
        <f t="shared" si="51"/>
        <v>Q3</v>
      </c>
    </row>
    <row r="3318" spans="1:8">
      <c r="A3318">
        <v>743014</v>
      </c>
      <c r="B3318" t="s">
        <v>3957</v>
      </c>
      <c r="C3318">
        <v>67</v>
      </c>
      <c r="D3318">
        <v>3.14814059147194</v>
      </c>
      <c r="E3318">
        <v>210.92541962862001</v>
      </c>
      <c r="F3318">
        <v>0.87118618562130801</v>
      </c>
      <c r="G3318">
        <v>0.87524923817764599</v>
      </c>
      <c r="H3318" t="str">
        <f t="shared" si="51"/>
        <v>Q4</v>
      </c>
    </row>
    <row r="3319" spans="1:8">
      <c r="A3319">
        <v>635168</v>
      </c>
      <c r="B3319" t="s">
        <v>3742</v>
      </c>
      <c r="C3319">
        <v>53</v>
      </c>
      <c r="D3319">
        <v>3.9740966035510001</v>
      </c>
      <c r="E3319">
        <v>210.62711998820299</v>
      </c>
      <c r="F3319">
        <v>0.84218050487190099</v>
      </c>
      <c r="G3319">
        <v>0.87521161732064301</v>
      </c>
      <c r="H3319" t="str">
        <f t="shared" si="51"/>
        <v>Q4</v>
      </c>
    </row>
    <row r="3320" spans="1:8">
      <c r="A3320">
        <v>709666</v>
      </c>
      <c r="B3320" t="s">
        <v>1924</v>
      </c>
      <c r="C3320">
        <v>57</v>
      </c>
      <c r="D3320">
        <v>3.6927148250438102</v>
      </c>
      <c r="E3320">
        <v>210.48474502749701</v>
      </c>
      <c r="F3320">
        <v>0.851849065121703</v>
      </c>
      <c r="G3320">
        <v>0.87517399646363903</v>
      </c>
      <c r="H3320" t="str">
        <f t="shared" si="51"/>
        <v>Q4</v>
      </c>
    </row>
    <row r="3321" spans="1:8">
      <c r="A3321">
        <v>639258</v>
      </c>
      <c r="B3321" t="s">
        <v>1903</v>
      </c>
      <c r="C3321">
        <v>30</v>
      </c>
      <c r="D3321">
        <v>7.0157061641415002</v>
      </c>
      <c r="E3321">
        <v>210.47118492424499</v>
      </c>
      <c r="F3321">
        <v>0.760430382604116</v>
      </c>
      <c r="G3321">
        <v>0.87513637560663604</v>
      </c>
      <c r="H3321" t="str">
        <f t="shared" si="51"/>
        <v>Q3</v>
      </c>
    </row>
    <row r="3322" spans="1:8">
      <c r="A3322">
        <v>744272</v>
      </c>
      <c r="B3322" t="s">
        <v>713</v>
      </c>
      <c r="C3322">
        <v>40</v>
      </c>
      <c r="D3322">
        <v>5.2611865522339896</v>
      </c>
      <c r="E3322">
        <v>210.44746208935999</v>
      </c>
      <c r="F3322">
        <v>0.804522027011775</v>
      </c>
      <c r="G3322">
        <v>0.87509875474963295</v>
      </c>
      <c r="H3322" t="str">
        <f t="shared" si="51"/>
        <v>Q3</v>
      </c>
    </row>
    <row r="3323" spans="1:8">
      <c r="A3323">
        <v>549263</v>
      </c>
      <c r="B3323" t="s">
        <v>2465</v>
      </c>
      <c r="C3323">
        <v>90</v>
      </c>
      <c r="D3323">
        <v>2.3380979264362001</v>
      </c>
      <c r="E3323">
        <v>210.428813379258</v>
      </c>
      <c r="F3323">
        <v>0.90267484293292199</v>
      </c>
      <c r="G3323">
        <v>0.87506113389262996</v>
      </c>
      <c r="H3323" t="str">
        <f t="shared" si="51"/>
        <v>Q4</v>
      </c>
    </row>
    <row r="3324" spans="1:8">
      <c r="A3324">
        <v>830538</v>
      </c>
      <c r="B3324" t="s">
        <v>1784</v>
      </c>
      <c r="C3324">
        <v>43</v>
      </c>
      <c r="D3324">
        <v>4.8930233344435701</v>
      </c>
      <c r="E3324">
        <v>210.40000338107299</v>
      </c>
      <c r="F3324">
        <v>0.81437869154659304</v>
      </c>
      <c r="G3324">
        <v>0.87502351303562698</v>
      </c>
      <c r="H3324" t="str">
        <f t="shared" si="51"/>
        <v>Q4</v>
      </c>
    </row>
    <row r="3325" spans="1:8">
      <c r="A3325">
        <v>775382</v>
      </c>
      <c r="B3325" t="s">
        <v>4667</v>
      </c>
      <c r="C3325">
        <v>43</v>
      </c>
      <c r="D3325">
        <v>4.8874261853999901</v>
      </c>
      <c r="E3325">
        <v>210.15932597219901</v>
      </c>
      <c r="F3325">
        <v>0.81437869154659304</v>
      </c>
      <c r="G3325">
        <v>0.87498589217862399</v>
      </c>
      <c r="H3325" t="str">
        <f t="shared" si="51"/>
        <v>Q4</v>
      </c>
    </row>
    <row r="3326" spans="1:8">
      <c r="A3326">
        <v>704767</v>
      </c>
      <c r="B3326" t="s">
        <v>3960</v>
      </c>
      <c r="C3326">
        <v>72</v>
      </c>
      <c r="D3326">
        <v>2.9182202777721802</v>
      </c>
      <c r="E3326">
        <v>210.11185999959699</v>
      </c>
      <c r="F3326">
        <v>0.87957563673300498</v>
      </c>
      <c r="G3326">
        <v>0.87494827132162101</v>
      </c>
      <c r="H3326" t="str">
        <f t="shared" si="51"/>
        <v>Q4</v>
      </c>
    </row>
    <row r="3327" spans="1:8">
      <c r="A3327">
        <v>656491</v>
      </c>
      <c r="B3327" t="s">
        <v>4320</v>
      </c>
      <c r="C3327">
        <v>48</v>
      </c>
      <c r="D3327">
        <v>4.3758828386974802</v>
      </c>
      <c r="E3327">
        <v>210.04237625747899</v>
      </c>
      <c r="F3327">
        <v>0.82957751777585498</v>
      </c>
      <c r="G3327">
        <v>0.87491065046461802</v>
      </c>
      <c r="H3327" t="str">
        <f t="shared" si="51"/>
        <v>Q4</v>
      </c>
    </row>
    <row r="3328" spans="1:8">
      <c r="A3328">
        <v>633136</v>
      </c>
      <c r="B3328" t="s">
        <v>2088</v>
      </c>
      <c r="C3328">
        <v>102</v>
      </c>
      <c r="D3328">
        <v>2.05882349663286</v>
      </c>
      <c r="E3328">
        <v>209.99999665655201</v>
      </c>
      <c r="F3328">
        <v>0.91332154546480604</v>
      </c>
      <c r="G3328">
        <v>0.87487302960761404</v>
      </c>
      <c r="H3328" t="str">
        <f t="shared" si="51"/>
        <v>Q4</v>
      </c>
    </row>
    <row r="3329" spans="1:8">
      <c r="A3329">
        <v>651685</v>
      </c>
      <c r="B3329" t="s">
        <v>2058</v>
      </c>
      <c r="C3329">
        <v>103</v>
      </c>
      <c r="D3329">
        <v>2.0386210027901299</v>
      </c>
      <c r="E3329">
        <v>209.97796328738301</v>
      </c>
      <c r="F3329">
        <v>0.91433730860388995</v>
      </c>
      <c r="G3329">
        <v>0.87483540875061105</v>
      </c>
      <c r="H3329" t="str">
        <f t="shared" si="51"/>
        <v>Q4</v>
      </c>
    </row>
    <row r="3330" spans="1:8">
      <c r="A3330">
        <v>829005</v>
      </c>
      <c r="B3330" t="s">
        <v>3250</v>
      </c>
      <c r="C3330">
        <v>38</v>
      </c>
      <c r="D3330">
        <v>5.52194480245051</v>
      </c>
      <c r="E3330">
        <v>209.83390249311901</v>
      </c>
      <c r="F3330">
        <v>0.79696023475414801</v>
      </c>
      <c r="G3330">
        <v>0.87479778789360796</v>
      </c>
      <c r="H3330" t="str">
        <f t="shared" si="51"/>
        <v>Q3</v>
      </c>
    </row>
    <row r="3331" spans="1:8">
      <c r="A3331">
        <v>758034</v>
      </c>
      <c r="B3331" t="s">
        <v>2211</v>
      </c>
      <c r="C3331">
        <v>88</v>
      </c>
      <c r="D3331">
        <v>2.3830893766981598</v>
      </c>
      <c r="E3331">
        <v>209.71186514943801</v>
      </c>
      <c r="F3331">
        <v>0.90045521236973802</v>
      </c>
      <c r="G3331">
        <v>0.87476016703660497</v>
      </c>
      <c r="H3331" t="str">
        <f t="shared" ref="H3331:H3394" si="52">IF(C3331&gt;$J$2,
   IF(D3331&gt;$J$3,"Q1","Q2"),
   IF(D3331&gt;$J$3,"Q3","Q4"))</f>
        <v>Q4</v>
      </c>
    </row>
    <row r="3332" spans="1:8">
      <c r="A3332">
        <v>796685</v>
      </c>
      <c r="B3332" t="s">
        <v>3048</v>
      </c>
      <c r="C3332">
        <v>87</v>
      </c>
      <c r="D3332">
        <v>2.4064289962594501</v>
      </c>
      <c r="E3332">
        <v>209.35932267457201</v>
      </c>
      <c r="F3332">
        <v>0.89955231180166295</v>
      </c>
      <c r="G3332">
        <v>0.87472254617960199</v>
      </c>
      <c r="H3332" t="str">
        <f t="shared" si="52"/>
        <v>Q4</v>
      </c>
    </row>
    <row r="3333" spans="1:8">
      <c r="A3333">
        <v>752570</v>
      </c>
      <c r="B3333" t="s">
        <v>3375</v>
      </c>
      <c r="C3333">
        <v>52</v>
      </c>
      <c r="D3333">
        <v>4.02509778594741</v>
      </c>
      <c r="E3333">
        <v>209.30508486926601</v>
      </c>
      <c r="F3333">
        <v>0.84003611602272299</v>
      </c>
      <c r="G3333">
        <v>0.87468492532259901</v>
      </c>
      <c r="H3333" t="str">
        <f t="shared" si="52"/>
        <v>Q4</v>
      </c>
    </row>
    <row r="3334" spans="1:8">
      <c r="A3334">
        <v>552370</v>
      </c>
      <c r="B3334" t="s">
        <v>4478</v>
      </c>
      <c r="C3334">
        <v>130</v>
      </c>
      <c r="D3334">
        <v>1.60997386162098</v>
      </c>
      <c r="E3334">
        <v>209.29660201072701</v>
      </c>
      <c r="F3334">
        <v>0.93307249539144499</v>
      </c>
      <c r="G3334">
        <v>0.87464730446559602</v>
      </c>
      <c r="H3334" t="str">
        <f t="shared" si="52"/>
        <v>Q4</v>
      </c>
    </row>
    <row r="3335" spans="1:8">
      <c r="A3335">
        <v>637940</v>
      </c>
      <c r="B3335" t="s">
        <v>3107</v>
      </c>
      <c r="C3335">
        <v>47</v>
      </c>
      <c r="D3335">
        <v>4.4510998862220896</v>
      </c>
      <c r="E3335">
        <v>209.20169465243799</v>
      </c>
      <c r="F3335">
        <v>0.82641736578759295</v>
      </c>
      <c r="G3335">
        <v>0.87460968360859304</v>
      </c>
      <c r="H3335" t="str">
        <f t="shared" si="52"/>
        <v>Q4</v>
      </c>
    </row>
    <row r="3336" spans="1:8">
      <c r="A3336">
        <v>686031</v>
      </c>
      <c r="B3336" t="s">
        <v>3101</v>
      </c>
      <c r="C3336">
        <v>64</v>
      </c>
      <c r="D3336">
        <v>3.2673728768713799</v>
      </c>
      <c r="E3336">
        <v>209.111864119768</v>
      </c>
      <c r="F3336">
        <v>0.86633309506790601</v>
      </c>
      <c r="G3336">
        <v>0.87457206275158905</v>
      </c>
      <c r="H3336" t="str">
        <f t="shared" si="52"/>
        <v>Q4</v>
      </c>
    </row>
    <row r="3337" spans="1:8">
      <c r="A3337">
        <v>377277</v>
      </c>
      <c r="B3337" t="s">
        <v>4757</v>
      </c>
      <c r="C3337">
        <v>341</v>
      </c>
      <c r="D3337">
        <v>0.613216361999812</v>
      </c>
      <c r="E3337">
        <v>209.106779441936</v>
      </c>
      <c r="F3337">
        <v>0.97979759978932301</v>
      </c>
      <c r="G3337">
        <v>0.87453444189458596</v>
      </c>
      <c r="H3337" t="str">
        <f t="shared" si="52"/>
        <v>Q2</v>
      </c>
    </row>
    <row r="3338" spans="1:8">
      <c r="A3338">
        <v>719530</v>
      </c>
      <c r="B3338" t="s">
        <v>2975</v>
      </c>
      <c r="C3338">
        <v>64</v>
      </c>
      <c r="D3338">
        <v>3.26724041369744</v>
      </c>
      <c r="E3338">
        <v>209.10338647663599</v>
      </c>
      <c r="F3338">
        <v>0.86633309506790601</v>
      </c>
      <c r="G3338">
        <v>0.87449682103758297</v>
      </c>
      <c r="H3338" t="str">
        <f t="shared" si="52"/>
        <v>Q4</v>
      </c>
    </row>
    <row r="3339" spans="1:8">
      <c r="A3339">
        <v>666656</v>
      </c>
      <c r="B3339" t="s">
        <v>2684</v>
      </c>
      <c r="C3339">
        <v>45</v>
      </c>
      <c r="D3339">
        <v>4.6445575149522904</v>
      </c>
      <c r="E3339">
        <v>209.00508817285299</v>
      </c>
      <c r="F3339">
        <v>0.82069899552311798</v>
      </c>
      <c r="G3339">
        <v>0.87445920018057999</v>
      </c>
      <c r="H3339" t="str">
        <f t="shared" si="52"/>
        <v>Q4</v>
      </c>
    </row>
    <row r="3340" spans="1:8">
      <c r="A3340">
        <v>795836</v>
      </c>
      <c r="B3340" t="s">
        <v>3665</v>
      </c>
      <c r="C3340">
        <v>69</v>
      </c>
      <c r="D3340">
        <v>3.0286906948448098</v>
      </c>
      <c r="E3340">
        <v>208.979657944292</v>
      </c>
      <c r="F3340">
        <v>0.87393250818253598</v>
      </c>
      <c r="G3340">
        <v>0.874421579323577</v>
      </c>
      <c r="H3340" t="str">
        <f t="shared" si="52"/>
        <v>Q4</v>
      </c>
    </row>
    <row r="3341" spans="1:8">
      <c r="A3341">
        <v>751257</v>
      </c>
      <c r="B3341" t="s">
        <v>1450</v>
      </c>
      <c r="C3341">
        <v>87</v>
      </c>
      <c r="D3341">
        <v>2.4005649686287902</v>
      </c>
      <c r="E3341">
        <v>208.84915227070499</v>
      </c>
      <c r="F3341">
        <v>0.89955231180166295</v>
      </c>
      <c r="G3341">
        <v>0.87438395846657402</v>
      </c>
      <c r="H3341" t="str">
        <f t="shared" si="52"/>
        <v>Q4</v>
      </c>
    </row>
    <row r="3342" spans="1:8">
      <c r="A3342">
        <v>760982</v>
      </c>
      <c r="B3342" t="s">
        <v>3354</v>
      </c>
      <c r="C3342">
        <v>58</v>
      </c>
      <c r="D3342">
        <v>3.6001461108439998</v>
      </c>
      <c r="E3342">
        <v>208.808474428952</v>
      </c>
      <c r="F3342">
        <v>0.853993453970881</v>
      </c>
      <c r="G3342">
        <v>0.87434633760957103</v>
      </c>
      <c r="H3342" t="str">
        <f t="shared" si="52"/>
        <v>Q4</v>
      </c>
    </row>
    <row r="3343" spans="1:8">
      <c r="A3343">
        <v>836327</v>
      </c>
      <c r="B3343" t="s">
        <v>990</v>
      </c>
      <c r="C3343">
        <v>52</v>
      </c>
      <c r="D3343">
        <v>4.0146023715631296</v>
      </c>
      <c r="E3343">
        <v>208.75932332128301</v>
      </c>
      <c r="F3343">
        <v>0.84003611602272299</v>
      </c>
      <c r="G3343">
        <v>0.87430871675256805</v>
      </c>
      <c r="H3343" t="str">
        <f t="shared" si="52"/>
        <v>Q4</v>
      </c>
    </row>
    <row r="3344" spans="1:8">
      <c r="A3344">
        <v>708516</v>
      </c>
      <c r="B3344" t="s">
        <v>4527</v>
      </c>
      <c r="C3344">
        <v>109</v>
      </c>
      <c r="D3344">
        <v>1.91519196922763</v>
      </c>
      <c r="E3344">
        <v>208.75592464581101</v>
      </c>
      <c r="F3344">
        <v>0.91922802001429604</v>
      </c>
      <c r="G3344">
        <v>0.87427109589556495</v>
      </c>
      <c r="H3344" t="str">
        <f t="shared" si="52"/>
        <v>Q4</v>
      </c>
    </row>
    <row r="3345" spans="1:8">
      <c r="A3345">
        <v>793385</v>
      </c>
      <c r="B3345" t="s">
        <v>5223</v>
      </c>
      <c r="C3345">
        <v>75</v>
      </c>
      <c r="D3345">
        <v>2.7833220002551902</v>
      </c>
      <c r="E3345">
        <v>208.74915001913899</v>
      </c>
      <c r="F3345">
        <v>0.88420300214438896</v>
      </c>
      <c r="G3345">
        <v>0.87423347503856097</v>
      </c>
      <c r="H3345" t="str">
        <f t="shared" si="52"/>
        <v>Q4</v>
      </c>
    </row>
    <row r="3346" spans="1:8">
      <c r="A3346">
        <v>787894</v>
      </c>
      <c r="B3346" t="s">
        <v>1261</v>
      </c>
      <c r="C3346">
        <v>35</v>
      </c>
      <c r="D3346">
        <v>5.9642130562237297</v>
      </c>
      <c r="E3346">
        <v>208.747456967831</v>
      </c>
      <c r="F3346">
        <v>0.78420676423008895</v>
      </c>
      <c r="G3346">
        <v>0.87419585418155799</v>
      </c>
      <c r="H3346" t="str">
        <f t="shared" si="52"/>
        <v>Q3</v>
      </c>
    </row>
    <row r="3347" spans="1:8">
      <c r="A3347">
        <v>790383</v>
      </c>
      <c r="B3347" t="s">
        <v>1745</v>
      </c>
      <c r="C3347">
        <v>145</v>
      </c>
      <c r="D3347">
        <v>1.4379426798429999</v>
      </c>
      <c r="E3347">
        <v>208.501688577235</v>
      </c>
      <c r="F3347">
        <v>0.94082239193408801</v>
      </c>
      <c r="G3347">
        <v>0.874158233324555</v>
      </c>
      <c r="H3347" t="str">
        <f t="shared" si="52"/>
        <v>Q4</v>
      </c>
    </row>
    <row r="3348" spans="1:8">
      <c r="A3348">
        <v>656677</v>
      </c>
      <c r="B3348" t="s">
        <v>2686</v>
      </c>
      <c r="C3348">
        <v>135</v>
      </c>
      <c r="D3348">
        <v>1.5444318298250399</v>
      </c>
      <c r="E3348">
        <v>208.49829702638101</v>
      </c>
      <c r="F3348">
        <v>0.93615740566570105</v>
      </c>
      <c r="G3348">
        <v>0.87412061246755202</v>
      </c>
      <c r="H3348" t="str">
        <f t="shared" si="52"/>
        <v>Q4</v>
      </c>
    </row>
    <row r="3349" spans="1:8">
      <c r="A3349">
        <v>790728</v>
      </c>
      <c r="B3349" t="s">
        <v>462</v>
      </c>
      <c r="C3349">
        <v>43</v>
      </c>
      <c r="D3349">
        <v>4.8482460164746604</v>
      </c>
      <c r="E3349">
        <v>208.47457870841001</v>
      </c>
      <c r="F3349">
        <v>0.81437869154659304</v>
      </c>
      <c r="G3349">
        <v>0.87408299161054903</v>
      </c>
      <c r="H3349" t="str">
        <f t="shared" si="52"/>
        <v>Q4</v>
      </c>
    </row>
    <row r="3350" spans="1:8">
      <c r="A3350">
        <v>700427</v>
      </c>
      <c r="B3350" t="s">
        <v>1890</v>
      </c>
      <c r="C3350">
        <v>27</v>
      </c>
      <c r="D3350">
        <v>7.7207157181368897</v>
      </c>
      <c r="E3350">
        <v>208.45932438969601</v>
      </c>
      <c r="F3350">
        <v>0.74312478838267904</v>
      </c>
      <c r="G3350">
        <v>0.87404537075354605</v>
      </c>
      <c r="H3350" t="str">
        <f t="shared" si="52"/>
        <v>Q3</v>
      </c>
    </row>
    <row r="3351" spans="1:8">
      <c r="A3351">
        <v>785643</v>
      </c>
      <c r="B3351" t="s">
        <v>546</v>
      </c>
      <c r="C3351">
        <v>36</v>
      </c>
      <c r="D3351">
        <v>5.78841821600993</v>
      </c>
      <c r="E3351">
        <v>208.38305577635799</v>
      </c>
      <c r="F3351">
        <v>0.78890937135547901</v>
      </c>
      <c r="G3351">
        <v>0.87400774989654295</v>
      </c>
      <c r="H3351" t="str">
        <f t="shared" si="52"/>
        <v>Q3</v>
      </c>
    </row>
    <row r="3352" spans="1:8">
      <c r="A3352">
        <v>810332</v>
      </c>
      <c r="B3352" t="s">
        <v>4769</v>
      </c>
      <c r="C3352">
        <v>34</v>
      </c>
      <c r="D3352">
        <v>6.1215353636618897</v>
      </c>
      <c r="E3352">
        <v>208.132202364504</v>
      </c>
      <c r="F3352">
        <v>0.77969226138971404</v>
      </c>
      <c r="G3352">
        <v>0.87397012903953997</v>
      </c>
      <c r="H3352" t="str">
        <f t="shared" si="52"/>
        <v>Q3</v>
      </c>
    </row>
    <row r="3353" spans="1:8">
      <c r="A3353">
        <v>811194</v>
      </c>
      <c r="B3353" t="s">
        <v>2697</v>
      </c>
      <c r="C3353">
        <v>45</v>
      </c>
      <c r="D3353">
        <v>4.6238042165835704</v>
      </c>
      <c r="E3353">
        <v>208.07118974626101</v>
      </c>
      <c r="F3353">
        <v>0.82069899552311798</v>
      </c>
      <c r="G3353">
        <v>0.87393250818253598</v>
      </c>
      <c r="H3353" t="str">
        <f t="shared" si="52"/>
        <v>Q4</v>
      </c>
    </row>
    <row r="3354" spans="1:8">
      <c r="A3354">
        <v>699445</v>
      </c>
      <c r="B3354" t="s">
        <v>190</v>
      </c>
      <c r="C3354">
        <v>70</v>
      </c>
      <c r="D3354">
        <v>2.97217917096402</v>
      </c>
      <c r="E3354">
        <v>208.05254196748101</v>
      </c>
      <c r="F3354">
        <v>0.87555020503367098</v>
      </c>
      <c r="G3354">
        <v>0.873894887325533</v>
      </c>
      <c r="H3354" t="str">
        <f t="shared" si="52"/>
        <v>Q4</v>
      </c>
    </row>
    <row r="3355" spans="1:8">
      <c r="A3355">
        <v>793378</v>
      </c>
      <c r="B3355" t="s">
        <v>466</v>
      </c>
      <c r="C3355">
        <v>92</v>
      </c>
      <c r="D3355">
        <v>2.2600036833192299</v>
      </c>
      <c r="E3355">
        <v>207.92033886537001</v>
      </c>
      <c r="F3355">
        <v>0.90429253978405599</v>
      </c>
      <c r="G3355">
        <v>0.87385726646853001</v>
      </c>
      <c r="H3355" t="str">
        <f t="shared" si="52"/>
        <v>Q4</v>
      </c>
    </row>
    <row r="3356" spans="1:8">
      <c r="A3356">
        <v>699383</v>
      </c>
      <c r="B3356" t="s">
        <v>2746</v>
      </c>
      <c r="C3356">
        <v>37</v>
      </c>
      <c r="D3356">
        <v>5.6183235166040602</v>
      </c>
      <c r="E3356">
        <v>207.87797011435001</v>
      </c>
      <c r="F3356">
        <v>0.79304766562582296</v>
      </c>
      <c r="G3356">
        <v>0.87381964561152703</v>
      </c>
      <c r="H3356" t="str">
        <f t="shared" si="52"/>
        <v>Q3</v>
      </c>
    </row>
    <row r="3357" spans="1:8">
      <c r="A3357">
        <v>785439</v>
      </c>
      <c r="B3357" t="s">
        <v>220</v>
      </c>
      <c r="C3357">
        <v>67</v>
      </c>
      <c r="D3357">
        <v>3.1023272799689399</v>
      </c>
      <c r="E3357">
        <v>207.85592775791901</v>
      </c>
      <c r="F3357">
        <v>0.87118618562130801</v>
      </c>
      <c r="G3357">
        <v>0.87378202475452404</v>
      </c>
      <c r="H3357" t="str">
        <f t="shared" si="52"/>
        <v>Q4</v>
      </c>
    </row>
    <row r="3358" spans="1:8">
      <c r="A3358">
        <v>713696</v>
      </c>
      <c r="B3358" t="s">
        <v>4217</v>
      </c>
      <c r="C3358">
        <v>75</v>
      </c>
      <c r="D3358">
        <v>2.7703502277533198</v>
      </c>
      <c r="E3358">
        <v>207.77626708149899</v>
      </c>
      <c r="F3358">
        <v>0.88420300214438896</v>
      </c>
      <c r="G3358">
        <v>0.87374440389752095</v>
      </c>
      <c r="H3358" t="str">
        <f t="shared" si="52"/>
        <v>Q4</v>
      </c>
    </row>
    <row r="3359" spans="1:8">
      <c r="A3359">
        <v>836009</v>
      </c>
      <c r="B3359" t="s">
        <v>4589</v>
      </c>
      <c r="C3359">
        <v>94</v>
      </c>
      <c r="D3359">
        <v>2.2102235826326799</v>
      </c>
      <c r="E3359">
        <v>207.761016767472</v>
      </c>
      <c r="F3359">
        <v>0.906700274632256</v>
      </c>
      <c r="G3359">
        <v>0.87370678304051796</v>
      </c>
      <c r="H3359" t="str">
        <f t="shared" si="52"/>
        <v>Q4</v>
      </c>
    </row>
    <row r="3360" spans="1:8">
      <c r="A3360">
        <v>701472</v>
      </c>
      <c r="B3360" t="s">
        <v>1133</v>
      </c>
      <c r="C3360">
        <v>205</v>
      </c>
      <c r="D3360">
        <v>1.0134104961847401</v>
      </c>
      <c r="E3360">
        <v>207.749151717871</v>
      </c>
      <c r="F3360">
        <v>0.96038523757571204</v>
      </c>
      <c r="G3360">
        <v>0.87366916218351498</v>
      </c>
      <c r="H3360" t="str">
        <f t="shared" si="52"/>
        <v>Q2</v>
      </c>
    </row>
    <row r="3361" spans="1:8">
      <c r="A3361">
        <v>788242</v>
      </c>
      <c r="B3361" t="s">
        <v>5221</v>
      </c>
      <c r="C3361">
        <v>94</v>
      </c>
      <c r="D3361">
        <v>2.2097907494753599</v>
      </c>
      <c r="E3361">
        <v>207.720330450684</v>
      </c>
      <c r="F3361">
        <v>0.906700274632256</v>
      </c>
      <c r="G3361">
        <v>0.873631541326511</v>
      </c>
      <c r="H3361" t="str">
        <f t="shared" si="52"/>
        <v>Q4</v>
      </c>
    </row>
    <row r="3362" spans="1:8">
      <c r="A3362">
        <v>783647</v>
      </c>
      <c r="B3362" t="s">
        <v>5252</v>
      </c>
      <c r="C3362">
        <v>25</v>
      </c>
      <c r="D3362">
        <v>8.3067797422409093</v>
      </c>
      <c r="E3362">
        <v>207.66949355602301</v>
      </c>
      <c r="F3362">
        <v>0.72991986757458305</v>
      </c>
      <c r="G3362">
        <v>0.87359392046950801</v>
      </c>
      <c r="H3362" t="str">
        <f t="shared" si="52"/>
        <v>Q3</v>
      </c>
    </row>
    <row r="3363" spans="1:8">
      <c r="A3363">
        <v>784500</v>
      </c>
      <c r="B3363" t="s">
        <v>1542</v>
      </c>
      <c r="C3363">
        <v>43</v>
      </c>
      <c r="D3363">
        <v>4.8284194583809699</v>
      </c>
      <c r="E3363">
        <v>207.62203671038199</v>
      </c>
      <c r="F3363">
        <v>0.81437869154659304</v>
      </c>
      <c r="G3363">
        <v>0.87355629961250503</v>
      </c>
      <c r="H3363" t="str">
        <f t="shared" si="52"/>
        <v>Q4</v>
      </c>
    </row>
    <row r="3364" spans="1:8">
      <c r="A3364">
        <v>774909</v>
      </c>
      <c r="B3364" t="s">
        <v>3356</v>
      </c>
      <c r="C3364">
        <v>37</v>
      </c>
      <c r="D3364">
        <v>5.60856634197203</v>
      </c>
      <c r="E3364">
        <v>207.51695465296501</v>
      </c>
      <c r="F3364">
        <v>0.79304766562582296</v>
      </c>
      <c r="G3364">
        <v>0.87351867875550204</v>
      </c>
      <c r="H3364" t="str">
        <f t="shared" si="52"/>
        <v>Q3</v>
      </c>
    </row>
    <row r="3365" spans="1:8">
      <c r="A3365">
        <v>732534</v>
      </c>
      <c r="B3365" t="s">
        <v>2093</v>
      </c>
      <c r="C3365">
        <v>48</v>
      </c>
      <c r="D3365">
        <v>4.3232345526727496</v>
      </c>
      <c r="E3365">
        <v>207.51525852829201</v>
      </c>
      <c r="F3365">
        <v>0.82957751777585498</v>
      </c>
      <c r="G3365">
        <v>0.87348105789849895</v>
      </c>
      <c r="H3365" t="str">
        <f t="shared" si="52"/>
        <v>Q4</v>
      </c>
    </row>
    <row r="3366" spans="1:8">
      <c r="A3366">
        <v>807765</v>
      </c>
      <c r="B3366" t="s">
        <v>4383</v>
      </c>
      <c r="C3366">
        <v>25</v>
      </c>
      <c r="D3366">
        <v>8.3003390431404096</v>
      </c>
      <c r="E3366">
        <v>207.50847607851</v>
      </c>
      <c r="F3366">
        <v>0.72991986757458305</v>
      </c>
      <c r="G3366">
        <v>0.87344343704149596</v>
      </c>
      <c r="H3366" t="str">
        <f t="shared" si="52"/>
        <v>Q3</v>
      </c>
    </row>
    <row r="3367" spans="1:8">
      <c r="A3367">
        <v>743768</v>
      </c>
      <c r="B3367" t="s">
        <v>3945</v>
      </c>
      <c r="C3367">
        <v>85</v>
      </c>
      <c r="D3367">
        <v>2.4404785672531402</v>
      </c>
      <c r="E3367">
        <v>207.440678216517</v>
      </c>
      <c r="F3367">
        <v>0.89721981866746903</v>
      </c>
      <c r="G3367">
        <v>0.87340581618449298</v>
      </c>
      <c r="H3367" t="str">
        <f t="shared" si="52"/>
        <v>Q4</v>
      </c>
    </row>
    <row r="3368" spans="1:8">
      <c r="A3368">
        <v>827955</v>
      </c>
      <c r="B3368" t="s">
        <v>3339</v>
      </c>
      <c r="C3368">
        <v>25</v>
      </c>
      <c r="D3368">
        <v>8.2956611067056691</v>
      </c>
      <c r="E3368">
        <v>207.39152766764201</v>
      </c>
      <c r="F3368">
        <v>0.72991986757458305</v>
      </c>
      <c r="G3368">
        <v>0.87336819532748999</v>
      </c>
      <c r="H3368" t="str">
        <f t="shared" si="52"/>
        <v>Q3</v>
      </c>
    </row>
    <row r="3369" spans="1:8">
      <c r="A3369">
        <v>773462</v>
      </c>
      <c r="B3369" t="s">
        <v>4182</v>
      </c>
      <c r="C3369">
        <v>129</v>
      </c>
      <c r="D3369">
        <v>1.6073708447750501</v>
      </c>
      <c r="E3369">
        <v>207.35083897598099</v>
      </c>
      <c r="F3369">
        <v>0.93247056167939502</v>
      </c>
      <c r="G3369">
        <v>0.87333057447048601</v>
      </c>
      <c r="H3369" t="str">
        <f t="shared" si="52"/>
        <v>Q4</v>
      </c>
    </row>
    <row r="3370" spans="1:8">
      <c r="A3370">
        <v>735530</v>
      </c>
      <c r="B3370" t="s">
        <v>1528</v>
      </c>
      <c r="C3370">
        <v>67</v>
      </c>
      <c r="D3370">
        <v>3.0936756282488802</v>
      </c>
      <c r="E3370">
        <v>207.276267092675</v>
      </c>
      <c r="F3370">
        <v>0.87118618562130801</v>
      </c>
      <c r="G3370">
        <v>0.87329295361348303</v>
      </c>
      <c r="H3370" t="str">
        <f t="shared" si="52"/>
        <v>Q4</v>
      </c>
    </row>
    <row r="3371" spans="1:8">
      <c r="A3371">
        <v>589514</v>
      </c>
      <c r="B3371" t="s">
        <v>2760</v>
      </c>
      <c r="C3371">
        <v>62</v>
      </c>
      <c r="D3371">
        <v>3.34242761750976</v>
      </c>
      <c r="E3371">
        <v>207.23051228560499</v>
      </c>
      <c r="F3371">
        <v>0.86238290508257798</v>
      </c>
      <c r="G3371">
        <v>0.87325533275648004</v>
      </c>
      <c r="H3371" t="str">
        <f t="shared" si="52"/>
        <v>Q4</v>
      </c>
    </row>
    <row r="3372" spans="1:8">
      <c r="A3372">
        <v>683020</v>
      </c>
      <c r="B3372" t="s">
        <v>846</v>
      </c>
      <c r="C3372">
        <v>153</v>
      </c>
      <c r="D3372">
        <v>1.35403783395399</v>
      </c>
      <c r="E3372">
        <v>207.167788594961</v>
      </c>
      <c r="F3372">
        <v>0.94405778563635701</v>
      </c>
      <c r="G3372">
        <v>0.87321771189947694</v>
      </c>
      <c r="H3372" t="str">
        <f t="shared" si="52"/>
        <v>Q4</v>
      </c>
    </row>
    <row r="3373" spans="1:8">
      <c r="A3373">
        <v>636096</v>
      </c>
      <c r="B3373" t="s">
        <v>5123</v>
      </c>
      <c r="C3373">
        <v>83</v>
      </c>
      <c r="D3373">
        <v>2.4957728891981299</v>
      </c>
      <c r="E3373">
        <v>207.149149803445</v>
      </c>
      <c r="F3373">
        <v>0.89530115496031004</v>
      </c>
      <c r="G3373">
        <v>0.87318009104247396</v>
      </c>
      <c r="H3373" t="str">
        <f t="shared" si="52"/>
        <v>Q4</v>
      </c>
    </row>
    <row r="3374" spans="1:8">
      <c r="A3374">
        <v>672491</v>
      </c>
      <c r="B3374" t="s">
        <v>1471</v>
      </c>
      <c r="C3374">
        <v>43</v>
      </c>
      <c r="D3374">
        <v>4.8167127422815099</v>
      </c>
      <c r="E3374">
        <v>207.11864791810501</v>
      </c>
      <c r="F3374">
        <v>0.81437869154659304</v>
      </c>
      <c r="G3374">
        <v>0.87314247018547098</v>
      </c>
      <c r="H3374" t="str">
        <f t="shared" si="52"/>
        <v>Q4</v>
      </c>
    </row>
    <row r="3375" spans="1:8">
      <c r="A3375">
        <v>775100</v>
      </c>
      <c r="B3375" t="s">
        <v>3815</v>
      </c>
      <c r="C3375">
        <v>71</v>
      </c>
      <c r="D3375">
        <v>2.91589877082848</v>
      </c>
      <c r="E3375">
        <v>207.028812728822</v>
      </c>
      <c r="F3375">
        <v>0.87799556073887397</v>
      </c>
      <c r="G3375">
        <v>0.87310484932846799</v>
      </c>
      <c r="H3375" t="str">
        <f t="shared" si="52"/>
        <v>Q4</v>
      </c>
    </row>
    <row r="3376" spans="1:8">
      <c r="A3376">
        <v>704849</v>
      </c>
      <c r="B3376" t="s">
        <v>2070</v>
      </c>
      <c r="C3376">
        <v>46</v>
      </c>
      <c r="D3376">
        <v>4.50036852499065</v>
      </c>
      <c r="E3376">
        <v>207.01695214956999</v>
      </c>
      <c r="F3376">
        <v>0.82378390579737404</v>
      </c>
      <c r="G3376">
        <v>0.87306722847146501</v>
      </c>
      <c r="H3376" t="str">
        <f t="shared" si="52"/>
        <v>Q4</v>
      </c>
    </row>
    <row r="3377" spans="1:8">
      <c r="A3377">
        <v>689365</v>
      </c>
      <c r="B3377" t="s">
        <v>731</v>
      </c>
      <c r="C3377">
        <v>87</v>
      </c>
      <c r="D3377">
        <v>2.3791739706420998</v>
      </c>
      <c r="E3377">
        <v>206.98813544586301</v>
      </c>
      <c r="F3377">
        <v>0.89955231180166295</v>
      </c>
      <c r="G3377">
        <v>0.87302960761446102</v>
      </c>
      <c r="H3377" t="str">
        <f t="shared" si="52"/>
        <v>Q4</v>
      </c>
    </row>
    <row r="3378" spans="1:8">
      <c r="A3378">
        <v>617734</v>
      </c>
      <c r="B3378" t="s">
        <v>1348</v>
      </c>
      <c r="C3378">
        <v>40</v>
      </c>
      <c r="D3378">
        <v>5.1746186893433297</v>
      </c>
      <c r="E3378">
        <v>206.98474757373299</v>
      </c>
      <c r="F3378">
        <v>0.804522027011775</v>
      </c>
      <c r="G3378">
        <v>0.87299198675745804</v>
      </c>
      <c r="H3378" t="str">
        <f t="shared" si="52"/>
        <v>Q3</v>
      </c>
    </row>
    <row r="3379" spans="1:8">
      <c r="A3379">
        <v>693499</v>
      </c>
      <c r="B3379" t="s">
        <v>3054</v>
      </c>
      <c r="C3379">
        <v>45</v>
      </c>
      <c r="D3379">
        <v>4.5971752351356896</v>
      </c>
      <c r="E3379">
        <v>206.872885581106</v>
      </c>
      <c r="F3379">
        <v>0.82069899552311798</v>
      </c>
      <c r="G3379">
        <v>0.87295436590045505</v>
      </c>
      <c r="H3379" t="str">
        <f t="shared" si="52"/>
        <v>Q4</v>
      </c>
    </row>
    <row r="3380" spans="1:8">
      <c r="A3380">
        <v>735063</v>
      </c>
      <c r="B3380" t="s">
        <v>1652</v>
      </c>
      <c r="C3380">
        <v>45</v>
      </c>
      <c r="D3380">
        <v>4.5948400224248598</v>
      </c>
      <c r="E3380">
        <v>206.76780100911901</v>
      </c>
      <c r="F3380">
        <v>0.82069899552311798</v>
      </c>
      <c r="G3380">
        <v>0.87291674504345196</v>
      </c>
      <c r="H3380" t="str">
        <f t="shared" si="52"/>
        <v>Q4</v>
      </c>
    </row>
    <row r="3381" spans="1:8">
      <c r="A3381">
        <v>745138</v>
      </c>
      <c r="B3381" t="s">
        <v>5023</v>
      </c>
      <c r="C3381">
        <v>32</v>
      </c>
      <c r="D3381">
        <v>6.4606991014443302</v>
      </c>
      <c r="E3381">
        <v>206.74237124621899</v>
      </c>
      <c r="F3381">
        <v>0.77096422256498998</v>
      </c>
      <c r="G3381">
        <v>0.87287912418644897</v>
      </c>
      <c r="H3381" t="str">
        <f t="shared" si="52"/>
        <v>Q3</v>
      </c>
    </row>
    <row r="3382" spans="1:8">
      <c r="A3382">
        <v>811450</v>
      </c>
      <c r="B3382" t="s">
        <v>244</v>
      </c>
      <c r="C3382">
        <v>60</v>
      </c>
      <c r="D3382">
        <v>3.44542373747875</v>
      </c>
      <c r="E3382">
        <v>206.72542424872501</v>
      </c>
      <c r="F3382">
        <v>0.85805650652721899</v>
      </c>
      <c r="G3382">
        <v>0.87284150332944599</v>
      </c>
      <c r="H3382" t="str">
        <f t="shared" si="52"/>
        <v>Q4</v>
      </c>
    </row>
    <row r="3383" spans="1:8">
      <c r="A3383">
        <v>710455</v>
      </c>
      <c r="B3383" t="s">
        <v>3876</v>
      </c>
      <c r="C3383">
        <v>45</v>
      </c>
      <c r="D3383">
        <v>4.5936723964081896</v>
      </c>
      <c r="E3383">
        <v>206.71525783836799</v>
      </c>
      <c r="F3383">
        <v>0.82069899552311798</v>
      </c>
      <c r="G3383">
        <v>0.872803882472443</v>
      </c>
      <c r="H3383" t="str">
        <f t="shared" si="52"/>
        <v>Q4</v>
      </c>
    </row>
    <row r="3384" spans="1:8">
      <c r="A3384">
        <v>590922</v>
      </c>
      <c r="B3384" t="s">
        <v>3647</v>
      </c>
      <c r="C3384">
        <v>107</v>
      </c>
      <c r="D3384">
        <v>1.9310628673253201</v>
      </c>
      <c r="E3384">
        <v>206.62372680380901</v>
      </c>
      <c r="F3384">
        <v>0.91791129001918703</v>
      </c>
      <c r="G3384">
        <v>0.87276626161544002</v>
      </c>
      <c r="H3384" t="str">
        <f t="shared" si="52"/>
        <v>Q4</v>
      </c>
    </row>
    <row r="3385" spans="1:8">
      <c r="A3385">
        <v>767079</v>
      </c>
      <c r="B3385" t="s">
        <v>379</v>
      </c>
      <c r="C3385">
        <v>44</v>
      </c>
      <c r="D3385">
        <v>4.6926426108587904</v>
      </c>
      <c r="E3385">
        <v>206.47627487778701</v>
      </c>
      <c r="F3385">
        <v>0.817689326962868</v>
      </c>
      <c r="G3385">
        <v>0.87272864075843604</v>
      </c>
      <c r="H3385" t="str">
        <f t="shared" si="52"/>
        <v>Q4</v>
      </c>
    </row>
    <row r="3386" spans="1:8">
      <c r="A3386">
        <v>714026</v>
      </c>
      <c r="B3386" t="s">
        <v>3019</v>
      </c>
      <c r="C3386">
        <v>43</v>
      </c>
      <c r="D3386">
        <v>4.8009066820837702</v>
      </c>
      <c r="E3386">
        <v>206.43898732960201</v>
      </c>
      <c r="F3386">
        <v>0.81437869154659304</v>
      </c>
      <c r="G3386">
        <v>0.87269101990143305</v>
      </c>
      <c r="H3386" t="str">
        <f t="shared" si="52"/>
        <v>Q4</v>
      </c>
    </row>
    <row r="3387" spans="1:8">
      <c r="A3387">
        <v>784784</v>
      </c>
      <c r="B3387" t="s">
        <v>4185</v>
      </c>
      <c r="C3387">
        <v>71</v>
      </c>
      <c r="D3387">
        <v>2.90427309474055</v>
      </c>
      <c r="E3387">
        <v>206.20338972657899</v>
      </c>
      <c r="F3387">
        <v>0.87799556073887397</v>
      </c>
      <c r="G3387">
        <v>0.87265339904442996</v>
      </c>
      <c r="H3387" t="str">
        <f t="shared" si="52"/>
        <v>Q4</v>
      </c>
    </row>
    <row r="3388" spans="1:8">
      <c r="A3388">
        <v>780417</v>
      </c>
      <c r="B3388" t="s">
        <v>2798</v>
      </c>
      <c r="C3388">
        <v>41</v>
      </c>
      <c r="D3388">
        <v>5.0290203494269701</v>
      </c>
      <c r="E3388">
        <v>206.189834326506</v>
      </c>
      <c r="F3388">
        <v>0.80787028328505295</v>
      </c>
      <c r="G3388">
        <v>0.87261577818742697</v>
      </c>
      <c r="H3388" t="str">
        <f t="shared" si="52"/>
        <v>Q3</v>
      </c>
    </row>
    <row r="3389" spans="1:8">
      <c r="A3389">
        <v>715913</v>
      </c>
      <c r="B3389" t="s">
        <v>3196</v>
      </c>
      <c r="C3389">
        <v>24</v>
      </c>
      <c r="D3389">
        <v>8.5877824729929397</v>
      </c>
      <c r="E3389">
        <v>206.10677935183</v>
      </c>
      <c r="F3389">
        <v>0.72284714645799597</v>
      </c>
      <c r="G3389">
        <v>0.87257815733042399</v>
      </c>
      <c r="H3389" t="str">
        <f t="shared" si="52"/>
        <v>Q3</v>
      </c>
    </row>
    <row r="3390" spans="1:8">
      <c r="A3390">
        <v>722750</v>
      </c>
      <c r="B3390" t="s">
        <v>4507</v>
      </c>
      <c r="C3390">
        <v>64</v>
      </c>
      <c r="D3390">
        <v>3.2198887070990199</v>
      </c>
      <c r="E3390">
        <v>206.07287725433699</v>
      </c>
      <c r="F3390">
        <v>0.86633309506790601</v>
      </c>
      <c r="G3390">
        <v>0.872540536473421</v>
      </c>
      <c r="H3390" t="str">
        <f t="shared" si="52"/>
        <v>Q4</v>
      </c>
    </row>
    <row r="3391" spans="1:8">
      <c r="A3391">
        <v>774191</v>
      </c>
      <c r="B3391" t="s">
        <v>4264</v>
      </c>
      <c r="C3391">
        <v>165</v>
      </c>
      <c r="D3391">
        <v>1.24835129375711</v>
      </c>
      <c r="E3391">
        <v>205.977963469923</v>
      </c>
      <c r="F3391">
        <v>0.948384184191716</v>
      </c>
      <c r="G3391">
        <v>0.87250291561641802</v>
      </c>
      <c r="H3391" t="str">
        <f t="shared" si="52"/>
        <v>Q4</v>
      </c>
    </row>
    <row r="3392" spans="1:8">
      <c r="A3392">
        <v>792517</v>
      </c>
      <c r="B3392" t="s">
        <v>1825</v>
      </c>
      <c r="C3392">
        <v>92</v>
      </c>
      <c r="D3392">
        <v>2.2376566016844102</v>
      </c>
      <c r="E3392">
        <v>205.864407354966</v>
      </c>
      <c r="F3392">
        <v>0.90429253978405599</v>
      </c>
      <c r="G3392">
        <v>0.87246529475941503</v>
      </c>
      <c r="H3392" t="str">
        <f t="shared" si="52"/>
        <v>Q4</v>
      </c>
    </row>
    <row r="3393" spans="1:8">
      <c r="A3393">
        <v>666319</v>
      </c>
      <c r="B3393" t="s">
        <v>4246</v>
      </c>
      <c r="C3393">
        <v>55</v>
      </c>
      <c r="D3393">
        <v>3.7412018328905101</v>
      </c>
      <c r="E3393">
        <v>205.766100808978</v>
      </c>
      <c r="F3393">
        <v>0.84763552913735396</v>
      </c>
      <c r="G3393">
        <v>0.87242767390241105</v>
      </c>
      <c r="H3393" t="str">
        <f t="shared" si="52"/>
        <v>Q4</v>
      </c>
    </row>
    <row r="3394" spans="1:8">
      <c r="A3394">
        <v>681657</v>
      </c>
      <c r="B3394" t="s">
        <v>2080</v>
      </c>
      <c r="C3394">
        <v>162</v>
      </c>
      <c r="D3394">
        <v>1.2699936847144999</v>
      </c>
      <c r="E3394">
        <v>205.73897692374899</v>
      </c>
      <c r="F3394">
        <v>0.94714269591061295</v>
      </c>
      <c r="G3394">
        <v>0.87239005304540795</v>
      </c>
      <c r="H3394" t="str">
        <f t="shared" si="52"/>
        <v>Q4</v>
      </c>
    </row>
    <row r="3395" spans="1:8">
      <c r="A3395">
        <v>572957</v>
      </c>
      <c r="B3395" t="s">
        <v>2045</v>
      </c>
      <c r="C3395">
        <v>58</v>
      </c>
      <c r="D3395">
        <v>3.54699005276479</v>
      </c>
      <c r="E3395">
        <v>205.725423060358</v>
      </c>
      <c r="F3395">
        <v>0.853993453970881</v>
      </c>
      <c r="G3395">
        <v>0.87235243218840497</v>
      </c>
      <c r="H3395" t="str">
        <f t="shared" ref="H3395:H3458" si="53">IF(C3395&gt;$J$2,
   IF(D3395&gt;$J$3,"Q1","Q2"),
   IF(D3395&gt;$J$3,"Q3","Q4"))</f>
        <v>Q4</v>
      </c>
    </row>
    <row r="3396" spans="1:8">
      <c r="A3396">
        <v>800590</v>
      </c>
      <c r="B3396" t="s">
        <v>1208</v>
      </c>
      <c r="C3396">
        <v>25</v>
      </c>
      <c r="D3396">
        <v>8.2275254726409894</v>
      </c>
      <c r="E3396">
        <v>205.68813681602501</v>
      </c>
      <c r="F3396">
        <v>0.72991986757458305</v>
      </c>
      <c r="G3396">
        <v>0.87231481133140198</v>
      </c>
      <c r="H3396" t="str">
        <f t="shared" si="53"/>
        <v>Q3</v>
      </c>
    </row>
    <row r="3397" spans="1:8">
      <c r="A3397">
        <v>637499</v>
      </c>
      <c r="B3397" t="s">
        <v>4662</v>
      </c>
      <c r="C3397">
        <v>130</v>
      </c>
      <c r="D3397">
        <v>1.5817730773526899</v>
      </c>
      <c r="E3397">
        <v>205.63050005585001</v>
      </c>
      <c r="F3397">
        <v>0.93307249539144499</v>
      </c>
      <c r="G3397">
        <v>0.872277190474399</v>
      </c>
      <c r="H3397" t="str">
        <f t="shared" si="53"/>
        <v>Q4</v>
      </c>
    </row>
    <row r="3398" spans="1:8">
      <c r="A3398">
        <v>372576</v>
      </c>
      <c r="B3398" t="s">
        <v>4104</v>
      </c>
      <c r="C3398">
        <v>43</v>
      </c>
      <c r="D3398">
        <v>4.7818684344028304</v>
      </c>
      <c r="E3398">
        <v>205.62034267932199</v>
      </c>
      <c r="F3398">
        <v>0.81437869154659304</v>
      </c>
      <c r="G3398">
        <v>0.87223956961739602</v>
      </c>
      <c r="H3398" t="str">
        <f t="shared" si="53"/>
        <v>Q4</v>
      </c>
    </row>
    <row r="3399" spans="1:8">
      <c r="A3399">
        <v>751907</v>
      </c>
      <c r="B3399" t="s">
        <v>3969</v>
      </c>
      <c r="C3399">
        <v>65</v>
      </c>
      <c r="D3399">
        <v>3.1600521132349999</v>
      </c>
      <c r="E3399">
        <v>205.40338736027499</v>
      </c>
      <c r="F3399">
        <v>0.86802603363304598</v>
      </c>
      <c r="G3399">
        <v>0.87220194876039303</v>
      </c>
      <c r="H3399" t="str">
        <f t="shared" si="53"/>
        <v>Q4</v>
      </c>
    </row>
    <row r="3400" spans="1:8">
      <c r="A3400">
        <v>700758</v>
      </c>
      <c r="B3400" t="s">
        <v>957</v>
      </c>
      <c r="C3400">
        <v>98</v>
      </c>
      <c r="D3400">
        <v>2.0951227037882298</v>
      </c>
      <c r="E3400">
        <v>205.322024971247</v>
      </c>
      <c r="F3400">
        <v>0.90997328919152798</v>
      </c>
      <c r="G3400">
        <v>0.87216432790339005</v>
      </c>
      <c r="H3400" t="str">
        <f t="shared" si="53"/>
        <v>Q4</v>
      </c>
    </row>
    <row r="3401" spans="1:8">
      <c r="A3401">
        <v>763910</v>
      </c>
      <c r="B3401" t="s">
        <v>2530</v>
      </c>
      <c r="C3401">
        <v>83</v>
      </c>
      <c r="D3401">
        <v>2.4728609372424102</v>
      </c>
      <c r="E3401">
        <v>205.24745779112001</v>
      </c>
      <c r="F3401">
        <v>0.89530115496031004</v>
      </c>
      <c r="G3401">
        <v>0.87212670704638695</v>
      </c>
      <c r="H3401" t="str">
        <f t="shared" si="53"/>
        <v>Q4</v>
      </c>
    </row>
    <row r="3402" spans="1:8">
      <c r="A3402">
        <v>653114</v>
      </c>
      <c r="B3402" t="s">
        <v>137</v>
      </c>
      <c r="C3402">
        <v>44</v>
      </c>
      <c r="D3402">
        <v>4.6632126862691203</v>
      </c>
      <c r="E3402">
        <v>205.181358195841</v>
      </c>
      <c r="F3402">
        <v>0.817689326962868</v>
      </c>
      <c r="G3402">
        <v>0.87208908618938297</v>
      </c>
      <c r="H3402" t="str">
        <f t="shared" si="53"/>
        <v>Q4</v>
      </c>
    </row>
    <row r="3403" spans="1:8">
      <c r="A3403">
        <v>744203</v>
      </c>
      <c r="B3403" t="s">
        <v>2744</v>
      </c>
      <c r="C3403">
        <v>18</v>
      </c>
      <c r="D3403">
        <v>11.3903017093738</v>
      </c>
      <c r="E3403">
        <v>205.025430768728</v>
      </c>
      <c r="F3403">
        <v>0.67044129265264696</v>
      </c>
      <c r="G3403">
        <v>0.87205146533237998</v>
      </c>
      <c r="H3403" t="str">
        <f t="shared" si="53"/>
        <v>Q3</v>
      </c>
    </row>
    <row r="3404" spans="1:8">
      <c r="A3404">
        <v>680391</v>
      </c>
      <c r="B3404" t="s">
        <v>3117</v>
      </c>
      <c r="C3404">
        <v>127</v>
      </c>
      <c r="D3404">
        <v>1.6143600007255099</v>
      </c>
      <c r="E3404">
        <v>205.02372009214</v>
      </c>
      <c r="F3404">
        <v>0.93141717768330801</v>
      </c>
      <c r="G3404">
        <v>0.872013844475377</v>
      </c>
      <c r="H3404" t="str">
        <f t="shared" si="53"/>
        <v>Q4</v>
      </c>
    </row>
    <row r="3405" spans="1:8">
      <c r="A3405">
        <v>741342</v>
      </c>
      <c r="B3405" t="s">
        <v>1659</v>
      </c>
      <c r="C3405">
        <v>48</v>
      </c>
      <c r="D3405">
        <v>4.2707980765650699</v>
      </c>
      <c r="E3405">
        <v>204.99830767512299</v>
      </c>
      <c r="F3405">
        <v>0.82957751777585498</v>
      </c>
      <c r="G3405">
        <v>0.87197622361837401</v>
      </c>
      <c r="H3405" t="str">
        <f t="shared" si="53"/>
        <v>Q4</v>
      </c>
    </row>
    <row r="3406" spans="1:8">
      <c r="A3406">
        <v>687044</v>
      </c>
      <c r="B3406" t="s">
        <v>552</v>
      </c>
      <c r="C3406">
        <v>100</v>
      </c>
      <c r="D3406">
        <v>2.0493050850927799</v>
      </c>
      <c r="E3406">
        <v>204.93050850927801</v>
      </c>
      <c r="F3406">
        <v>0.91155336518565899</v>
      </c>
      <c r="G3406">
        <v>0.87193860276137103</v>
      </c>
      <c r="H3406" t="str">
        <f t="shared" si="53"/>
        <v>Q4</v>
      </c>
    </row>
    <row r="3407" spans="1:8">
      <c r="A3407">
        <v>433414</v>
      </c>
      <c r="B3407" t="s">
        <v>3486</v>
      </c>
      <c r="C3407">
        <v>55</v>
      </c>
      <c r="D3407">
        <v>3.7248690392483401</v>
      </c>
      <c r="E3407">
        <v>204.86779715865899</v>
      </c>
      <c r="F3407">
        <v>0.84763552913735396</v>
      </c>
      <c r="G3407">
        <v>0.87190098190436804</v>
      </c>
      <c r="H3407" t="str">
        <f t="shared" si="53"/>
        <v>Q4</v>
      </c>
    </row>
    <row r="3408" spans="1:8">
      <c r="A3408">
        <v>802081</v>
      </c>
      <c r="B3408" t="s">
        <v>765</v>
      </c>
      <c r="C3408">
        <v>42</v>
      </c>
      <c r="D3408">
        <v>4.8763116023370197</v>
      </c>
      <c r="E3408">
        <v>204.805087298155</v>
      </c>
      <c r="F3408">
        <v>0.81103043527331597</v>
      </c>
      <c r="G3408">
        <v>0.87186336104736495</v>
      </c>
      <c r="H3408" t="str">
        <f t="shared" si="53"/>
        <v>Q4</v>
      </c>
    </row>
    <row r="3409" spans="1:8">
      <c r="A3409">
        <v>822224</v>
      </c>
      <c r="B3409" t="s">
        <v>1685</v>
      </c>
      <c r="C3409">
        <v>24</v>
      </c>
      <c r="D3409">
        <v>8.5323447206368108</v>
      </c>
      <c r="E3409">
        <v>204.776273295283</v>
      </c>
      <c r="F3409">
        <v>0.72284714645799597</v>
      </c>
      <c r="G3409">
        <v>0.87182574019036196</v>
      </c>
      <c r="H3409" t="str">
        <f t="shared" si="53"/>
        <v>Q3</v>
      </c>
    </row>
    <row r="3410" spans="1:8">
      <c r="A3410">
        <v>665044</v>
      </c>
      <c r="B3410" t="s">
        <v>2362</v>
      </c>
      <c r="C3410">
        <v>104</v>
      </c>
      <c r="D3410">
        <v>1.96869295502368</v>
      </c>
      <c r="E3410">
        <v>204.744067322463</v>
      </c>
      <c r="F3410">
        <v>0.91524020917196502</v>
      </c>
      <c r="G3410">
        <v>0.87178811933335798</v>
      </c>
      <c r="H3410" t="str">
        <f t="shared" si="53"/>
        <v>Q4</v>
      </c>
    </row>
    <row r="3411" spans="1:8">
      <c r="A3411">
        <v>755511</v>
      </c>
      <c r="B3411" t="s">
        <v>2152</v>
      </c>
      <c r="C3411">
        <v>62</v>
      </c>
      <c r="D3411">
        <v>3.3007927268983899</v>
      </c>
      <c r="E3411">
        <v>204.64914906769999</v>
      </c>
      <c r="F3411">
        <v>0.86238290508257798</v>
      </c>
      <c r="G3411">
        <v>0.871750498476355</v>
      </c>
      <c r="H3411" t="str">
        <f t="shared" si="53"/>
        <v>Q4</v>
      </c>
    </row>
    <row r="3412" spans="1:8">
      <c r="A3412">
        <v>754362</v>
      </c>
      <c r="B3412" t="s">
        <v>2052</v>
      </c>
      <c r="C3412">
        <v>227</v>
      </c>
      <c r="D3412">
        <v>0.90046291329820005</v>
      </c>
      <c r="E3412">
        <v>204.405081318691</v>
      </c>
      <c r="F3412">
        <v>0.96486211955908396</v>
      </c>
      <c r="G3412">
        <v>0.87171287761935201</v>
      </c>
      <c r="H3412" t="str">
        <f t="shared" si="53"/>
        <v>Q2</v>
      </c>
    </row>
    <row r="3413" spans="1:8">
      <c r="A3413">
        <v>735536</v>
      </c>
      <c r="B3413" t="s">
        <v>1527</v>
      </c>
      <c r="C3413">
        <v>64</v>
      </c>
      <c r="D3413">
        <v>3.19348511693534</v>
      </c>
      <c r="E3413">
        <v>204.38304748386099</v>
      </c>
      <c r="F3413">
        <v>0.86633309506790601</v>
      </c>
      <c r="G3413">
        <v>0.87167525676234903</v>
      </c>
      <c r="H3413" t="str">
        <f t="shared" si="53"/>
        <v>Q4</v>
      </c>
    </row>
    <row r="3414" spans="1:8">
      <c r="A3414">
        <v>732222</v>
      </c>
      <c r="B3414" t="s">
        <v>4821</v>
      </c>
      <c r="C3414">
        <v>86</v>
      </c>
      <c r="D3414">
        <v>2.37542368812746</v>
      </c>
      <c r="E3414">
        <v>204.28643717896199</v>
      </c>
      <c r="F3414">
        <v>0.89864941123358799</v>
      </c>
      <c r="G3414">
        <v>0.87163763590534604</v>
      </c>
      <c r="H3414" t="str">
        <f t="shared" si="53"/>
        <v>Q4</v>
      </c>
    </row>
    <row r="3415" spans="1:8">
      <c r="A3415">
        <v>703207</v>
      </c>
      <c r="B3415" t="s">
        <v>4990</v>
      </c>
      <c r="C3415">
        <v>131</v>
      </c>
      <c r="D3415">
        <v>1.5591149726697699</v>
      </c>
      <c r="E3415">
        <v>204.24406141974001</v>
      </c>
      <c r="F3415">
        <v>0.93374967081750104</v>
      </c>
      <c r="G3415">
        <v>0.87160001504834295</v>
      </c>
      <c r="H3415" t="str">
        <f t="shared" si="53"/>
        <v>Q4</v>
      </c>
    </row>
    <row r="3416" spans="1:8">
      <c r="A3416">
        <v>714189</v>
      </c>
      <c r="B3416" t="s">
        <v>2206</v>
      </c>
      <c r="C3416">
        <v>44</v>
      </c>
      <c r="D3416">
        <v>4.6402542682533898</v>
      </c>
      <c r="E3416">
        <v>204.171187803149</v>
      </c>
      <c r="F3416">
        <v>0.817689326962868</v>
      </c>
      <c r="G3416">
        <v>0.87156239419133996</v>
      </c>
      <c r="H3416" t="str">
        <f t="shared" si="53"/>
        <v>Q4</v>
      </c>
    </row>
    <row r="3417" spans="1:8">
      <c r="A3417">
        <v>688341</v>
      </c>
      <c r="B3417" t="s">
        <v>587</v>
      </c>
      <c r="C3417">
        <v>128</v>
      </c>
      <c r="D3417">
        <v>1.59507409262005</v>
      </c>
      <c r="E3417">
        <v>204.16948385536699</v>
      </c>
      <c r="F3417">
        <v>0.93201911139535798</v>
      </c>
      <c r="G3417">
        <v>0.87152477333433698</v>
      </c>
      <c r="H3417" t="str">
        <f t="shared" si="53"/>
        <v>Q4</v>
      </c>
    </row>
    <row r="3418" spans="1:8">
      <c r="A3418">
        <v>761577</v>
      </c>
      <c r="B3418" t="s">
        <v>4018</v>
      </c>
      <c r="C3418">
        <v>50</v>
      </c>
      <c r="D3418">
        <v>4.0820000264793599</v>
      </c>
      <c r="E3418">
        <v>204.100001323968</v>
      </c>
      <c r="F3418">
        <v>0.83559685489635405</v>
      </c>
      <c r="G3418">
        <v>0.87148715247733299</v>
      </c>
      <c r="H3418" t="str">
        <f t="shared" si="53"/>
        <v>Q4</v>
      </c>
    </row>
    <row r="3419" spans="1:8">
      <c r="A3419">
        <v>733656</v>
      </c>
      <c r="B3419" t="s">
        <v>1993</v>
      </c>
      <c r="C3419">
        <v>31</v>
      </c>
      <c r="D3419">
        <v>6.5831601139037801</v>
      </c>
      <c r="E3419">
        <v>204.07796353101699</v>
      </c>
      <c r="F3419">
        <v>0.766073511154584</v>
      </c>
      <c r="G3419">
        <v>0.87144953162033001</v>
      </c>
      <c r="H3419" t="str">
        <f t="shared" si="53"/>
        <v>Q3</v>
      </c>
    </row>
    <row r="3420" spans="1:8">
      <c r="A3420">
        <v>739575</v>
      </c>
      <c r="B3420" t="s">
        <v>3034</v>
      </c>
      <c r="C3420">
        <v>167</v>
      </c>
      <c r="D3420">
        <v>1.22113060763853</v>
      </c>
      <c r="E3420">
        <v>203.928811475635</v>
      </c>
      <c r="F3420">
        <v>0.94898611790376597</v>
      </c>
      <c r="G3420">
        <v>0.87141191076332702</v>
      </c>
      <c r="H3420" t="str">
        <f t="shared" si="53"/>
        <v>Q4</v>
      </c>
    </row>
    <row r="3421" spans="1:8">
      <c r="A3421">
        <v>711450</v>
      </c>
      <c r="B3421" t="s">
        <v>3262</v>
      </c>
      <c r="C3421">
        <v>64</v>
      </c>
      <c r="D3421">
        <v>3.18506349431118</v>
      </c>
      <c r="E3421">
        <v>203.844063635916</v>
      </c>
      <c r="F3421">
        <v>0.86633309506790601</v>
      </c>
      <c r="G3421">
        <v>0.87137428990632404</v>
      </c>
      <c r="H3421" t="str">
        <f t="shared" si="53"/>
        <v>Q4</v>
      </c>
    </row>
    <row r="3422" spans="1:8">
      <c r="A3422">
        <v>743603</v>
      </c>
      <c r="B3422" t="s">
        <v>4979</v>
      </c>
      <c r="C3422">
        <v>95</v>
      </c>
      <c r="D3422">
        <v>2.14529884047806</v>
      </c>
      <c r="E3422">
        <v>203.80338984541601</v>
      </c>
      <c r="F3422">
        <v>0.90760317520033096</v>
      </c>
      <c r="G3422">
        <v>0.87133666904932106</v>
      </c>
      <c r="H3422" t="str">
        <f t="shared" si="53"/>
        <v>Q4</v>
      </c>
    </row>
    <row r="3423" spans="1:8">
      <c r="A3423">
        <v>789395</v>
      </c>
      <c r="B3423" t="s">
        <v>4295</v>
      </c>
      <c r="C3423">
        <v>16</v>
      </c>
      <c r="D3423">
        <v>12.736335187219099</v>
      </c>
      <c r="E3423">
        <v>203.78136299550499</v>
      </c>
      <c r="F3423">
        <v>0.64756781159474797</v>
      </c>
      <c r="G3423">
        <v>0.87129904819231796</v>
      </c>
      <c r="H3423" t="str">
        <f t="shared" si="53"/>
        <v>Q3</v>
      </c>
    </row>
    <row r="3424" spans="1:8">
      <c r="A3424">
        <v>741752</v>
      </c>
      <c r="B3424" t="s">
        <v>3775</v>
      </c>
      <c r="C3424">
        <v>52</v>
      </c>
      <c r="D3424">
        <v>3.9179595796248101</v>
      </c>
      <c r="E3424">
        <v>203.73389814049</v>
      </c>
      <c r="F3424">
        <v>0.84003611602272299</v>
      </c>
      <c r="G3424">
        <v>0.87126142733531498</v>
      </c>
      <c r="H3424" t="str">
        <f t="shared" si="53"/>
        <v>Q4</v>
      </c>
    </row>
    <row r="3425" spans="1:8">
      <c r="A3425">
        <v>495030</v>
      </c>
      <c r="B3425" t="s">
        <v>156</v>
      </c>
      <c r="C3425">
        <v>131</v>
      </c>
      <c r="D3425">
        <v>1.5552075963666401</v>
      </c>
      <c r="E3425">
        <v>203.73219512403</v>
      </c>
      <c r="F3425">
        <v>0.93374967081750104</v>
      </c>
      <c r="G3425">
        <v>0.87122380647831199</v>
      </c>
      <c r="H3425" t="str">
        <f t="shared" si="53"/>
        <v>Q4</v>
      </c>
    </row>
    <row r="3426" spans="1:8">
      <c r="A3426">
        <v>620168</v>
      </c>
      <c r="B3426" t="s">
        <v>5005</v>
      </c>
      <c r="C3426">
        <v>98</v>
      </c>
      <c r="D3426">
        <v>2.0787962075627</v>
      </c>
      <c r="E3426">
        <v>203.72202834114401</v>
      </c>
      <c r="F3426">
        <v>0.90997328919152798</v>
      </c>
      <c r="G3426">
        <v>0.87118618562130801</v>
      </c>
      <c r="H3426" t="str">
        <f t="shared" si="53"/>
        <v>Q4</v>
      </c>
    </row>
    <row r="3427" spans="1:8">
      <c r="A3427">
        <v>787052</v>
      </c>
      <c r="B3427" t="s">
        <v>372</v>
      </c>
      <c r="C3427">
        <v>13</v>
      </c>
      <c r="D3427">
        <v>15.6696220430044</v>
      </c>
      <c r="E3427">
        <v>203.70508655905701</v>
      </c>
      <c r="F3427">
        <v>0.60539483089424795</v>
      </c>
      <c r="G3427">
        <v>0.87114856476430502</v>
      </c>
      <c r="H3427" t="str">
        <f t="shared" si="53"/>
        <v>Q3</v>
      </c>
    </row>
    <row r="3428" spans="1:8">
      <c r="A3428">
        <v>757613</v>
      </c>
      <c r="B3428" t="s">
        <v>2656</v>
      </c>
      <c r="C3428">
        <v>255</v>
      </c>
      <c r="D3428">
        <v>0.79867065181115704</v>
      </c>
      <c r="E3428">
        <v>203.66101621184501</v>
      </c>
      <c r="F3428">
        <v>0.96982807268349602</v>
      </c>
      <c r="G3428">
        <v>0.87111094390730204</v>
      </c>
      <c r="H3428" t="str">
        <f t="shared" si="53"/>
        <v>Q2</v>
      </c>
    </row>
    <row r="3429" spans="1:8">
      <c r="A3429">
        <v>769780</v>
      </c>
      <c r="B3429" t="s">
        <v>3191</v>
      </c>
      <c r="C3429">
        <v>59</v>
      </c>
      <c r="D3429">
        <v>3.4510772833127099</v>
      </c>
      <c r="E3429">
        <v>203.61355971545001</v>
      </c>
      <c r="F3429">
        <v>0.85617546367706299</v>
      </c>
      <c r="G3429">
        <v>0.87107332305029905</v>
      </c>
      <c r="H3429" t="str">
        <f t="shared" si="53"/>
        <v>Q4</v>
      </c>
    </row>
    <row r="3430" spans="1:8">
      <c r="A3430">
        <v>796648</v>
      </c>
      <c r="B3430" t="s">
        <v>565</v>
      </c>
      <c r="C3430">
        <v>31</v>
      </c>
      <c r="D3430">
        <v>6.5670857746754896</v>
      </c>
      <c r="E3430">
        <v>203.57965901494001</v>
      </c>
      <c r="F3430">
        <v>0.766073511154584</v>
      </c>
      <c r="G3430">
        <v>0.87103570219329596</v>
      </c>
      <c r="H3430" t="str">
        <f t="shared" si="53"/>
        <v>Q3</v>
      </c>
    </row>
    <row r="3431" spans="1:8">
      <c r="A3431">
        <v>857880</v>
      </c>
      <c r="B3431" t="s">
        <v>3255</v>
      </c>
      <c r="C3431">
        <v>127</v>
      </c>
      <c r="D3431">
        <v>1.60260236800069</v>
      </c>
      <c r="E3431">
        <v>203.53050073608799</v>
      </c>
      <c r="F3431">
        <v>0.93141717768330801</v>
      </c>
      <c r="G3431">
        <v>0.87099808133629297</v>
      </c>
      <c r="H3431" t="str">
        <f t="shared" si="53"/>
        <v>Q4</v>
      </c>
    </row>
    <row r="3432" spans="1:8">
      <c r="A3432">
        <v>671974</v>
      </c>
      <c r="B3432" t="s">
        <v>3711</v>
      </c>
      <c r="C3432">
        <v>48</v>
      </c>
      <c r="D3432">
        <v>4.23933616839349</v>
      </c>
      <c r="E3432">
        <v>203.48813608288799</v>
      </c>
      <c r="F3432">
        <v>0.82957751777585498</v>
      </c>
      <c r="G3432">
        <v>0.87096046047928999</v>
      </c>
      <c r="H3432" t="str">
        <f t="shared" si="53"/>
        <v>Q4</v>
      </c>
    </row>
    <row r="3433" spans="1:8">
      <c r="A3433">
        <v>580853</v>
      </c>
      <c r="B3433" t="s">
        <v>3528</v>
      </c>
      <c r="C3433">
        <v>35</v>
      </c>
      <c r="D3433">
        <v>5.8136078289576902</v>
      </c>
      <c r="E3433">
        <v>203.476274013519</v>
      </c>
      <c r="F3433">
        <v>0.78420676423008895</v>
      </c>
      <c r="G3433">
        <v>0.870922839622287</v>
      </c>
      <c r="H3433" t="str">
        <f t="shared" si="53"/>
        <v>Q3</v>
      </c>
    </row>
    <row r="3434" spans="1:8">
      <c r="A3434">
        <v>725332</v>
      </c>
      <c r="B3434" t="s">
        <v>4673</v>
      </c>
      <c r="C3434">
        <v>26</v>
      </c>
      <c r="D3434">
        <v>7.8240548045589398</v>
      </c>
      <c r="E3434">
        <v>203.425424918532</v>
      </c>
      <c r="F3434">
        <v>0.73706783040517698</v>
      </c>
      <c r="G3434">
        <v>0.87088521876528302</v>
      </c>
      <c r="H3434" t="str">
        <f t="shared" si="53"/>
        <v>Q3</v>
      </c>
    </row>
    <row r="3435" spans="1:8">
      <c r="A3435">
        <v>400342</v>
      </c>
      <c r="B3435" t="s">
        <v>4514</v>
      </c>
      <c r="C3435">
        <v>57</v>
      </c>
      <c r="D3435">
        <v>3.5644365033428902</v>
      </c>
      <c r="E3435">
        <v>203.17288069054501</v>
      </c>
      <c r="F3435">
        <v>0.851849065121703</v>
      </c>
      <c r="G3435">
        <v>0.87084759790828004</v>
      </c>
      <c r="H3435" t="str">
        <f t="shared" si="53"/>
        <v>Q4</v>
      </c>
    </row>
    <row r="3436" spans="1:8">
      <c r="A3436">
        <v>820869</v>
      </c>
      <c r="B3436" t="s">
        <v>514</v>
      </c>
      <c r="C3436">
        <v>31</v>
      </c>
      <c r="D3436">
        <v>6.5535811406950799</v>
      </c>
      <c r="E3436">
        <v>203.16101536154699</v>
      </c>
      <c r="F3436">
        <v>0.766073511154584</v>
      </c>
      <c r="G3436">
        <v>0.87080997705127705</v>
      </c>
      <c r="H3436" t="str">
        <f t="shared" si="53"/>
        <v>Q3</v>
      </c>
    </row>
    <row r="3437" spans="1:8">
      <c r="A3437">
        <v>569996</v>
      </c>
      <c r="B3437" t="s">
        <v>4095</v>
      </c>
      <c r="C3437">
        <v>189</v>
      </c>
      <c r="D3437">
        <v>1.07433415811371</v>
      </c>
      <c r="E3437">
        <v>203.04915588349101</v>
      </c>
      <c r="F3437">
        <v>0.95605883902035305</v>
      </c>
      <c r="G3437">
        <v>0.87077235619427396</v>
      </c>
      <c r="H3437" t="str">
        <f t="shared" si="53"/>
        <v>Q2</v>
      </c>
    </row>
    <row r="3438" spans="1:8">
      <c r="A3438">
        <v>764525</v>
      </c>
      <c r="B3438" t="s">
        <v>2118</v>
      </c>
      <c r="C3438">
        <v>86</v>
      </c>
      <c r="D3438">
        <v>2.3607410349731501</v>
      </c>
      <c r="E3438">
        <v>203.023729007691</v>
      </c>
      <c r="F3438">
        <v>0.89864941123358799</v>
      </c>
      <c r="G3438">
        <v>0.87073473533727097</v>
      </c>
      <c r="H3438" t="str">
        <f t="shared" si="53"/>
        <v>Q4</v>
      </c>
    </row>
    <row r="3439" spans="1:8">
      <c r="A3439">
        <v>785034</v>
      </c>
      <c r="B3439" t="s">
        <v>601</v>
      </c>
      <c r="C3439">
        <v>46</v>
      </c>
      <c r="D3439">
        <v>4.4124540022533898</v>
      </c>
      <c r="E3439">
        <v>202.97288410365601</v>
      </c>
      <c r="F3439">
        <v>0.82378390579737404</v>
      </c>
      <c r="G3439">
        <v>0.87069711448026799</v>
      </c>
      <c r="H3439" t="str">
        <f t="shared" si="53"/>
        <v>Q4</v>
      </c>
    </row>
    <row r="3440" spans="1:8">
      <c r="A3440">
        <v>617322</v>
      </c>
      <c r="B3440" t="s">
        <v>1931</v>
      </c>
      <c r="C3440">
        <v>70</v>
      </c>
      <c r="D3440">
        <v>2.8994188231549098</v>
      </c>
      <c r="E3440">
        <v>202.95931762084399</v>
      </c>
      <c r="F3440">
        <v>0.87555020503367098</v>
      </c>
      <c r="G3440">
        <v>0.870659493623265</v>
      </c>
      <c r="H3440" t="str">
        <f t="shared" si="53"/>
        <v>Q4</v>
      </c>
    </row>
    <row r="3441" spans="1:8">
      <c r="A3441">
        <v>726172</v>
      </c>
      <c r="B3441" t="s">
        <v>5141</v>
      </c>
      <c r="C3441">
        <v>62</v>
      </c>
      <c r="D3441">
        <v>3.2731820859255301</v>
      </c>
      <c r="E3441">
        <v>202.93728932738301</v>
      </c>
      <c r="F3441">
        <v>0.86238290508257798</v>
      </c>
      <c r="G3441">
        <v>0.87062187276626202</v>
      </c>
      <c r="H3441" t="str">
        <f t="shared" si="53"/>
        <v>Q4</v>
      </c>
    </row>
    <row r="3442" spans="1:8">
      <c r="A3442">
        <v>758862</v>
      </c>
      <c r="B3442" t="s">
        <v>3398</v>
      </c>
      <c r="C3442">
        <v>94</v>
      </c>
      <c r="D3442">
        <v>2.1588712554187199</v>
      </c>
      <c r="E3442">
        <v>202.93389800936001</v>
      </c>
      <c r="F3442">
        <v>0.906700274632256</v>
      </c>
      <c r="G3442">
        <v>0.87058425190925803</v>
      </c>
      <c r="H3442" t="str">
        <f t="shared" si="53"/>
        <v>Q4</v>
      </c>
    </row>
    <row r="3443" spans="1:8">
      <c r="A3443">
        <v>630714</v>
      </c>
      <c r="B3443" t="s">
        <v>4616</v>
      </c>
      <c r="C3443">
        <v>103</v>
      </c>
      <c r="D3443">
        <v>1.97005094779493</v>
      </c>
      <c r="E3443">
        <v>202.91524762287699</v>
      </c>
      <c r="F3443">
        <v>0.91433730860388995</v>
      </c>
      <c r="G3443">
        <v>0.87054663105225505</v>
      </c>
      <c r="H3443" t="str">
        <f t="shared" si="53"/>
        <v>Q4</v>
      </c>
    </row>
    <row r="3444" spans="1:8">
      <c r="A3444">
        <v>769081</v>
      </c>
      <c r="B3444" t="s">
        <v>1970</v>
      </c>
      <c r="C3444">
        <v>35</v>
      </c>
      <c r="D3444">
        <v>5.7971430144139697</v>
      </c>
      <c r="E3444">
        <v>202.900005504489</v>
      </c>
      <c r="F3444">
        <v>0.78420676423008895</v>
      </c>
      <c r="G3444">
        <v>0.87050901019525195</v>
      </c>
      <c r="H3444" t="str">
        <f t="shared" si="53"/>
        <v>Q3</v>
      </c>
    </row>
    <row r="3445" spans="1:8">
      <c r="A3445">
        <v>680712</v>
      </c>
      <c r="B3445" t="s">
        <v>4040</v>
      </c>
      <c r="C3445">
        <v>46</v>
      </c>
      <c r="D3445">
        <v>4.4101326726377001</v>
      </c>
      <c r="E3445">
        <v>202.86610294133399</v>
      </c>
      <c r="F3445">
        <v>0.82378390579737404</v>
      </c>
      <c r="G3445">
        <v>0.87047138933824897</v>
      </c>
      <c r="H3445" t="str">
        <f t="shared" si="53"/>
        <v>Q4</v>
      </c>
    </row>
    <row r="3446" spans="1:8">
      <c r="A3446">
        <v>760449</v>
      </c>
      <c r="B3446" t="s">
        <v>5171</v>
      </c>
      <c r="C3446">
        <v>16</v>
      </c>
      <c r="D3446">
        <v>12.6778604928404</v>
      </c>
      <c r="E3446">
        <v>202.845767885447</v>
      </c>
      <c r="F3446">
        <v>0.64756781159474797</v>
      </c>
      <c r="G3446">
        <v>0.87043376848124598</v>
      </c>
      <c r="H3446" t="str">
        <f t="shared" si="53"/>
        <v>Q3</v>
      </c>
    </row>
    <row r="3447" spans="1:8">
      <c r="A3447">
        <v>762742</v>
      </c>
      <c r="B3447" t="s">
        <v>4799</v>
      </c>
      <c r="C3447">
        <v>41</v>
      </c>
      <c r="D3447">
        <v>4.9428690179455597</v>
      </c>
      <c r="E3447">
        <v>202.65762973576801</v>
      </c>
      <c r="F3447">
        <v>0.80787028328505295</v>
      </c>
      <c r="G3447">
        <v>0.870396147624243</v>
      </c>
      <c r="H3447" t="str">
        <f t="shared" si="53"/>
        <v>Q3</v>
      </c>
    </row>
    <row r="3448" spans="1:8">
      <c r="A3448">
        <v>737358</v>
      </c>
      <c r="B3448" t="s">
        <v>3294</v>
      </c>
      <c r="C3448">
        <v>71</v>
      </c>
      <c r="D3448">
        <v>2.8536165487283598</v>
      </c>
      <c r="E3448">
        <v>202.60677495971299</v>
      </c>
      <c r="F3448">
        <v>0.87799556073887397</v>
      </c>
      <c r="G3448">
        <v>0.87035852676724001</v>
      </c>
      <c r="H3448" t="str">
        <f t="shared" si="53"/>
        <v>Q4</v>
      </c>
    </row>
    <row r="3449" spans="1:8">
      <c r="A3449">
        <v>798868</v>
      </c>
      <c r="B3449" t="s">
        <v>4369</v>
      </c>
      <c r="C3449">
        <v>56</v>
      </c>
      <c r="D3449">
        <v>3.6166767390178798</v>
      </c>
      <c r="E3449">
        <v>202.53389738500101</v>
      </c>
      <c r="F3449">
        <v>0.85004326398555397</v>
      </c>
      <c r="G3449">
        <v>0.87032090591023703</v>
      </c>
      <c r="H3449" t="str">
        <f t="shared" si="53"/>
        <v>Q4</v>
      </c>
    </row>
    <row r="3450" spans="1:8">
      <c r="A3450">
        <v>555326</v>
      </c>
      <c r="B3450" t="s">
        <v>4488</v>
      </c>
      <c r="C3450">
        <v>53</v>
      </c>
      <c r="D3450">
        <v>3.8212344296417098</v>
      </c>
      <c r="E3450">
        <v>202.52542477101099</v>
      </c>
      <c r="F3450">
        <v>0.84218050487190099</v>
      </c>
      <c r="G3450">
        <v>0.87028328505323305</v>
      </c>
      <c r="H3450" t="str">
        <f t="shared" si="53"/>
        <v>Q4</v>
      </c>
    </row>
    <row r="3451" spans="1:8">
      <c r="A3451">
        <v>758005</v>
      </c>
      <c r="B3451" t="s">
        <v>4274</v>
      </c>
      <c r="C3451">
        <v>131</v>
      </c>
      <c r="D3451">
        <v>1.5439771695190501</v>
      </c>
      <c r="E3451">
        <v>202.261009206995</v>
      </c>
      <c r="F3451">
        <v>0.93374967081750104</v>
      </c>
      <c r="G3451">
        <v>0.87024566419622995</v>
      </c>
      <c r="H3451" t="str">
        <f t="shared" si="53"/>
        <v>Q4</v>
      </c>
    </row>
    <row r="3452" spans="1:8">
      <c r="A3452">
        <v>753282</v>
      </c>
      <c r="B3452" t="s">
        <v>1445</v>
      </c>
      <c r="C3452">
        <v>66</v>
      </c>
      <c r="D3452">
        <v>3.0640729177376298</v>
      </c>
      <c r="E3452">
        <v>202.228812570684</v>
      </c>
      <c r="F3452">
        <v>0.86968135134118396</v>
      </c>
      <c r="G3452">
        <v>0.87020804333922697</v>
      </c>
      <c r="H3452" t="str">
        <f t="shared" si="53"/>
        <v>Q4</v>
      </c>
    </row>
    <row r="3453" spans="1:8">
      <c r="A3453">
        <v>751866</v>
      </c>
      <c r="B3453" t="s">
        <v>3153</v>
      </c>
      <c r="C3453">
        <v>83</v>
      </c>
      <c r="D3453">
        <v>2.4360220587576702</v>
      </c>
      <c r="E3453">
        <v>202.18983087688699</v>
      </c>
      <c r="F3453">
        <v>0.89530115496031004</v>
      </c>
      <c r="G3453">
        <v>0.87017042248222398</v>
      </c>
      <c r="H3453" t="str">
        <f t="shared" si="53"/>
        <v>Q4</v>
      </c>
    </row>
    <row r="3454" spans="1:8">
      <c r="A3454">
        <v>790119</v>
      </c>
      <c r="B3454" t="s">
        <v>1010</v>
      </c>
      <c r="C3454">
        <v>32</v>
      </c>
      <c r="D3454">
        <v>6.3177965581417102</v>
      </c>
      <c r="E3454">
        <v>202.16948986053501</v>
      </c>
      <c r="F3454">
        <v>0.77096422256498998</v>
      </c>
      <c r="G3454">
        <v>0.870132801625221</v>
      </c>
      <c r="H3454" t="str">
        <f t="shared" si="53"/>
        <v>Q3</v>
      </c>
    </row>
    <row r="3455" spans="1:8">
      <c r="A3455">
        <v>785416</v>
      </c>
      <c r="B3455" t="s">
        <v>4726</v>
      </c>
      <c r="C3455">
        <v>43</v>
      </c>
      <c r="D3455">
        <v>4.7001971624964902</v>
      </c>
      <c r="E3455">
        <v>202.108477987349</v>
      </c>
      <c r="F3455">
        <v>0.81437869154659304</v>
      </c>
      <c r="G3455">
        <v>0.87009518076821801</v>
      </c>
      <c r="H3455" t="str">
        <f t="shared" si="53"/>
        <v>Q4</v>
      </c>
    </row>
    <row r="3456" spans="1:8">
      <c r="A3456">
        <v>642825</v>
      </c>
      <c r="B3456" t="s">
        <v>5107</v>
      </c>
      <c r="C3456">
        <v>70</v>
      </c>
      <c r="D3456">
        <v>2.8861016846661101</v>
      </c>
      <c r="E3456">
        <v>202.027117926627</v>
      </c>
      <c r="F3456">
        <v>0.87555020503367098</v>
      </c>
      <c r="G3456">
        <v>0.87005755991121503</v>
      </c>
      <c r="H3456" t="str">
        <f t="shared" si="53"/>
        <v>Q4</v>
      </c>
    </row>
    <row r="3457" spans="1:8">
      <c r="A3457">
        <v>490113</v>
      </c>
      <c r="B3457" t="s">
        <v>2805</v>
      </c>
      <c r="C3457">
        <v>53</v>
      </c>
      <c r="D3457">
        <v>3.8106172169857402</v>
      </c>
      <c r="E3457">
        <v>201.96271250024401</v>
      </c>
      <c r="F3457">
        <v>0.84218050487190099</v>
      </c>
      <c r="G3457">
        <v>0.87001993905421204</v>
      </c>
      <c r="H3457" t="str">
        <f t="shared" si="53"/>
        <v>Q4</v>
      </c>
    </row>
    <row r="3458" spans="1:8">
      <c r="A3458">
        <v>738571</v>
      </c>
      <c r="B3458" t="s">
        <v>4267</v>
      </c>
      <c r="C3458">
        <v>27</v>
      </c>
      <c r="D3458">
        <v>7.4710609598292201</v>
      </c>
      <c r="E3458">
        <v>201.718645915389</v>
      </c>
      <c r="F3458">
        <v>0.74312478838267904</v>
      </c>
      <c r="G3458">
        <v>0.86998231819720895</v>
      </c>
      <c r="H3458" t="str">
        <f t="shared" si="53"/>
        <v>Q3</v>
      </c>
    </row>
    <row r="3459" spans="1:8">
      <c r="A3459">
        <v>763712</v>
      </c>
      <c r="B3459" t="s">
        <v>3380</v>
      </c>
      <c r="C3459">
        <v>64</v>
      </c>
      <c r="D3459">
        <v>3.1495232484303401</v>
      </c>
      <c r="E3459">
        <v>201.569487899542</v>
      </c>
      <c r="F3459">
        <v>0.86633309506790601</v>
      </c>
      <c r="G3459">
        <v>0.86994469734020496</v>
      </c>
      <c r="H3459" t="str">
        <f t="shared" ref="H3459:H3522" si="54">IF(C3459&gt;$J$2,
   IF(D3459&gt;$J$3,"Q1","Q2"),
   IF(D3459&gt;$J$3,"Q3","Q4"))</f>
        <v>Q4</v>
      </c>
    </row>
    <row r="3460" spans="1:8">
      <c r="A3460">
        <v>779880</v>
      </c>
      <c r="B3460" t="s">
        <v>1214</v>
      </c>
      <c r="C3460">
        <v>8</v>
      </c>
      <c r="D3460">
        <v>25.194915384054202</v>
      </c>
      <c r="E3460">
        <v>201.55932307243299</v>
      </c>
      <c r="F3460">
        <v>0.49768631729430801</v>
      </c>
      <c r="G3460">
        <v>0.86990707648320198</v>
      </c>
      <c r="H3460" t="str">
        <f t="shared" si="54"/>
        <v>Q3</v>
      </c>
    </row>
    <row r="3461" spans="1:8">
      <c r="A3461">
        <v>687571</v>
      </c>
      <c r="B3461" t="s">
        <v>5000</v>
      </c>
      <c r="C3461">
        <v>118</v>
      </c>
      <c r="D3461">
        <v>1.7078138145981201</v>
      </c>
      <c r="E3461">
        <v>201.522030122578</v>
      </c>
      <c r="F3461">
        <v>0.92592453256085205</v>
      </c>
      <c r="G3461">
        <v>0.869869455626199</v>
      </c>
      <c r="H3461" t="str">
        <f t="shared" si="54"/>
        <v>Q4</v>
      </c>
    </row>
    <row r="3462" spans="1:8">
      <c r="A3462">
        <v>723912</v>
      </c>
      <c r="B3462" t="s">
        <v>3239</v>
      </c>
      <c r="C3462">
        <v>61</v>
      </c>
      <c r="D3462">
        <v>3.3028618997482</v>
      </c>
      <c r="E3462">
        <v>201.47457588463999</v>
      </c>
      <c r="F3462">
        <v>0.86035137880440904</v>
      </c>
      <c r="G3462">
        <v>0.86983183476919601</v>
      </c>
      <c r="H3462" t="str">
        <f t="shared" si="54"/>
        <v>Q4</v>
      </c>
    </row>
    <row r="3463" spans="1:8">
      <c r="A3463">
        <v>622238</v>
      </c>
      <c r="B3463" t="s">
        <v>3296</v>
      </c>
      <c r="C3463">
        <v>156</v>
      </c>
      <c r="D3463">
        <v>1.2912755124629101</v>
      </c>
      <c r="E3463">
        <v>201.438979944214</v>
      </c>
      <c r="F3463">
        <v>0.94503592791843805</v>
      </c>
      <c r="G3463">
        <v>0.86979421391219303</v>
      </c>
      <c r="H3463" t="str">
        <f t="shared" si="54"/>
        <v>Q4</v>
      </c>
    </row>
    <row r="3464" spans="1:8">
      <c r="A3464">
        <v>772010</v>
      </c>
      <c r="B3464" t="s">
        <v>4346</v>
      </c>
      <c r="C3464">
        <v>31</v>
      </c>
      <c r="D3464">
        <v>6.4958446749275698</v>
      </c>
      <c r="E3464">
        <v>201.37118492275499</v>
      </c>
      <c r="F3464">
        <v>0.766073511154584</v>
      </c>
      <c r="G3464">
        <v>0.86975659305519004</v>
      </c>
      <c r="H3464" t="str">
        <f t="shared" si="54"/>
        <v>Q3</v>
      </c>
    </row>
    <row r="3465" spans="1:8">
      <c r="A3465">
        <v>564309</v>
      </c>
      <c r="B3465" t="s">
        <v>320</v>
      </c>
      <c r="C3465">
        <v>128</v>
      </c>
      <c r="D3465">
        <v>1.57247080715024</v>
      </c>
      <c r="E3465">
        <v>201.27626331523101</v>
      </c>
      <c r="F3465">
        <v>0.93201911139535798</v>
      </c>
      <c r="G3465">
        <v>0.86971897219818695</v>
      </c>
      <c r="H3465" t="str">
        <f t="shared" si="54"/>
        <v>Q4</v>
      </c>
    </row>
    <row r="3466" spans="1:8">
      <c r="A3466">
        <v>742086</v>
      </c>
      <c r="B3466" t="s">
        <v>4270</v>
      </c>
      <c r="C3466">
        <v>97</v>
      </c>
      <c r="D3466">
        <v>2.0746286584006799</v>
      </c>
      <c r="E3466">
        <v>201.238979864866</v>
      </c>
      <c r="F3466">
        <v>0.909108009480456</v>
      </c>
      <c r="G3466">
        <v>0.86968135134118396</v>
      </c>
      <c r="H3466" t="str">
        <f t="shared" si="54"/>
        <v>Q4</v>
      </c>
    </row>
    <row r="3467" spans="1:8">
      <c r="A3467">
        <v>514577</v>
      </c>
      <c r="B3467" t="s">
        <v>214</v>
      </c>
      <c r="C3467">
        <v>184</v>
      </c>
      <c r="D3467">
        <v>1.0936900980912301</v>
      </c>
      <c r="E3467">
        <v>201.238978048787</v>
      </c>
      <c r="F3467">
        <v>0.95477972988224702</v>
      </c>
      <c r="G3467">
        <v>0.86964373048417998</v>
      </c>
      <c r="H3467" t="str">
        <f t="shared" si="54"/>
        <v>Q2</v>
      </c>
    </row>
    <row r="3468" spans="1:8">
      <c r="A3468">
        <v>749084</v>
      </c>
      <c r="B3468" t="s">
        <v>5254</v>
      </c>
      <c r="C3468">
        <v>53</v>
      </c>
      <c r="D3468">
        <v>3.79501119748039</v>
      </c>
      <c r="E3468">
        <v>201.13559346646099</v>
      </c>
      <c r="F3468">
        <v>0.84218050487190099</v>
      </c>
      <c r="G3468">
        <v>0.86960610962717699</v>
      </c>
      <c r="H3468" t="str">
        <f t="shared" si="54"/>
        <v>Q4</v>
      </c>
    </row>
    <row r="3469" spans="1:8">
      <c r="A3469">
        <v>817491</v>
      </c>
      <c r="B3469" t="s">
        <v>680</v>
      </c>
      <c r="C3469">
        <v>63</v>
      </c>
      <c r="D3469">
        <v>3.1920096304799799</v>
      </c>
      <c r="E3469">
        <v>201.09660672023901</v>
      </c>
      <c r="F3469">
        <v>0.86445205221775001</v>
      </c>
      <c r="G3469">
        <v>0.86956848877017401</v>
      </c>
      <c r="H3469" t="str">
        <f t="shared" si="54"/>
        <v>Q4</v>
      </c>
    </row>
    <row r="3470" spans="1:8">
      <c r="A3470">
        <v>772032</v>
      </c>
      <c r="B3470" t="s">
        <v>2868</v>
      </c>
      <c r="C3470">
        <v>83</v>
      </c>
      <c r="D3470">
        <v>2.4209311860332998</v>
      </c>
      <c r="E3470">
        <v>200.93728844076401</v>
      </c>
      <c r="F3470">
        <v>0.89530115496031004</v>
      </c>
      <c r="G3470">
        <v>0.86953086791317102</v>
      </c>
      <c r="H3470" t="str">
        <f t="shared" si="54"/>
        <v>Q4</v>
      </c>
    </row>
    <row r="3471" spans="1:8">
      <c r="A3471">
        <v>708101</v>
      </c>
      <c r="B3471" t="s">
        <v>4079</v>
      </c>
      <c r="C3471">
        <v>35</v>
      </c>
      <c r="D3471">
        <v>5.7396127390010001</v>
      </c>
      <c r="E3471">
        <v>200.886445865035</v>
      </c>
      <c r="F3471">
        <v>0.78420676423008895</v>
      </c>
      <c r="G3471">
        <v>0.86949324705616804</v>
      </c>
      <c r="H3471" t="str">
        <f t="shared" si="54"/>
        <v>Q3</v>
      </c>
    </row>
    <row r="3472" spans="1:8">
      <c r="A3472">
        <v>673771</v>
      </c>
      <c r="B3472" t="s">
        <v>2424</v>
      </c>
      <c r="C3472">
        <v>91</v>
      </c>
      <c r="D3472">
        <v>2.2072825401734799</v>
      </c>
      <c r="E3472">
        <v>200.862711155787</v>
      </c>
      <c r="F3472">
        <v>0.90350250178699099</v>
      </c>
      <c r="G3472">
        <v>0.86945562619916505</v>
      </c>
      <c r="H3472" t="str">
        <f t="shared" si="54"/>
        <v>Q4</v>
      </c>
    </row>
    <row r="3473" spans="1:8">
      <c r="A3473">
        <v>523490</v>
      </c>
      <c r="B3473" t="s">
        <v>154</v>
      </c>
      <c r="C3473">
        <v>424</v>
      </c>
      <c r="D3473">
        <v>0.473500978841912</v>
      </c>
      <c r="E3473">
        <v>200.764415028971</v>
      </c>
      <c r="F3473">
        <v>0.985478349196795</v>
      </c>
      <c r="G3473">
        <v>0.86941800534216196</v>
      </c>
      <c r="H3473" t="str">
        <f t="shared" si="54"/>
        <v>Q2</v>
      </c>
    </row>
    <row r="3474" spans="1:8">
      <c r="A3474">
        <v>676512</v>
      </c>
      <c r="B3474" t="s">
        <v>1482</v>
      </c>
      <c r="C3474">
        <v>60</v>
      </c>
      <c r="D3474">
        <v>3.3460169658064798</v>
      </c>
      <c r="E3474">
        <v>200.761017948389</v>
      </c>
      <c r="F3474">
        <v>0.85805650652721899</v>
      </c>
      <c r="G3474">
        <v>0.86938038448515897</v>
      </c>
      <c r="H3474" t="str">
        <f t="shared" si="54"/>
        <v>Q4</v>
      </c>
    </row>
    <row r="3475" spans="1:8">
      <c r="A3475">
        <v>730153</v>
      </c>
      <c r="B3475" t="s">
        <v>2765</v>
      </c>
      <c r="C3475">
        <v>58</v>
      </c>
      <c r="D3475">
        <v>3.4604617201819501</v>
      </c>
      <c r="E3475">
        <v>200.706779770553</v>
      </c>
      <c r="F3475">
        <v>0.853993453970881</v>
      </c>
      <c r="G3475">
        <v>0.86934276362815499</v>
      </c>
      <c r="H3475" t="str">
        <f t="shared" si="54"/>
        <v>Q4</v>
      </c>
    </row>
    <row r="3476" spans="1:8">
      <c r="A3476">
        <v>823063</v>
      </c>
      <c r="B3476" t="s">
        <v>1150</v>
      </c>
      <c r="C3476">
        <v>42</v>
      </c>
      <c r="D3476">
        <v>4.7775222742486596</v>
      </c>
      <c r="E3476">
        <v>200.65593551844401</v>
      </c>
      <c r="F3476">
        <v>0.81103043527331597</v>
      </c>
      <c r="G3476">
        <v>0.86930514277115201</v>
      </c>
      <c r="H3476" t="str">
        <f t="shared" si="54"/>
        <v>Q4</v>
      </c>
    </row>
    <row r="3477" spans="1:8">
      <c r="A3477">
        <v>700817</v>
      </c>
      <c r="B3477" t="s">
        <v>972</v>
      </c>
      <c r="C3477">
        <v>81</v>
      </c>
      <c r="D3477">
        <v>2.4771081893072502</v>
      </c>
      <c r="E3477">
        <v>200.645763333887</v>
      </c>
      <c r="F3477">
        <v>0.89293104096911302</v>
      </c>
      <c r="G3477">
        <v>0.86926752191414902</v>
      </c>
      <c r="H3477" t="str">
        <f t="shared" si="54"/>
        <v>Q4</v>
      </c>
    </row>
    <row r="3478" spans="1:8">
      <c r="A3478">
        <v>670435</v>
      </c>
      <c r="B3478" t="s">
        <v>584</v>
      </c>
      <c r="C3478">
        <v>248</v>
      </c>
      <c r="D3478">
        <v>0.80840623488784902</v>
      </c>
      <c r="E3478">
        <v>200.48474625218699</v>
      </c>
      <c r="F3478">
        <v>0.96866182611639895</v>
      </c>
      <c r="G3478">
        <v>0.86922990105714604</v>
      </c>
      <c r="H3478" t="str">
        <f t="shared" si="54"/>
        <v>Q2</v>
      </c>
    </row>
    <row r="3479" spans="1:8">
      <c r="A3479">
        <v>801447</v>
      </c>
      <c r="B3479" t="s">
        <v>5036</v>
      </c>
      <c r="C3479">
        <v>69</v>
      </c>
      <c r="D3479">
        <v>2.90356176648883</v>
      </c>
      <c r="E3479">
        <v>200.345761887729</v>
      </c>
      <c r="F3479">
        <v>0.87393250818253598</v>
      </c>
      <c r="G3479">
        <v>0.86919228020014305</v>
      </c>
      <c r="H3479" t="str">
        <f t="shared" si="54"/>
        <v>Q4</v>
      </c>
    </row>
    <row r="3480" spans="1:8">
      <c r="A3480">
        <v>219075</v>
      </c>
      <c r="B3480" t="s">
        <v>591</v>
      </c>
      <c r="C3480">
        <v>44</v>
      </c>
      <c r="D3480">
        <v>4.5528505992313697</v>
      </c>
      <c r="E3480">
        <v>200.32542636618001</v>
      </c>
      <c r="F3480">
        <v>0.817689326962868</v>
      </c>
      <c r="G3480">
        <v>0.86915465934313996</v>
      </c>
      <c r="H3480" t="str">
        <f t="shared" si="54"/>
        <v>Q4</v>
      </c>
    </row>
    <row r="3481" spans="1:8">
      <c r="A3481">
        <v>812241</v>
      </c>
      <c r="B3481" t="s">
        <v>1454</v>
      </c>
      <c r="C3481">
        <v>62</v>
      </c>
      <c r="D3481">
        <v>3.23056309754329</v>
      </c>
      <c r="E3481">
        <v>200.29491204768399</v>
      </c>
      <c r="F3481">
        <v>0.86238290508257798</v>
      </c>
      <c r="G3481">
        <v>0.86911703848613697</v>
      </c>
      <c r="H3481" t="str">
        <f t="shared" si="54"/>
        <v>Q4</v>
      </c>
    </row>
    <row r="3482" spans="1:8">
      <c r="A3482">
        <v>767699</v>
      </c>
      <c r="B3482" t="s">
        <v>4158</v>
      </c>
      <c r="C3482">
        <v>60</v>
      </c>
      <c r="D3482">
        <v>3.33807912422344</v>
      </c>
      <c r="E3482">
        <v>200.284747453406</v>
      </c>
      <c r="F3482">
        <v>0.85805650652721899</v>
      </c>
      <c r="G3482">
        <v>0.86907941762913399</v>
      </c>
      <c r="H3482" t="str">
        <f t="shared" si="54"/>
        <v>Q4</v>
      </c>
    </row>
    <row r="3483" spans="1:8">
      <c r="A3483">
        <v>696594</v>
      </c>
      <c r="B3483" t="s">
        <v>296</v>
      </c>
      <c r="C3483">
        <v>146</v>
      </c>
      <c r="D3483">
        <v>1.37160431421426</v>
      </c>
      <c r="E3483">
        <v>200.254229875281</v>
      </c>
      <c r="F3483">
        <v>0.94127384221812604</v>
      </c>
      <c r="G3483">
        <v>0.86904179677213</v>
      </c>
      <c r="H3483" t="str">
        <f t="shared" si="54"/>
        <v>Q4</v>
      </c>
    </row>
    <row r="3484" spans="1:8">
      <c r="A3484">
        <v>830365</v>
      </c>
      <c r="B3484" t="s">
        <v>281</v>
      </c>
      <c r="C3484">
        <v>66</v>
      </c>
      <c r="D3484">
        <v>3.0315613458779702</v>
      </c>
      <c r="E3484">
        <v>200.08304882794599</v>
      </c>
      <c r="F3484">
        <v>0.86968135134118396</v>
      </c>
      <c r="G3484">
        <v>0.86900417591512702</v>
      </c>
      <c r="H3484" t="str">
        <f t="shared" si="54"/>
        <v>Q4</v>
      </c>
    </row>
    <row r="3485" spans="1:8">
      <c r="A3485">
        <v>743499</v>
      </c>
      <c r="B3485" t="s">
        <v>2319</v>
      </c>
      <c r="C3485">
        <v>36</v>
      </c>
      <c r="D3485">
        <v>5.5532485401878802</v>
      </c>
      <c r="E3485">
        <v>199.916947446764</v>
      </c>
      <c r="F3485">
        <v>0.78890937135547901</v>
      </c>
      <c r="G3485">
        <v>0.86896655505812403</v>
      </c>
      <c r="H3485" t="str">
        <f t="shared" si="54"/>
        <v>Q3</v>
      </c>
    </row>
    <row r="3486" spans="1:8">
      <c r="A3486">
        <v>702249</v>
      </c>
      <c r="B3486" t="s">
        <v>2640</v>
      </c>
      <c r="C3486">
        <v>24</v>
      </c>
      <c r="D3486">
        <v>8.3269067574292404</v>
      </c>
      <c r="E3486">
        <v>199.84576217830201</v>
      </c>
      <c r="F3486">
        <v>0.72284714645799597</v>
      </c>
      <c r="G3486">
        <v>0.86892893420112105</v>
      </c>
      <c r="H3486" t="str">
        <f t="shared" si="54"/>
        <v>Q3</v>
      </c>
    </row>
    <row r="3487" spans="1:8">
      <c r="A3487">
        <v>778840</v>
      </c>
      <c r="B3487" t="s">
        <v>2505</v>
      </c>
      <c r="C3487">
        <v>16</v>
      </c>
      <c r="D3487">
        <v>12.4900427646935</v>
      </c>
      <c r="E3487">
        <v>199.84068423509601</v>
      </c>
      <c r="F3487">
        <v>0.64756781159474797</v>
      </c>
      <c r="G3487">
        <v>0.86889131334411795</v>
      </c>
      <c r="H3487" t="str">
        <f t="shared" si="54"/>
        <v>Q3</v>
      </c>
    </row>
    <row r="3488" spans="1:8">
      <c r="A3488">
        <v>698761</v>
      </c>
      <c r="B3488" t="s">
        <v>3674</v>
      </c>
      <c r="C3488">
        <v>39</v>
      </c>
      <c r="D3488">
        <v>5.1233812593496797</v>
      </c>
      <c r="E3488">
        <v>199.81186911463701</v>
      </c>
      <c r="F3488">
        <v>0.80087280388247195</v>
      </c>
      <c r="G3488">
        <v>0.86885369248711497</v>
      </c>
      <c r="H3488" t="str">
        <f t="shared" si="54"/>
        <v>Q3</v>
      </c>
    </row>
    <row r="3489" spans="1:8">
      <c r="A3489">
        <v>804292</v>
      </c>
      <c r="B3489" t="s">
        <v>1364</v>
      </c>
      <c r="C3489">
        <v>60</v>
      </c>
      <c r="D3489">
        <v>3.3299435023218402</v>
      </c>
      <c r="E3489">
        <v>199.79661013930999</v>
      </c>
      <c r="F3489">
        <v>0.85805650652721899</v>
      </c>
      <c r="G3489">
        <v>0.86881607163011199</v>
      </c>
      <c r="H3489" t="str">
        <f t="shared" si="54"/>
        <v>Q4</v>
      </c>
    </row>
    <row r="3490" spans="1:8">
      <c r="A3490">
        <v>814517</v>
      </c>
      <c r="B3490" t="s">
        <v>245</v>
      </c>
      <c r="C3490">
        <v>70</v>
      </c>
      <c r="D3490">
        <v>2.8528813858117399</v>
      </c>
      <c r="E3490">
        <v>199.701697006822</v>
      </c>
      <c r="F3490">
        <v>0.87555020503367098</v>
      </c>
      <c r="G3490">
        <v>0.868778450773109</v>
      </c>
      <c r="H3490" t="str">
        <f t="shared" si="54"/>
        <v>Q4</v>
      </c>
    </row>
    <row r="3491" spans="1:8">
      <c r="A3491">
        <v>715554</v>
      </c>
      <c r="B3491" t="s">
        <v>1506</v>
      </c>
      <c r="C3491">
        <v>53</v>
      </c>
      <c r="D3491">
        <v>3.7655580402264102</v>
      </c>
      <c r="E3491">
        <v>199.57457613199901</v>
      </c>
      <c r="F3491">
        <v>0.84218050487190099</v>
      </c>
      <c r="G3491">
        <v>0.86874082991610502</v>
      </c>
      <c r="H3491" t="str">
        <f t="shared" si="54"/>
        <v>Q4</v>
      </c>
    </row>
    <row r="3492" spans="1:8">
      <c r="A3492">
        <v>797527</v>
      </c>
      <c r="B3492" t="s">
        <v>3577</v>
      </c>
      <c r="C3492">
        <v>82</v>
      </c>
      <c r="D3492">
        <v>2.4326788011665701</v>
      </c>
      <c r="E3492">
        <v>199.47966169565899</v>
      </c>
      <c r="F3492">
        <v>0.894323012678229</v>
      </c>
      <c r="G3492">
        <v>0.86870320905910203</v>
      </c>
      <c r="H3492" t="str">
        <f t="shared" si="54"/>
        <v>Q4</v>
      </c>
    </row>
    <row r="3493" spans="1:8">
      <c r="A3493">
        <v>652356</v>
      </c>
      <c r="B3493" t="s">
        <v>3135</v>
      </c>
      <c r="C3493">
        <v>69</v>
      </c>
      <c r="D3493">
        <v>2.8894619962227499</v>
      </c>
      <c r="E3493">
        <v>199.37287773937001</v>
      </c>
      <c r="F3493">
        <v>0.87393250818253598</v>
      </c>
      <c r="G3493">
        <v>0.86866558820209905</v>
      </c>
      <c r="H3493" t="str">
        <f t="shared" si="54"/>
        <v>Q4</v>
      </c>
    </row>
    <row r="3494" spans="1:8">
      <c r="A3494">
        <v>740588</v>
      </c>
      <c r="B3494" t="s">
        <v>4839</v>
      </c>
      <c r="C3494">
        <v>87</v>
      </c>
      <c r="D3494">
        <v>2.2900448137915701</v>
      </c>
      <c r="E3494">
        <v>199.23389879986601</v>
      </c>
      <c r="F3494">
        <v>0.89955231180166295</v>
      </c>
      <c r="G3494">
        <v>0.86862796734509595</v>
      </c>
      <c r="H3494" t="str">
        <f t="shared" si="54"/>
        <v>Q4</v>
      </c>
    </row>
    <row r="3495" spans="1:8">
      <c r="A3495">
        <v>764581</v>
      </c>
      <c r="B3495" t="s">
        <v>1229</v>
      </c>
      <c r="C3495">
        <v>84</v>
      </c>
      <c r="D3495">
        <v>2.3707021914777302</v>
      </c>
      <c r="E3495">
        <v>199.13898408412899</v>
      </c>
      <c r="F3495">
        <v>0.89639215981340103</v>
      </c>
      <c r="G3495">
        <v>0.86859034648809297</v>
      </c>
      <c r="H3495" t="str">
        <f t="shared" si="54"/>
        <v>Q4</v>
      </c>
    </row>
    <row r="3496" spans="1:8">
      <c r="A3496">
        <v>700850</v>
      </c>
      <c r="B3496" t="s">
        <v>2559</v>
      </c>
      <c r="C3496">
        <v>49</v>
      </c>
      <c r="D3496">
        <v>4.0630923546090401</v>
      </c>
      <c r="E3496">
        <v>199.09152537584299</v>
      </c>
      <c r="F3496">
        <v>0.83258718633610496</v>
      </c>
      <c r="G3496">
        <v>0.86855272563108998</v>
      </c>
      <c r="H3496" t="str">
        <f t="shared" si="54"/>
        <v>Q4</v>
      </c>
    </row>
    <row r="3497" spans="1:8">
      <c r="A3497">
        <v>700745</v>
      </c>
      <c r="B3497" t="s">
        <v>3052</v>
      </c>
      <c r="C3497">
        <v>84</v>
      </c>
      <c r="D3497">
        <v>2.3693301060813501</v>
      </c>
      <c r="E3497">
        <v>199.023728910834</v>
      </c>
      <c r="F3497">
        <v>0.89639215981340103</v>
      </c>
      <c r="G3497">
        <v>0.868515104774087</v>
      </c>
      <c r="H3497" t="str">
        <f t="shared" si="54"/>
        <v>Q4</v>
      </c>
    </row>
    <row r="3498" spans="1:8">
      <c r="A3498">
        <v>691539</v>
      </c>
      <c r="B3498" t="s">
        <v>4965</v>
      </c>
      <c r="C3498">
        <v>18</v>
      </c>
      <c r="D3498">
        <v>11.053013056516599</v>
      </c>
      <c r="E3498">
        <v>198.95423501729999</v>
      </c>
      <c r="F3498">
        <v>0.67044129265264696</v>
      </c>
      <c r="G3498">
        <v>0.86847748391708401</v>
      </c>
      <c r="H3498" t="str">
        <f t="shared" si="54"/>
        <v>Q3</v>
      </c>
    </row>
    <row r="3499" spans="1:8">
      <c r="A3499">
        <v>761222</v>
      </c>
      <c r="B3499" t="s">
        <v>1741</v>
      </c>
      <c r="C3499">
        <v>47</v>
      </c>
      <c r="D3499">
        <v>4.2315543371629198</v>
      </c>
      <c r="E3499">
        <v>198.88305384665699</v>
      </c>
      <c r="F3499">
        <v>0.82641736578759295</v>
      </c>
      <c r="G3499">
        <v>0.86843986306008003</v>
      </c>
      <c r="H3499" t="str">
        <f t="shared" si="54"/>
        <v>Q4</v>
      </c>
    </row>
    <row r="3500" spans="1:8">
      <c r="A3500">
        <v>809549</v>
      </c>
      <c r="B3500" t="s">
        <v>2909</v>
      </c>
      <c r="C3500">
        <v>80</v>
      </c>
      <c r="D3500">
        <v>2.4853177741169898</v>
      </c>
      <c r="E3500">
        <v>198.82542192935901</v>
      </c>
      <c r="F3500">
        <v>0.89150144840299494</v>
      </c>
      <c r="G3500">
        <v>0.86840224220307705</v>
      </c>
      <c r="H3500" t="str">
        <f t="shared" si="54"/>
        <v>Q4</v>
      </c>
    </row>
    <row r="3501" spans="1:8">
      <c r="A3501">
        <v>740213</v>
      </c>
      <c r="B3501" t="s">
        <v>369</v>
      </c>
      <c r="C3501">
        <v>25</v>
      </c>
      <c r="D3501">
        <v>7.95274589955807</v>
      </c>
      <c r="E3501">
        <v>198.818647488952</v>
      </c>
      <c r="F3501">
        <v>0.72991986757458305</v>
      </c>
      <c r="G3501">
        <v>0.86836462134607395</v>
      </c>
      <c r="H3501" t="str">
        <f t="shared" si="54"/>
        <v>Q3</v>
      </c>
    </row>
    <row r="3502" spans="1:8">
      <c r="A3502">
        <v>549914</v>
      </c>
      <c r="B3502" t="s">
        <v>3790</v>
      </c>
      <c r="C3502">
        <v>120</v>
      </c>
      <c r="D3502">
        <v>1.65661015140358</v>
      </c>
      <c r="E3502">
        <v>198.79321816843</v>
      </c>
      <c r="F3502">
        <v>0.92731650426996703</v>
      </c>
      <c r="G3502">
        <v>0.86832700048907097</v>
      </c>
      <c r="H3502" t="str">
        <f t="shared" si="54"/>
        <v>Q4</v>
      </c>
    </row>
    <row r="3503" spans="1:8">
      <c r="A3503">
        <v>793108</v>
      </c>
      <c r="B3503" t="s">
        <v>4254</v>
      </c>
      <c r="C3503">
        <v>80</v>
      </c>
      <c r="D3503">
        <v>2.4841737293172601</v>
      </c>
      <c r="E3503">
        <v>198.73389834538099</v>
      </c>
      <c r="F3503">
        <v>0.89150144840299494</v>
      </c>
      <c r="G3503">
        <v>0.86828937963206798</v>
      </c>
      <c r="H3503" t="str">
        <f t="shared" si="54"/>
        <v>Q4</v>
      </c>
    </row>
    <row r="3504" spans="1:8">
      <c r="A3504">
        <v>708531</v>
      </c>
      <c r="B3504" t="s">
        <v>3562</v>
      </c>
      <c r="C3504">
        <v>35</v>
      </c>
      <c r="D3504">
        <v>5.6772881959165797</v>
      </c>
      <c r="E3504">
        <v>198.70508685708</v>
      </c>
      <c r="F3504">
        <v>0.78420676423008895</v>
      </c>
      <c r="G3504">
        <v>0.868251758775065</v>
      </c>
      <c r="H3504" t="str">
        <f t="shared" si="54"/>
        <v>Q3</v>
      </c>
    </row>
    <row r="3505" spans="1:8">
      <c r="A3505">
        <v>735326</v>
      </c>
      <c r="B3505" t="s">
        <v>3625</v>
      </c>
      <c r="C3505">
        <v>40</v>
      </c>
      <c r="D3505">
        <v>4.9660594202578103</v>
      </c>
      <c r="E3505">
        <v>198.64237681031199</v>
      </c>
      <c r="F3505">
        <v>0.804522027011775</v>
      </c>
      <c r="G3505">
        <v>0.86821413791806201</v>
      </c>
      <c r="H3505" t="str">
        <f t="shared" si="54"/>
        <v>Q3</v>
      </c>
    </row>
    <row r="3506" spans="1:8">
      <c r="A3506">
        <v>501915</v>
      </c>
      <c r="B3506" t="s">
        <v>816</v>
      </c>
      <c r="C3506">
        <v>16</v>
      </c>
      <c r="D3506">
        <v>12.4141950160265</v>
      </c>
      <c r="E3506">
        <v>198.62712025642401</v>
      </c>
      <c r="F3506">
        <v>0.64756781159474797</v>
      </c>
      <c r="G3506">
        <v>0.86817651706105903</v>
      </c>
      <c r="H3506" t="str">
        <f t="shared" si="54"/>
        <v>Q3</v>
      </c>
    </row>
    <row r="3507" spans="1:8">
      <c r="A3507">
        <v>607030</v>
      </c>
      <c r="B3507" t="s">
        <v>815</v>
      </c>
      <c r="C3507">
        <v>86</v>
      </c>
      <c r="D3507">
        <v>2.3093417221896901</v>
      </c>
      <c r="E3507">
        <v>198.603388108313</v>
      </c>
      <c r="F3507">
        <v>0.89864941123358799</v>
      </c>
      <c r="G3507">
        <v>0.86813889620405504</v>
      </c>
      <c r="H3507" t="str">
        <f t="shared" si="54"/>
        <v>Q4</v>
      </c>
    </row>
    <row r="3508" spans="1:8">
      <c r="A3508">
        <v>556872</v>
      </c>
      <c r="B3508" t="s">
        <v>2248</v>
      </c>
      <c r="C3508">
        <v>49</v>
      </c>
      <c r="D3508">
        <v>4.0528191063477097</v>
      </c>
      <c r="E3508">
        <v>198.58813621103801</v>
      </c>
      <c r="F3508">
        <v>0.83258718633610496</v>
      </c>
      <c r="G3508">
        <v>0.86810127534705195</v>
      </c>
      <c r="H3508" t="str">
        <f t="shared" si="54"/>
        <v>Q4</v>
      </c>
    </row>
    <row r="3509" spans="1:8">
      <c r="A3509">
        <v>474471</v>
      </c>
      <c r="B3509" t="s">
        <v>2392</v>
      </c>
      <c r="C3509">
        <v>63</v>
      </c>
      <c r="D3509">
        <v>3.14926011266098</v>
      </c>
      <c r="E3509">
        <v>198.403387097642</v>
      </c>
      <c r="F3509">
        <v>0.86445205221775001</v>
      </c>
      <c r="G3509">
        <v>0.86806365449004896</v>
      </c>
      <c r="H3509" t="str">
        <f t="shared" si="54"/>
        <v>Q4</v>
      </c>
    </row>
    <row r="3510" spans="1:8">
      <c r="A3510">
        <v>739303</v>
      </c>
      <c r="B3510" t="s">
        <v>1658</v>
      </c>
      <c r="C3510">
        <v>33</v>
      </c>
      <c r="D3510">
        <v>6.0112994107784603</v>
      </c>
      <c r="E3510">
        <v>198.37288055568899</v>
      </c>
      <c r="F3510">
        <v>0.77551634626236798</v>
      </c>
      <c r="G3510">
        <v>0.86802603363304598</v>
      </c>
      <c r="H3510" t="str">
        <f t="shared" si="54"/>
        <v>Q3</v>
      </c>
    </row>
    <row r="3511" spans="1:8">
      <c r="A3511">
        <v>727158</v>
      </c>
      <c r="B3511" t="s">
        <v>4770</v>
      </c>
      <c r="C3511">
        <v>35</v>
      </c>
      <c r="D3511">
        <v>5.6665861287287296</v>
      </c>
      <c r="E3511">
        <v>198.33051450550599</v>
      </c>
      <c r="F3511">
        <v>0.78420676423008895</v>
      </c>
      <c r="G3511">
        <v>0.86798841277604299</v>
      </c>
      <c r="H3511" t="str">
        <f t="shared" si="54"/>
        <v>Q3</v>
      </c>
    </row>
    <row r="3512" spans="1:8">
      <c r="A3512">
        <v>809901</v>
      </c>
      <c r="B3512" t="s">
        <v>1438</v>
      </c>
      <c r="C3512">
        <v>24</v>
      </c>
      <c r="D3512">
        <v>8.2612994747857194</v>
      </c>
      <c r="E3512">
        <v>198.27118739485701</v>
      </c>
      <c r="F3512">
        <v>0.72284714645799597</v>
      </c>
      <c r="G3512">
        <v>0.86795079191904001</v>
      </c>
      <c r="H3512" t="str">
        <f t="shared" si="54"/>
        <v>Q3</v>
      </c>
    </row>
    <row r="3513" spans="1:8">
      <c r="A3513">
        <v>784858</v>
      </c>
      <c r="B3513" t="s">
        <v>4208</v>
      </c>
      <c r="C3513">
        <v>124</v>
      </c>
      <c r="D3513">
        <v>1.5989064419221499</v>
      </c>
      <c r="E3513">
        <v>198.264398798347</v>
      </c>
      <c r="F3513">
        <v>0.92957375569015499</v>
      </c>
      <c r="G3513">
        <v>0.86791317106203703</v>
      </c>
      <c r="H3513" t="str">
        <f t="shared" si="54"/>
        <v>Q4</v>
      </c>
    </row>
    <row r="3514" spans="1:8">
      <c r="A3514">
        <v>774774</v>
      </c>
      <c r="B3514" t="s">
        <v>1183</v>
      </c>
      <c r="C3514">
        <v>87</v>
      </c>
      <c r="D3514">
        <v>2.27870640462671</v>
      </c>
      <c r="E3514">
        <v>198.247457202524</v>
      </c>
      <c r="F3514">
        <v>0.89955231180166295</v>
      </c>
      <c r="G3514">
        <v>0.86787555020503404</v>
      </c>
      <c r="H3514" t="str">
        <f t="shared" si="54"/>
        <v>Q4</v>
      </c>
    </row>
    <row r="3515" spans="1:8">
      <c r="A3515">
        <v>615941</v>
      </c>
      <c r="B3515" t="s">
        <v>1663</v>
      </c>
      <c r="C3515">
        <v>124</v>
      </c>
      <c r="D3515">
        <v>1.59861940943125</v>
      </c>
      <c r="E3515">
        <v>198.228806769475</v>
      </c>
      <c r="F3515">
        <v>0.92957375569015499</v>
      </c>
      <c r="G3515">
        <v>0.86783792934803095</v>
      </c>
      <c r="H3515" t="str">
        <f t="shared" si="54"/>
        <v>Q4</v>
      </c>
    </row>
    <row r="3516" spans="1:8">
      <c r="A3516">
        <v>689572</v>
      </c>
      <c r="B3516" t="s">
        <v>1307</v>
      </c>
      <c r="C3516">
        <v>18</v>
      </c>
      <c r="D3516">
        <v>11.0048962963952</v>
      </c>
      <c r="E3516">
        <v>198.08813333511401</v>
      </c>
      <c r="F3516">
        <v>0.67044129265264696</v>
      </c>
      <c r="G3516">
        <v>0.86780030849102696</v>
      </c>
      <c r="H3516" t="str">
        <f t="shared" si="54"/>
        <v>Q3</v>
      </c>
    </row>
    <row r="3517" spans="1:8">
      <c r="A3517">
        <v>738568</v>
      </c>
      <c r="B3517" t="s">
        <v>1740</v>
      </c>
      <c r="C3517">
        <v>36</v>
      </c>
      <c r="D3517">
        <v>5.5007534308565997</v>
      </c>
      <c r="E3517">
        <v>198.02712351083801</v>
      </c>
      <c r="F3517">
        <v>0.78890937135547901</v>
      </c>
      <c r="G3517">
        <v>0.86776268763402398</v>
      </c>
      <c r="H3517" t="str">
        <f t="shared" si="54"/>
        <v>Q3</v>
      </c>
    </row>
    <row r="3518" spans="1:8">
      <c r="A3518">
        <v>711557</v>
      </c>
      <c r="B3518" t="s">
        <v>2960</v>
      </c>
      <c r="C3518">
        <v>41</v>
      </c>
      <c r="D3518">
        <v>4.8291030090029601</v>
      </c>
      <c r="E3518">
        <v>197.99322336912201</v>
      </c>
      <c r="F3518">
        <v>0.80787028328505295</v>
      </c>
      <c r="G3518">
        <v>0.86772506677702099</v>
      </c>
      <c r="H3518" t="str">
        <f t="shared" si="54"/>
        <v>Q4</v>
      </c>
    </row>
    <row r="3519" spans="1:8">
      <c r="A3519">
        <v>716947</v>
      </c>
      <c r="B3519" t="s">
        <v>1302</v>
      </c>
      <c r="C3519">
        <v>62</v>
      </c>
      <c r="D3519">
        <v>3.1930015812958401</v>
      </c>
      <c r="E3519">
        <v>197.96609804034199</v>
      </c>
      <c r="F3519">
        <v>0.86238290508257798</v>
      </c>
      <c r="G3519">
        <v>0.86768744592001801</v>
      </c>
      <c r="H3519" t="str">
        <f t="shared" si="54"/>
        <v>Q4</v>
      </c>
    </row>
    <row r="3520" spans="1:8">
      <c r="A3520">
        <v>737611</v>
      </c>
      <c r="B3520" t="s">
        <v>914</v>
      </c>
      <c r="C3520">
        <v>8</v>
      </c>
      <c r="D3520">
        <v>24.743644148111301</v>
      </c>
      <c r="E3520">
        <v>197.949153184891</v>
      </c>
      <c r="F3520">
        <v>0.49768631729430801</v>
      </c>
      <c r="G3520">
        <v>0.86764982506301502</v>
      </c>
      <c r="H3520" t="str">
        <f t="shared" si="54"/>
        <v>Q3</v>
      </c>
    </row>
    <row r="3521" spans="1:8">
      <c r="A3521">
        <v>819500</v>
      </c>
      <c r="B3521" t="s">
        <v>2138</v>
      </c>
      <c r="C3521">
        <v>17</v>
      </c>
      <c r="D3521">
        <v>11.6418747121797</v>
      </c>
      <c r="E3521">
        <v>197.91187010705499</v>
      </c>
      <c r="F3521">
        <v>0.65926789812271902</v>
      </c>
      <c r="G3521">
        <v>0.86761220420601204</v>
      </c>
      <c r="H3521" t="str">
        <f t="shared" si="54"/>
        <v>Q3</v>
      </c>
    </row>
    <row r="3522" spans="1:8">
      <c r="A3522">
        <v>747560</v>
      </c>
      <c r="B3522" t="s">
        <v>3308</v>
      </c>
      <c r="C3522">
        <v>40</v>
      </c>
      <c r="D3522">
        <v>4.9391949921846399</v>
      </c>
      <c r="E3522">
        <v>197.56779968738601</v>
      </c>
      <c r="F3522">
        <v>0.804522027011775</v>
      </c>
      <c r="G3522">
        <v>0.86757458334900905</v>
      </c>
      <c r="H3522" t="str">
        <f t="shared" si="54"/>
        <v>Q3</v>
      </c>
    </row>
    <row r="3523" spans="1:8">
      <c r="A3523">
        <v>702933</v>
      </c>
      <c r="B3523" t="s">
        <v>4540</v>
      </c>
      <c r="C3523">
        <v>49</v>
      </c>
      <c r="D3523">
        <v>4.0300934024307198</v>
      </c>
      <c r="E3523">
        <v>197.47457671910499</v>
      </c>
      <c r="F3523">
        <v>0.83258718633610496</v>
      </c>
      <c r="G3523">
        <v>0.86753696249200596</v>
      </c>
      <c r="H3523" t="str">
        <f t="shared" ref="H3523:H3586" si="55">IF(C3523&gt;$J$2,
   IF(D3523&gt;$J$3,"Q1","Q2"),
   IF(D3523&gt;$J$3,"Q3","Q4"))</f>
        <v>Q4</v>
      </c>
    </row>
    <row r="3524" spans="1:8">
      <c r="A3524">
        <v>669091</v>
      </c>
      <c r="B3524" t="s">
        <v>4109</v>
      </c>
      <c r="C3524">
        <v>63</v>
      </c>
      <c r="D3524">
        <v>3.1329297460615599</v>
      </c>
      <c r="E3524">
        <v>197.37457400187799</v>
      </c>
      <c r="F3524">
        <v>0.86445205221775001</v>
      </c>
      <c r="G3524">
        <v>0.86749934163500197</v>
      </c>
      <c r="H3524" t="str">
        <f t="shared" si="55"/>
        <v>Q4</v>
      </c>
    </row>
    <row r="3525" spans="1:8">
      <c r="A3525">
        <v>785367</v>
      </c>
      <c r="B3525" t="s">
        <v>132</v>
      </c>
      <c r="C3525">
        <v>49</v>
      </c>
      <c r="D3525">
        <v>4.0269457031877698</v>
      </c>
      <c r="E3525">
        <v>197.320339456201</v>
      </c>
      <c r="F3525">
        <v>0.83258718633610496</v>
      </c>
      <c r="G3525">
        <v>0.86746172077799899</v>
      </c>
      <c r="H3525" t="str">
        <f t="shared" si="55"/>
        <v>Q4</v>
      </c>
    </row>
    <row r="3526" spans="1:8">
      <c r="A3526">
        <v>691463</v>
      </c>
      <c r="B3526" t="s">
        <v>4384</v>
      </c>
      <c r="C3526">
        <v>53</v>
      </c>
      <c r="D3526">
        <v>3.7220659085883301</v>
      </c>
      <c r="E3526">
        <v>197.26949315518101</v>
      </c>
      <c r="F3526">
        <v>0.84218050487190099</v>
      </c>
      <c r="G3526">
        <v>0.86742409992099601</v>
      </c>
      <c r="H3526" t="str">
        <f t="shared" si="55"/>
        <v>Q4</v>
      </c>
    </row>
    <row r="3527" spans="1:8">
      <c r="A3527">
        <v>753324</v>
      </c>
      <c r="B3527" t="s">
        <v>3305</v>
      </c>
      <c r="C3527">
        <v>53</v>
      </c>
      <c r="D3527">
        <v>3.72005117406963</v>
      </c>
      <c r="E3527">
        <v>197.16271222569</v>
      </c>
      <c r="F3527">
        <v>0.84218050487190099</v>
      </c>
      <c r="G3527">
        <v>0.86738647906399302</v>
      </c>
      <c r="H3527" t="str">
        <f t="shared" si="55"/>
        <v>Q4</v>
      </c>
    </row>
    <row r="3528" spans="1:8">
      <c r="A3528">
        <v>717816</v>
      </c>
      <c r="B3528" t="s">
        <v>143</v>
      </c>
      <c r="C3528">
        <v>82</v>
      </c>
      <c r="D3528">
        <v>2.4043613113462898</v>
      </c>
      <c r="E3528">
        <v>197.15762753039601</v>
      </c>
      <c r="F3528">
        <v>0.894323012678229</v>
      </c>
      <c r="G3528">
        <v>0.86734885820699004</v>
      </c>
      <c r="H3528" t="str">
        <f t="shared" si="55"/>
        <v>Q4</v>
      </c>
    </row>
    <row r="3529" spans="1:8">
      <c r="A3529">
        <v>711727</v>
      </c>
      <c r="B3529" t="s">
        <v>1474</v>
      </c>
      <c r="C3529">
        <v>142</v>
      </c>
      <c r="D3529">
        <v>1.38838620361229</v>
      </c>
      <c r="E3529">
        <v>197.15084091294599</v>
      </c>
      <c r="F3529">
        <v>0.93954328279598198</v>
      </c>
      <c r="G3529">
        <v>0.86731123734998705</v>
      </c>
      <c r="H3529" t="str">
        <f t="shared" si="55"/>
        <v>Q4</v>
      </c>
    </row>
    <row r="3530" spans="1:8">
      <c r="A3530">
        <v>771168</v>
      </c>
      <c r="B3530" t="s">
        <v>2811</v>
      </c>
      <c r="C3530">
        <v>24</v>
      </c>
      <c r="D3530">
        <v>8.2128531609972306</v>
      </c>
      <c r="E3530">
        <v>197.10847586393399</v>
      </c>
      <c r="F3530">
        <v>0.72284714645799597</v>
      </c>
      <c r="G3530">
        <v>0.86727361649298396</v>
      </c>
      <c r="H3530" t="str">
        <f t="shared" si="55"/>
        <v>Q3</v>
      </c>
    </row>
    <row r="3531" spans="1:8">
      <c r="A3531">
        <v>586273</v>
      </c>
      <c r="B3531" t="s">
        <v>5216</v>
      </c>
      <c r="C3531">
        <v>93</v>
      </c>
      <c r="D3531">
        <v>2.1191178800998798</v>
      </c>
      <c r="E3531">
        <v>197.07796284928901</v>
      </c>
      <c r="F3531">
        <v>0.90587261577818701</v>
      </c>
      <c r="G3531">
        <v>0.86723599563598097</v>
      </c>
      <c r="H3531" t="str">
        <f t="shared" si="55"/>
        <v>Q4</v>
      </c>
    </row>
    <row r="3532" spans="1:8">
      <c r="A3532">
        <v>724866</v>
      </c>
      <c r="B3532" t="s">
        <v>1076</v>
      </c>
      <c r="C3532">
        <v>26</v>
      </c>
      <c r="D3532">
        <v>7.5765972240613104</v>
      </c>
      <c r="E3532">
        <v>196.99152782559401</v>
      </c>
      <c r="F3532">
        <v>0.73706783040517698</v>
      </c>
      <c r="G3532">
        <v>0.86719837477897699</v>
      </c>
      <c r="H3532" t="str">
        <f t="shared" si="55"/>
        <v>Q3</v>
      </c>
    </row>
    <row r="3533" spans="1:8">
      <c r="A3533">
        <v>693493</v>
      </c>
      <c r="B3533" t="s">
        <v>3055</v>
      </c>
      <c r="C3533">
        <v>59</v>
      </c>
      <c r="D3533">
        <v>3.3370295097514702</v>
      </c>
      <c r="E3533">
        <v>196.88474107533699</v>
      </c>
      <c r="F3533">
        <v>0.85617546367706299</v>
      </c>
      <c r="G3533">
        <v>0.867160753921974</v>
      </c>
      <c r="H3533" t="str">
        <f t="shared" si="55"/>
        <v>Q4</v>
      </c>
    </row>
    <row r="3534" spans="1:8">
      <c r="A3534">
        <v>734460</v>
      </c>
      <c r="B3534" t="s">
        <v>1388</v>
      </c>
      <c r="C3534">
        <v>138</v>
      </c>
      <c r="D3534">
        <v>1.4264799330545499</v>
      </c>
      <c r="E3534">
        <v>196.85423076152799</v>
      </c>
      <c r="F3534">
        <v>0.93747413566080995</v>
      </c>
      <c r="G3534">
        <v>0.86712313306497102</v>
      </c>
      <c r="H3534" t="str">
        <f t="shared" si="55"/>
        <v>Q4</v>
      </c>
    </row>
    <row r="3535" spans="1:8">
      <c r="A3535">
        <v>824944</v>
      </c>
      <c r="B3535" t="s">
        <v>162</v>
      </c>
      <c r="C3535">
        <v>30</v>
      </c>
      <c r="D3535">
        <v>6.55898300309976</v>
      </c>
      <c r="E3535">
        <v>196.76949009299301</v>
      </c>
      <c r="F3535">
        <v>0.760430382604116</v>
      </c>
      <c r="G3535">
        <v>0.86708551220796803</v>
      </c>
      <c r="H3535" t="str">
        <f t="shared" si="55"/>
        <v>Q3</v>
      </c>
    </row>
    <row r="3536" spans="1:8">
      <c r="A3536">
        <v>651369</v>
      </c>
      <c r="B3536" t="s">
        <v>5046</v>
      </c>
      <c r="C3536">
        <v>93</v>
      </c>
      <c r="D3536">
        <v>2.11530883786499</v>
      </c>
      <c r="E3536">
        <v>196.723721921444</v>
      </c>
      <c r="F3536">
        <v>0.90587261577818701</v>
      </c>
      <c r="G3536">
        <v>0.86704789135096505</v>
      </c>
      <c r="H3536" t="str">
        <f t="shared" si="55"/>
        <v>Q4</v>
      </c>
    </row>
    <row r="3537" spans="1:8">
      <c r="A3537">
        <v>714421</v>
      </c>
      <c r="B3537" t="s">
        <v>4154</v>
      </c>
      <c r="C3537">
        <v>70</v>
      </c>
      <c r="D3537">
        <v>2.8077481141580001</v>
      </c>
      <c r="E3537">
        <v>196.54236799105999</v>
      </c>
      <c r="F3537">
        <v>0.87555020503367098</v>
      </c>
      <c r="G3537">
        <v>0.86701027049396195</v>
      </c>
      <c r="H3537" t="str">
        <f t="shared" si="55"/>
        <v>Q4</v>
      </c>
    </row>
    <row r="3538" spans="1:8">
      <c r="A3538">
        <v>569355</v>
      </c>
      <c r="B3538" t="s">
        <v>248</v>
      </c>
      <c r="C3538">
        <v>75</v>
      </c>
      <c r="D3538">
        <v>2.6190734083453799</v>
      </c>
      <c r="E3538">
        <v>196.430505625904</v>
      </c>
      <c r="F3538">
        <v>0.88420300214438896</v>
      </c>
      <c r="G3538">
        <v>0.86697264963695897</v>
      </c>
      <c r="H3538" t="str">
        <f t="shared" si="55"/>
        <v>Q4</v>
      </c>
    </row>
    <row r="3539" spans="1:8">
      <c r="A3539">
        <v>800796</v>
      </c>
      <c r="B3539" t="s">
        <v>611</v>
      </c>
      <c r="C3539">
        <v>84</v>
      </c>
      <c r="D3539">
        <v>2.3378732869224201</v>
      </c>
      <c r="E3539">
        <v>196.38135610148299</v>
      </c>
      <c r="F3539">
        <v>0.89639215981340103</v>
      </c>
      <c r="G3539">
        <v>0.86693502877995599</v>
      </c>
      <c r="H3539" t="str">
        <f t="shared" si="55"/>
        <v>Q4</v>
      </c>
    </row>
    <row r="3540" spans="1:8">
      <c r="A3540">
        <v>761360</v>
      </c>
      <c r="B3540" t="s">
        <v>1951</v>
      </c>
      <c r="C3540">
        <v>15</v>
      </c>
      <c r="D3540">
        <v>13.091638584931699</v>
      </c>
      <c r="E3540">
        <v>196.374578773975</v>
      </c>
      <c r="F3540">
        <v>0.63496482449870195</v>
      </c>
      <c r="G3540">
        <v>0.866897407922952</v>
      </c>
      <c r="H3540" t="str">
        <f t="shared" si="55"/>
        <v>Q3</v>
      </c>
    </row>
    <row r="3541" spans="1:8">
      <c r="A3541">
        <v>781842</v>
      </c>
      <c r="B3541" t="s">
        <v>890</v>
      </c>
      <c r="C3541">
        <v>49</v>
      </c>
      <c r="D3541">
        <v>4.0075406660230799</v>
      </c>
      <c r="E3541">
        <v>196.369492635131</v>
      </c>
      <c r="F3541">
        <v>0.83258718633610496</v>
      </c>
      <c r="G3541">
        <v>0.86685978706594902</v>
      </c>
      <c r="H3541" t="str">
        <f t="shared" si="55"/>
        <v>Q4</v>
      </c>
    </row>
    <row r="3542" spans="1:8">
      <c r="A3542">
        <v>749358</v>
      </c>
      <c r="B3542" t="s">
        <v>3178</v>
      </c>
      <c r="C3542">
        <v>30</v>
      </c>
      <c r="D3542">
        <v>6.5450282022356996</v>
      </c>
      <c r="E3542">
        <v>196.35084606707099</v>
      </c>
      <c r="F3542">
        <v>0.760430382604116</v>
      </c>
      <c r="G3542">
        <v>0.86682216620894603</v>
      </c>
      <c r="H3542" t="str">
        <f t="shared" si="55"/>
        <v>Q3</v>
      </c>
    </row>
    <row r="3543" spans="1:8">
      <c r="A3543">
        <v>723084</v>
      </c>
      <c r="B3543" t="s">
        <v>1897</v>
      </c>
      <c r="C3543">
        <v>121</v>
      </c>
      <c r="D3543">
        <v>1.6226081454679999</v>
      </c>
      <c r="E3543">
        <v>196.335585601628</v>
      </c>
      <c r="F3543">
        <v>0.92788081712501402</v>
      </c>
      <c r="G3543">
        <v>0.86678454535194305</v>
      </c>
      <c r="H3543" t="str">
        <f t="shared" si="55"/>
        <v>Q4</v>
      </c>
    </row>
    <row r="3544" spans="1:8">
      <c r="A3544">
        <v>581178</v>
      </c>
      <c r="B3544" t="s">
        <v>4737</v>
      </c>
      <c r="C3544">
        <v>62</v>
      </c>
      <c r="D3544">
        <v>3.1657735892240999</v>
      </c>
      <c r="E3544">
        <v>196.27796253189399</v>
      </c>
      <c r="F3544">
        <v>0.86238290508257798</v>
      </c>
      <c r="G3544">
        <v>0.86674692449493995</v>
      </c>
      <c r="H3544" t="str">
        <f t="shared" si="55"/>
        <v>Q4</v>
      </c>
    </row>
    <row r="3545" spans="1:8">
      <c r="A3545">
        <v>797000</v>
      </c>
      <c r="B3545" t="s">
        <v>4020</v>
      </c>
      <c r="C3545">
        <v>30</v>
      </c>
      <c r="D3545">
        <v>6.5340112522244498</v>
      </c>
      <c r="E3545">
        <v>196.02033756673299</v>
      </c>
      <c r="F3545">
        <v>0.760430382604116</v>
      </c>
      <c r="G3545">
        <v>0.86670930363793697</v>
      </c>
      <c r="H3545" t="str">
        <f t="shared" si="55"/>
        <v>Q3</v>
      </c>
    </row>
    <row r="3546" spans="1:8">
      <c r="A3546">
        <v>770346</v>
      </c>
      <c r="B3546" t="s">
        <v>1781</v>
      </c>
      <c r="C3546">
        <v>61</v>
      </c>
      <c r="D3546">
        <v>3.2123089722189699</v>
      </c>
      <c r="E3546">
        <v>195.950847305357</v>
      </c>
      <c r="F3546">
        <v>0.86035137880440904</v>
      </c>
      <c r="G3546">
        <v>0.86667168278093398</v>
      </c>
      <c r="H3546" t="str">
        <f t="shared" si="55"/>
        <v>Q4</v>
      </c>
    </row>
    <row r="3547" spans="1:8">
      <c r="A3547">
        <v>742359</v>
      </c>
      <c r="B3547" t="s">
        <v>4875</v>
      </c>
      <c r="C3547">
        <v>157</v>
      </c>
      <c r="D3547">
        <v>1.24757637174883</v>
      </c>
      <c r="E3547">
        <v>195.86949036456599</v>
      </c>
      <c r="F3547">
        <v>0.94518641134644998</v>
      </c>
      <c r="G3547">
        <v>0.866634061923931</v>
      </c>
      <c r="H3547" t="str">
        <f t="shared" si="55"/>
        <v>Q4</v>
      </c>
    </row>
    <row r="3548" spans="1:8">
      <c r="A3548">
        <v>661493</v>
      </c>
      <c r="B3548" t="s">
        <v>1827</v>
      </c>
      <c r="C3548">
        <v>102</v>
      </c>
      <c r="D3548">
        <v>1.92010627634933</v>
      </c>
      <c r="E3548">
        <v>195.850840187632</v>
      </c>
      <c r="F3548">
        <v>0.91332154546480604</v>
      </c>
      <c r="G3548">
        <v>0.86659644106692701</v>
      </c>
      <c r="H3548" t="str">
        <f t="shared" si="55"/>
        <v>Q4</v>
      </c>
    </row>
    <row r="3549" spans="1:8">
      <c r="A3549">
        <v>856440</v>
      </c>
      <c r="B3549" t="s">
        <v>907</v>
      </c>
      <c r="C3549">
        <v>48</v>
      </c>
      <c r="D3549">
        <v>4.0798376236731801</v>
      </c>
      <c r="E3549">
        <v>195.83220593631299</v>
      </c>
      <c r="F3549">
        <v>0.82957751777585498</v>
      </c>
      <c r="G3549">
        <v>0.86655882020992403</v>
      </c>
      <c r="H3549" t="str">
        <f t="shared" si="55"/>
        <v>Q4</v>
      </c>
    </row>
    <row r="3550" spans="1:8">
      <c r="A3550">
        <v>505224</v>
      </c>
      <c r="B3550" t="s">
        <v>834</v>
      </c>
      <c r="C3550">
        <v>48</v>
      </c>
      <c r="D3550">
        <v>4.0785311333214196</v>
      </c>
      <c r="E3550">
        <v>195.769494399428</v>
      </c>
      <c r="F3550">
        <v>0.82957751777585498</v>
      </c>
      <c r="G3550">
        <v>0.86652119935292105</v>
      </c>
      <c r="H3550" t="str">
        <f t="shared" si="55"/>
        <v>Q4</v>
      </c>
    </row>
    <row r="3551" spans="1:8">
      <c r="A3551">
        <v>754223</v>
      </c>
      <c r="B3551" t="s">
        <v>636</v>
      </c>
      <c r="C3551">
        <v>89</v>
      </c>
      <c r="D3551">
        <v>2.1993334446981399</v>
      </c>
      <c r="E3551">
        <v>195.74067657813401</v>
      </c>
      <c r="F3551">
        <v>0.90135811293781298</v>
      </c>
      <c r="G3551">
        <v>0.86648357849591795</v>
      </c>
      <c r="H3551" t="str">
        <f t="shared" si="55"/>
        <v>Q4</v>
      </c>
    </row>
    <row r="3552" spans="1:8">
      <c r="A3552">
        <v>712787</v>
      </c>
      <c r="B3552" t="s">
        <v>164</v>
      </c>
      <c r="C3552">
        <v>53</v>
      </c>
      <c r="D3552">
        <v>3.69238885260134</v>
      </c>
      <c r="E3552">
        <v>195.69660918787099</v>
      </c>
      <c r="F3552">
        <v>0.84218050487190099</v>
      </c>
      <c r="G3552">
        <v>0.86644595763891497</v>
      </c>
      <c r="H3552" t="str">
        <f t="shared" si="55"/>
        <v>Q4</v>
      </c>
    </row>
    <row r="3553" spans="1:8">
      <c r="A3553">
        <v>758186</v>
      </c>
      <c r="B3553" t="s">
        <v>2028</v>
      </c>
      <c r="C3553">
        <v>48</v>
      </c>
      <c r="D3553">
        <v>4.0768008756761702</v>
      </c>
      <c r="E3553">
        <v>195.686442032456</v>
      </c>
      <c r="F3553">
        <v>0.82957751777585498</v>
      </c>
      <c r="G3553">
        <v>0.86640833678191198</v>
      </c>
      <c r="H3553" t="str">
        <f t="shared" si="55"/>
        <v>Q4</v>
      </c>
    </row>
    <row r="3554" spans="1:8">
      <c r="A3554">
        <v>702834</v>
      </c>
      <c r="B3554" t="s">
        <v>5014</v>
      </c>
      <c r="C3554">
        <v>36</v>
      </c>
      <c r="D3554">
        <v>5.4348400121347797</v>
      </c>
      <c r="E3554">
        <v>195.65424043685201</v>
      </c>
      <c r="F3554">
        <v>0.78890937135547901</v>
      </c>
      <c r="G3554">
        <v>0.866370715924909</v>
      </c>
      <c r="H3554" t="str">
        <f t="shared" si="55"/>
        <v>Q3</v>
      </c>
    </row>
    <row r="3555" spans="1:8">
      <c r="A3555">
        <v>567534</v>
      </c>
      <c r="B3555" t="s">
        <v>2655</v>
      </c>
      <c r="C3555">
        <v>76</v>
      </c>
      <c r="D3555">
        <v>2.5743532420356599</v>
      </c>
      <c r="E3555">
        <v>195.65084639470999</v>
      </c>
      <c r="F3555">
        <v>0.88612166585154795</v>
      </c>
      <c r="G3555">
        <v>0.86633309506790601</v>
      </c>
      <c r="H3555" t="str">
        <f t="shared" si="55"/>
        <v>Q4</v>
      </c>
    </row>
    <row r="3556" spans="1:8">
      <c r="A3556">
        <v>722991</v>
      </c>
      <c r="B3556" t="s">
        <v>903</v>
      </c>
      <c r="C3556">
        <v>58</v>
      </c>
      <c r="D3556">
        <v>3.3732027939424398</v>
      </c>
      <c r="E3556">
        <v>195.64576204866199</v>
      </c>
      <c r="F3556">
        <v>0.853993453970881</v>
      </c>
      <c r="G3556">
        <v>0.86629547421090203</v>
      </c>
      <c r="H3556" t="str">
        <f t="shared" si="55"/>
        <v>Q4</v>
      </c>
    </row>
    <row r="3557" spans="1:8">
      <c r="A3557">
        <v>726886</v>
      </c>
      <c r="B3557" t="s">
        <v>4372</v>
      </c>
      <c r="C3557">
        <v>56</v>
      </c>
      <c r="D3557">
        <v>3.4906476736068699</v>
      </c>
      <c r="E3557">
        <v>195.47626972198501</v>
      </c>
      <c r="F3557">
        <v>0.85004326398555397</v>
      </c>
      <c r="G3557">
        <v>0.86625785335389904</v>
      </c>
      <c r="H3557" t="str">
        <f t="shared" si="55"/>
        <v>Q4</v>
      </c>
    </row>
    <row r="3558" spans="1:8">
      <c r="A3558">
        <v>732945</v>
      </c>
      <c r="B3558" t="s">
        <v>4919</v>
      </c>
      <c r="C3558">
        <v>56</v>
      </c>
      <c r="D3558">
        <v>3.4904963752653999</v>
      </c>
      <c r="E3558">
        <v>195.46779701486199</v>
      </c>
      <c r="F3558">
        <v>0.85004326398555397</v>
      </c>
      <c r="G3558">
        <v>0.86622023249689595</v>
      </c>
      <c r="H3558" t="str">
        <f t="shared" si="55"/>
        <v>Q4</v>
      </c>
    </row>
    <row r="3559" spans="1:8">
      <c r="A3559">
        <v>698794</v>
      </c>
      <c r="B3559" t="s">
        <v>491</v>
      </c>
      <c r="C3559">
        <v>95</v>
      </c>
      <c r="D3559">
        <v>2.0567885212796302</v>
      </c>
      <c r="E3559">
        <v>195.39490952156501</v>
      </c>
      <c r="F3559">
        <v>0.90760317520033096</v>
      </c>
      <c r="G3559">
        <v>0.86618261163989296</v>
      </c>
      <c r="H3559" t="str">
        <f t="shared" si="55"/>
        <v>Q4</v>
      </c>
    </row>
    <row r="3560" spans="1:8">
      <c r="A3560">
        <v>733246</v>
      </c>
      <c r="B3560" t="s">
        <v>3269</v>
      </c>
      <c r="C3560">
        <v>39</v>
      </c>
      <c r="D3560">
        <v>5.0097350269938099</v>
      </c>
      <c r="E3560">
        <v>195.37966605275901</v>
      </c>
      <c r="F3560">
        <v>0.80087280388247195</v>
      </c>
      <c r="G3560">
        <v>0.86614499078288998</v>
      </c>
      <c r="H3560" t="str">
        <f t="shared" si="55"/>
        <v>Q3</v>
      </c>
    </row>
    <row r="3561" spans="1:8">
      <c r="A3561">
        <v>777099</v>
      </c>
      <c r="B3561" t="s">
        <v>2178</v>
      </c>
      <c r="C3561">
        <v>47</v>
      </c>
      <c r="D3561">
        <v>4.1562928402043404</v>
      </c>
      <c r="E3561">
        <v>195.345763489604</v>
      </c>
      <c r="F3561">
        <v>0.82641736578759295</v>
      </c>
      <c r="G3561">
        <v>0.86610736992588699</v>
      </c>
      <c r="H3561" t="str">
        <f t="shared" si="55"/>
        <v>Q4</v>
      </c>
    </row>
    <row r="3562" spans="1:8">
      <c r="A3562">
        <v>762286</v>
      </c>
      <c r="B3562" t="s">
        <v>1101</v>
      </c>
      <c r="C3562">
        <v>68</v>
      </c>
      <c r="D3562">
        <v>2.8716600061777799</v>
      </c>
      <c r="E3562">
        <v>195.272880420089</v>
      </c>
      <c r="F3562">
        <v>0.87223956961739602</v>
      </c>
      <c r="G3562">
        <v>0.86606974906888401</v>
      </c>
      <c r="H3562" t="str">
        <f t="shared" si="55"/>
        <v>Q4</v>
      </c>
    </row>
    <row r="3563" spans="1:8">
      <c r="A3563">
        <v>734512</v>
      </c>
      <c r="B3563" t="s">
        <v>4487</v>
      </c>
      <c r="C3563">
        <v>30</v>
      </c>
      <c r="D3563">
        <v>6.5063276638587304</v>
      </c>
      <c r="E3563">
        <v>195.189829915762</v>
      </c>
      <c r="F3563">
        <v>0.760430382604116</v>
      </c>
      <c r="G3563">
        <v>0.86603212821188102</v>
      </c>
      <c r="H3563" t="str">
        <f t="shared" si="55"/>
        <v>Q3</v>
      </c>
    </row>
    <row r="3564" spans="1:8">
      <c r="A3564">
        <v>331093</v>
      </c>
      <c r="B3564" t="s">
        <v>2675</v>
      </c>
      <c r="C3564">
        <v>81</v>
      </c>
      <c r="D3564">
        <v>2.4094998985988898</v>
      </c>
      <c r="E3564">
        <v>195.16949178651001</v>
      </c>
      <c r="F3564">
        <v>0.89293104096911302</v>
      </c>
      <c r="G3564">
        <v>0.86599450735487804</v>
      </c>
      <c r="H3564" t="str">
        <f t="shared" si="55"/>
        <v>Q4</v>
      </c>
    </row>
    <row r="3565" spans="1:8">
      <c r="A3565">
        <v>719589</v>
      </c>
      <c r="B3565" t="s">
        <v>1369</v>
      </c>
      <c r="C3565">
        <v>82</v>
      </c>
      <c r="D3565">
        <v>2.3800950406528099</v>
      </c>
      <c r="E3565">
        <v>195.16779333353</v>
      </c>
      <c r="F3565">
        <v>0.894323012678229</v>
      </c>
      <c r="G3565">
        <v>0.86595688649787395</v>
      </c>
      <c r="H3565" t="str">
        <f t="shared" si="55"/>
        <v>Q4</v>
      </c>
    </row>
    <row r="3566" spans="1:8">
      <c r="A3566">
        <v>709194</v>
      </c>
      <c r="B3566" t="s">
        <v>1853</v>
      </c>
      <c r="C3566">
        <v>35</v>
      </c>
      <c r="D3566">
        <v>5.5756417715123696</v>
      </c>
      <c r="E3566">
        <v>195.147462002933</v>
      </c>
      <c r="F3566">
        <v>0.78420676423008895</v>
      </c>
      <c r="G3566">
        <v>0.86591926564087096</v>
      </c>
      <c r="H3566" t="str">
        <f t="shared" si="55"/>
        <v>Q3</v>
      </c>
    </row>
    <row r="3567" spans="1:8">
      <c r="A3567">
        <v>711701</v>
      </c>
      <c r="B3567" t="s">
        <v>2174</v>
      </c>
      <c r="C3567">
        <v>59</v>
      </c>
      <c r="D3567">
        <v>3.30744035605152</v>
      </c>
      <c r="E3567">
        <v>195.13898100704</v>
      </c>
      <c r="F3567">
        <v>0.85617546367706299</v>
      </c>
      <c r="G3567">
        <v>0.86588164478386798</v>
      </c>
      <c r="H3567" t="str">
        <f t="shared" si="55"/>
        <v>Q4</v>
      </c>
    </row>
    <row r="3568" spans="1:8">
      <c r="A3568">
        <v>711274</v>
      </c>
      <c r="B3568" t="s">
        <v>1266</v>
      </c>
      <c r="C3568">
        <v>72</v>
      </c>
      <c r="D3568">
        <v>2.7099576306581099</v>
      </c>
      <c r="E3568">
        <v>195.116949407384</v>
      </c>
      <c r="F3568">
        <v>0.87957563673300498</v>
      </c>
      <c r="G3568">
        <v>0.86584402392686499</v>
      </c>
      <c r="H3568" t="str">
        <f t="shared" si="55"/>
        <v>Q4</v>
      </c>
    </row>
    <row r="3569" spans="1:8">
      <c r="A3569">
        <v>796987</v>
      </c>
      <c r="B3569" t="s">
        <v>1902</v>
      </c>
      <c r="C3569">
        <v>32</v>
      </c>
      <c r="D3569">
        <v>6.0963982483372101</v>
      </c>
      <c r="E3569">
        <v>195.08474394679101</v>
      </c>
      <c r="F3569">
        <v>0.77096422256498998</v>
      </c>
      <c r="G3569">
        <v>0.86580640306986201</v>
      </c>
      <c r="H3569" t="str">
        <f t="shared" si="55"/>
        <v>Q3</v>
      </c>
    </row>
    <row r="3570" spans="1:8">
      <c r="A3570">
        <v>724166</v>
      </c>
      <c r="B3570" t="s">
        <v>1915</v>
      </c>
      <c r="C3570">
        <v>41</v>
      </c>
      <c r="D3570">
        <v>4.7554775572768104</v>
      </c>
      <c r="E3570">
        <v>194.97457984834901</v>
      </c>
      <c r="F3570">
        <v>0.80787028328505295</v>
      </c>
      <c r="G3570">
        <v>0.86576878221285902</v>
      </c>
      <c r="H3570" t="str">
        <f t="shared" si="55"/>
        <v>Q4</v>
      </c>
    </row>
    <row r="3571" spans="1:8">
      <c r="A3571">
        <v>717873</v>
      </c>
      <c r="B3571" t="s">
        <v>3808</v>
      </c>
      <c r="C3571">
        <v>48</v>
      </c>
      <c r="D3571">
        <v>4.06175853374104</v>
      </c>
      <c r="E3571">
        <v>194.96440961957001</v>
      </c>
      <c r="F3571">
        <v>0.82957751777585498</v>
      </c>
      <c r="G3571">
        <v>0.86573116135585604</v>
      </c>
      <c r="H3571" t="str">
        <f t="shared" si="55"/>
        <v>Q4</v>
      </c>
    </row>
    <row r="3572" spans="1:8">
      <c r="A3572">
        <v>335037</v>
      </c>
      <c r="B3572" t="s">
        <v>2113</v>
      </c>
      <c r="C3572">
        <v>47</v>
      </c>
      <c r="D3572">
        <v>4.1468445845740902</v>
      </c>
      <c r="E3572">
        <v>194.90169547498201</v>
      </c>
      <c r="F3572">
        <v>0.82641736578759295</v>
      </c>
      <c r="G3572">
        <v>0.86569354049885305</v>
      </c>
      <c r="H3572" t="str">
        <f t="shared" si="55"/>
        <v>Q4</v>
      </c>
    </row>
    <row r="3573" spans="1:8">
      <c r="A3573">
        <v>723824</v>
      </c>
      <c r="B3573" t="s">
        <v>3316</v>
      </c>
      <c r="C3573">
        <v>79</v>
      </c>
      <c r="D3573">
        <v>2.4665950974331601</v>
      </c>
      <c r="E3573">
        <v>194.86101269721999</v>
      </c>
      <c r="F3573">
        <v>0.89022233926488803</v>
      </c>
      <c r="G3573">
        <v>0.86565591964184896</v>
      </c>
      <c r="H3573" t="str">
        <f t="shared" si="55"/>
        <v>Q4</v>
      </c>
    </row>
    <row r="3574" spans="1:8">
      <c r="A3574">
        <v>710464</v>
      </c>
      <c r="B3574" t="s">
        <v>4802</v>
      </c>
      <c r="C3574">
        <v>49</v>
      </c>
      <c r="D3574">
        <v>3.9761328499536099</v>
      </c>
      <c r="E3574">
        <v>194.83050964772701</v>
      </c>
      <c r="F3574">
        <v>0.83258718633610496</v>
      </c>
      <c r="G3574">
        <v>0.86561829878484597</v>
      </c>
      <c r="H3574" t="str">
        <f t="shared" si="55"/>
        <v>Q4</v>
      </c>
    </row>
    <row r="3575" spans="1:8">
      <c r="A3575">
        <v>761404</v>
      </c>
      <c r="B3575" t="s">
        <v>4338</v>
      </c>
      <c r="C3575">
        <v>66</v>
      </c>
      <c r="D3575">
        <v>2.9500770326139301</v>
      </c>
      <c r="E3575">
        <v>194.70508415251999</v>
      </c>
      <c r="F3575">
        <v>0.86968135134118396</v>
      </c>
      <c r="G3575">
        <v>0.86558067792784299</v>
      </c>
      <c r="H3575" t="str">
        <f t="shared" si="55"/>
        <v>Q4</v>
      </c>
    </row>
    <row r="3576" spans="1:8">
      <c r="A3576">
        <v>773448</v>
      </c>
      <c r="B3576" t="s">
        <v>1306</v>
      </c>
      <c r="C3576">
        <v>65</v>
      </c>
      <c r="D3576">
        <v>2.9935071739153201</v>
      </c>
      <c r="E3576">
        <v>194.57796630449599</v>
      </c>
      <c r="F3576">
        <v>0.86802603363304598</v>
      </c>
      <c r="G3576">
        <v>0.86554305707084001</v>
      </c>
      <c r="H3576" t="str">
        <f t="shared" si="55"/>
        <v>Q4</v>
      </c>
    </row>
    <row r="3577" spans="1:8">
      <c r="A3577">
        <v>821993</v>
      </c>
      <c r="B3577" t="s">
        <v>2809</v>
      </c>
      <c r="C3577">
        <v>32</v>
      </c>
      <c r="D3577">
        <v>6.0783897759392902</v>
      </c>
      <c r="E3577">
        <v>194.508472830057</v>
      </c>
      <c r="F3577">
        <v>0.77096422256498998</v>
      </c>
      <c r="G3577">
        <v>0.86550543621383702</v>
      </c>
      <c r="H3577" t="str">
        <f t="shared" si="55"/>
        <v>Q3</v>
      </c>
    </row>
    <row r="3578" spans="1:8">
      <c r="A3578">
        <v>616632</v>
      </c>
      <c r="B3578" t="s">
        <v>3268</v>
      </c>
      <c r="C3578">
        <v>25</v>
      </c>
      <c r="D3578">
        <v>7.7796611040830603</v>
      </c>
      <c r="E3578">
        <v>194.49152760207701</v>
      </c>
      <c r="F3578">
        <v>0.72991986757458305</v>
      </c>
      <c r="G3578">
        <v>0.86546781535683404</v>
      </c>
      <c r="H3578" t="str">
        <f t="shared" si="55"/>
        <v>Q3</v>
      </c>
    </row>
    <row r="3579" spans="1:8">
      <c r="A3579">
        <v>843545</v>
      </c>
      <c r="B3579" t="s">
        <v>175</v>
      </c>
      <c r="C3579">
        <v>41</v>
      </c>
      <c r="D3579">
        <v>4.7432824424127196</v>
      </c>
      <c r="E3579">
        <v>194.47458013892199</v>
      </c>
      <c r="F3579">
        <v>0.80787028328505295</v>
      </c>
      <c r="G3579">
        <v>0.86543019449983105</v>
      </c>
      <c r="H3579" t="str">
        <f t="shared" si="55"/>
        <v>Q4</v>
      </c>
    </row>
    <row r="3580" spans="1:8">
      <c r="A3580">
        <v>710085</v>
      </c>
      <c r="B3580" t="s">
        <v>3621</v>
      </c>
      <c r="C3580">
        <v>40</v>
      </c>
      <c r="D3580">
        <v>4.86152551136911</v>
      </c>
      <c r="E3580">
        <v>194.461020454764</v>
      </c>
      <c r="F3580">
        <v>0.804522027011775</v>
      </c>
      <c r="G3580">
        <v>0.86539257364282796</v>
      </c>
      <c r="H3580" t="str">
        <f t="shared" si="55"/>
        <v>Q4</v>
      </c>
    </row>
    <row r="3581" spans="1:8">
      <c r="A3581">
        <v>625768</v>
      </c>
      <c r="B3581" t="s">
        <v>4490</v>
      </c>
      <c r="C3581">
        <v>63</v>
      </c>
      <c r="D3581">
        <v>3.0857680956759199</v>
      </c>
      <c r="E3581">
        <v>194.40339002758299</v>
      </c>
      <c r="F3581">
        <v>0.86445205221775001</v>
      </c>
      <c r="G3581">
        <v>0.86535495278582397</v>
      </c>
      <c r="H3581" t="str">
        <f t="shared" si="55"/>
        <v>Q4</v>
      </c>
    </row>
    <row r="3582" spans="1:8">
      <c r="A3582">
        <v>780729</v>
      </c>
      <c r="B3582" t="s">
        <v>5003</v>
      </c>
      <c r="C3582">
        <v>40</v>
      </c>
      <c r="D3582">
        <v>4.8596187541261298</v>
      </c>
      <c r="E3582">
        <v>194.38475016504501</v>
      </c>
      <c r="F3582">
        <v>0.804522027011775</v>
      </c>
      <c r="G3582">
        <v>0.86531733192882099</v>
      </c>
      <c r="H3582" t="str">
        <f t="shared" si="55"/>
        <v>Q4</v>
      </c>
    </row>
    <row r="3583" spans="1:8">
      <c r="A3583">
        <v>687600</v>
      </c>
      <c r="B3583" t="s">
        <v>1591</v>
      </c>
      <c r="C3583">
        <v>80</v>
      </c>
      <c r="D3583">
        <v>2.4295550922397502</v>
      </c>
      <c r="E3583">
        <v>194.36440737917999</v>
      </c>
      <c r="F3583">
        <v>0.89150144840299494</v>
      </c>
      <c r="G3583">
        <v>0.865279711071818</v>
      </c>
      <c r="H3583" t="str">
        <f t="shared" si="55"/>
        <v>Q4</v>
      </c>
    </row>
    <row r="3584" spans="1:8">
      <c r="A3584">
        <v>790034</v>
      </c>
      <c r="B3584" t="s">
        <v>4721</v>
      </c>
      <c r="C3584">
        <v>80</v>
      </c>
      <c r="D3584">
        <v>2.42921606055461</v>
      </c>
      <c r="E3584">
        <v>194.33728484436901</v>
      </c>
      <c r="F3584">
        <v>0.89150144840299494</v>
      </c>
      <c r="G3584">
        <v>0.86524209021481502</v>
      </c>
      <c r="H3584" t="str">
        <f t="shared" si="55"/>
        <v>Q4</v>
      </c>
    </row>
    <row r="3585" spans="1:8">
      <c r="A3585">
        <v>730645</v>
      </c>
      <c r="B3585" t="s">
        <v>4928</v>
      </c>
      <c r="C3585">
        <v>81</v>
      </c>
      <c r="D3585">
        <v>2.3985770582738799</v>
      </c>
      <c r="E3585">
        <v>194.284741720185</v>
      </c>
      <c r="F3585">
        <v>0.89293104096911302</v>
      </c>
      <c r="G3585">
        <v>0.86520446935781203</v>
      </c>
      <c r="H3585" t="str">
        <f t="shared" si="55"/>
        <v>Q4</v>
      </c>
    </row>
    <row r="3586" spans="1:8">
      <c r="A3586">
        <v>763389</v>
      </c>
      <c r="B3586" t="s">
        <v>1941</v>
      </c>
      <c r="C3586">
        <v>41</v>
      </c>
      <c r="D3586">
        <v>4.7382803497517996</v>
      </c>
      <c r="E3586">
        <v>194.26949433982401</v>
      </c>
      <c r="F3586">
        <v>0.80787028328505295</v>
      </c>
      <c r="G3586">
        <v>0.86516684850080905</v>
      </c>
      <c r="H3586" t="str">
        <f t="shared" si="55"/>
        <v>Q4</v>
      </c>
    </row>
    <row r="3587" spans="1:8">
      <c r="A3587">
        <v>779909</v>
      </c>
      <c r="B3587" t="s">
        <v>456</v>
      </c>
      <c r="C3587">
        <v>54</v>
      </c>
      <c r="D3587">
        <v>3.5965159983822601</v>
      </c>
      <c r="E3587">
        <v>194.211863912642</v>
      </c>
      <c r="F3587">
        <v>0.84515255257514799</v>
      </c>
      <c r="G3587">
        <v>0.86512922764380595</v>
      </c>
      <c r="H3587" t="str">
        <f t="shared" ref="H3587:H3650" si="56">IF(C3587&gt;$J$2,
   IF(D3587&gt;$J$3,"Q1","Q2"),
   IF(D3587&gt;$J$3,"Q3","Q4"))</f>
        <v>Q4</v>
      </c>
    </row>
    <row r="3588" spans="1:8">
      <c r="A3588">
        <v>615986</v>
      </c>
      <c r="B3588" t="s">
        <v>4905</v>
      </c>
      <c r="C3588">
        <v>151</v>
      </c>
      <c r="D3588">
        <v>1.28572228956746</v>
      </c>
      <c r="E3588">
        <v>194.14406572468599</v>
      </c>
      <c r="F3588">
        <v>0.94323012678228801</v>
      </c>
      <c r="G3588">
        <v>0.86509160678680297</v>
      </c>
      <c r="H3588" t="str">
        <f t="shared" si="56"/>
        <v>Q4</v>
      </c>
    </row>
    <row r="3589" spans="1:8">
      <c r="A3589">
        <v>762222</v>
      </c>
      <c r="B3589" t="s">
        <v>1176</v>
      </c>
      <c r="C3589">
        <v>47</v>
      </c>
      <c r="D3589">
        <v>4.1280202012746896</v>
      </c>
      <c r="E3589">
        <v>194.01694945990999</v>
      </c>
      <c r="F3589">
        <v>0.82641736578759295</v>
      </c>
      <c r="G3589">
        <v>0.86505398592979899</v>
      </c>
      <c r="H3589" t="str">
        <f t="shared" si="56"/>
        <v>Q4</v>
      </c>
    </row>
    <row r="3590" spans="1:8">
      <c r="A3590">
        <v>699426</v>
      </c>
      <c r="B3590" t="s">
        <v>646</v>
      </c>
      <c r="C3590">
        <v>47</v>
      </c>
      <c r="D3590">
        <v>4.1264695214464302</v>
      </c>
      <c r="E3590">
        <v>193.944067507982</v>
      </c>
      <c r="F3590">
        <v>0.82641736578759295</v>
      </c>
      <c r="G3590">
        <v>0.865016365072796</v>
      </c>
      <c r="H3590" t="str">
        <f t="shared" si="56"/>
        <v>Q4</v>
      </c>
    </row>
    <row r="3591" spans="1:8">
      <c r="A3591">
        <v>554450</v>
      </c>
      <c r="B3591" t="s">
        <v>2415</v>
      </c>
      <c r="C3591">
        <v>92</v>
      </c>
      <c r="D3591">
        <v>2.1071849117541399</v>
      </c>
      <c r="E3591">
        <v>193.86101188138099</v>
      </c>
      <c r="F3591">
        <v>0.90429253978405599</v>
      </c>
      <c r="G3591">
        <v>0.86497874421579302</v>
      </c>
      <c r="H3591" t="str">
        <f t="shared" si="56"/>
        <v>Q4</v>
      </c>
    </row>
    <row r="3592" spans="1:8">
      <c r="A3592">
        <v>751288</v>
      </c>
      <c r="B3592" t="s">
        <v>496</v>
      </c>
      <c r="C3592">
        <v>80</v>
      </c>
      <c r="D3592">
        <v>2.4232415365986499</v>
      </c>
      <c r="E3592">
        <v>193.85932292789201</v>
      </c>
      <c r="F3592">
        <v>0.89150144840299494</v>
      </c>
      <c r="G3592">
        <v>0.86494112335879003</v>
      </c>
      <c r="H3592" t="str">
        <f t="shared" si="56"/>
        <v>Q4</v>
      </c>
    </row>
    <row r="3593" spans="1:8">
      <c r="A3593">
        <v>750712</v>
      </c>
      <c r="B3593" t="s">
        <v>1807</v>
      </c>
      <c r="C3593">
        <v>79</v>
      </c>
      <c r="D3593">
        <v>2.4537437801732702</v>
      </c>
      <c r="E3593">
        <v>193.84575863368801</v>
      </c>
      <c r="F3593">
        <v>0.89022233926488803</v>
      </c>
      <c r="G3593">
        <v>0.86490350250178705</v>
      </c>
      <c r="H3593" t="str">
        <f t="shared" si="56"/>
        <v>Q4</v>
      </c>
    </row>
    <row r="3594" spans="1:8">
      <c r="A3594">
        <v>669215</v>
      </c>
      <c r="B3594" t="s">
        <v>2953</v>
      </c>
      <c r="C3594">
        <v>129</v>
      </c>
      <c r="D3594">
        <v>1.5021285099923101</v>
      </c>
      <c r="E3594">
        <v>193.77457778900899</v>
      </c>
      <c r="F3594">
        <v>0.93247056167939502</v>
      </c>
      <c r="G3594">
        <v>0.86486588164478395</v>
      </c>
      <c r="H3594" t="str">
        <f t="shared" si="56"/>
        <v>Q4</v>
      </c>
    </row>
    <row r="3595" spans="1:8">
      <c r="A3595">
        <v>534357</v>
      </c>
      <c r="B3595" t="s">
        <v>693</v>
      </c>
      <c r="C3595">
        <v>71</v>
      </c>
      <c r="D3595">
        <v>2.7289090173082902</v>
      </c>
      <c r="E3595">
        <v>193.75254022888799</v>
      </c>
      <c r="F3595">
        <v>0.87799556073887397</v>
      </c>
      <c r="G3595">
        <v>0.86482826078778097</v>
      </c>
      <c r="H3595" t="str">
        <f t="shared" si="56"/>
        <v>Q4</v>
      </c>
    </row>
    <row r="3596" spans="1:8">
      <c r="A3596">
        <v>804682</v>
      </c>
      <c r="B3596" t="s">
        <v>728</v>
      </c>
      <c r="C3596">
        <v>42</v>
      </c>
      <c r="D3596">
        <v>4.6127523073837899</v>
      </c>
      <c r="E3596">
        <v>193.735596910119</v>
      </c>
      <c r="F3596">
        <v>0.81103043527331597</v>
      </c>
      <c r="G3596">
        <v>0.86479063993077798</v>
      </c>
      <c r="H3596" t="str">
        <f t="shared" si="56"/>
        <v>Q4</v>
      </c>
    </row>
    <row r="3597" spans="1:8">
      <c r="A3597">
        <v>665082</v>
      </c>
      <c r="B3597" t="s">
        <v>1118</v>
      </c>
      <c r="C3597">
        <v>147</v>
      </c>
      <c r="D3597">
        <v>1.3178023595210799</v>
      </c>
      <c r="E3597">
        <v>193.716946849599</v>
      </c>
      <c r="F3597">
        <v>0.94195101764418199</v>
      </c>
      <c r="G3597">
        <v>0.864753019073775</v>
      </c>
      <c r="H3597" t="str">
        <f t="shared" si="56"/>
        <v>Q4</v>
      </c>
    </row>
    <row r="3598" spans="1:8">
      <c r="A3598">
        <v>745745</v>
      </c>
      <c r="B3598" t="s">
        <v>2998</v>
      </c>
      <c r="C3598">
        <v>20</v>
      </c>
      <c r="D3598">
        <v>9.6828814223408699</v>
      </c>
      <c r="E3598">
        <v>193.657628446817</v>
      </c>
      <c r="F3598">
        <v>0.69196042285843296</v>
      </c>
      <c r="G3598">
        <v>0.86471539821677101</v>
      </c>
      <c r="H3598" t="str">
        <f t="shared" si="56"/>
        <v>Q3</v>
      </c>
    </row>
    <row r="3599" spans="1:8">
      <c r="A3599">
        <v>673905</v>
      </c>
      <c r="B3599" t="s">
        <v>3527</v>
      </c>
      <c r="C3599">
        <v>28</v>
      </c>
      <c r="D3599">
        <v>6.9156175479292896</v>
      </c>
      <c r="E3599">
        <v>193.63729134202001</v>
      </c>
      <c r="F3599">
        <v>0.74974605921522897</v>
      </c>
      <c r="G3599">
        <v>0.86467777735976803</v>
      </c>
      <c r="H3599" t="str">
        <f t="shared" si="56"/>
        <v>Q3</v>
      </c>
    </row>
    <row r="3600" spans="1:8">
      <c r="A3600">
        <v>720547</v>
      </c>
      <c r="B3600" t="s">
        <v>3654</v>
      </c>
      <c r="C3600">
        <v>29</v>
      </c>
      <c r="D3600">
        <v>6.6744593196901798</v>
      </c>
      <c r="E3600">
        <v>193.559320271015</v>
      </c>
      <c r="F3600">
        <v>0.75501297919566601</v>
      </c>
      <c r="G3600">
        <v>0.86464015650276504</v>
      </c>
      <c r="H3600" t="str">
        <f t="shared" si="56"/>
        <v>Q3</v>
      </c>
    </row>
    <row r="3601" spans="1:8">
      <c r="A3601">
        <v>294076</v>
      </c>
      <c r="B3601" t="s">
        <v>4482</v>
      </c>
      <c r="C3601">
        <v>20</v>
      </c>
      <c r="D3601">
        <v>9.6750001981854403</v>
      </c>
      <c r="E3601">
        <v>193.50000396370899</v>
      </c>
      <c r="F3601">
        <v>0.69196042285843296</v>
      </c>
      <c r="G3601">
        <v>0.86460253564576195</v>
      </c>
      <c r="H3601" t="str">
        <f t="shared" si="56"/>
        <v>Q3</v>
      </c>
    </row>
    <row r="3602" spans="1:8">
      <c r="A3602">
        <v>757726</v>
      </c>
      <c r="B3602" t="s">
        <v>4779</v>
      </c>
      <c r="C3602">
        <v>99</v>
      </c>
      <c r="D3602">
        <v>1.9543913682226599</v>
      </c>
      <c r="E3602">
        <v>193.48474545404301</v>
      </c>
      <c r="F3602">
        <v>0.91076332718859299</v>
      </c>
      <c r="G3602">
        <v>0.86456491478875896</v>
      </c>
      <c r="H3602" t="str">
        <f t="shared" si="56"/>
        <v>Q4</v>
      </c>
    </row>
    <row r="3603" spans="1:8">
      <c r="A3603">
        <v>767032</v>
      </c>
      <c r="B3603" t="s">
        <v>1974</v>
      </c>
      <c r="C3603">
        <v>117</v>
      </c>
      <c r="D3603">
        <v>1.6531217668173701</v>
      </c>
      <c r="E3603">
        <v>193.41524671763199</v>
      </c>
      <c r="F3603">
        <v>0.925247357134796</v>
      </c>
      <c r="G3603">
        <v>0.86452729393175598</v>
      </c>
      <c r="H3603" t="str">
        <f t="shared" si="56"/>
        <v>Q4</v>
      </c>
    </row>
    <row r="3604" spans="1:8">
      <c r="A3604">
        <v>723926</v>
      </c>
      <c r="B3604" t="s">
        <v>3129</v>
      </c>
      <c r="C3604">
        <v>51</v>
      </c>
      <c r="D3604">
        <v>3.7896643630137601</v>
      </c>
      <c r="E3604">
        <v>193.272882513702</v>
      </c>
      <c r="F3604">
        <v>0.83762838117452298</v>
      </c>
      <c r="G3604">
        <v>0.864489673074753</v>
      </c>
      <c r="H3604" t="str">
        <f t="shared" si="56"/>
        <v>Q4</v>
      </c>
    </row>
    <row r="3605" spans="1:8">
      <c r="A3605">
        <v>770697</v>
      </c>
      <c r="B3605" t="s">
        <v>3072</v>
      </c>
      <c r="C3605">
        <v>63</v>
      </c>
      <c r="D3605">
        <v>3.0675544359144702</v>
      </c>
      <c r="E3605">
        <v>193.25592946261199</v>
      </c>
      <c r="F3605">
        <v>0.86445205221775001</v>
      </c>
      <c r="G3605">
        <v>0.86445205221775001</v>
      </c>
      <c r="H3605" t="str">
        <f t="shared" si="56"/>
        <v>Q4</v>
      </c>
    </row>
    <row r="3606" spans="1:8">
      <c r="A3606">
        <v>789105</v>
      </c>
      <c r="B3606" t="s">
        <v>2890</v>
      </c>
      <c r="C3606">
        <v>60</v>
      </c>
      <c r="D3606">
        <v>3.2209038951744602</v>
      </c>
      <c r="E3606">
        <v>193.25423371046799</v>
      </c>
      <c r="F3606">
        <v>0.85805650652721899</v>
      </c>
      <c r="G3606">
        <v>0.86441443136074603</v>
      </c>
      <c r="H3606" t="str">
        <f t="shared" si="56"/>
        <v>Q4</v>
      </c>
    </row>
    <row r="3607" spans="1:8">
      <c r="A3607">
        <v>804796</v>
      </c>
      <c r="B3607" t="s">
        <v>1879</v>
      </c>
      <c r="C3607">
        <v>14</v>
      </c>
      <c r="D3607">
        <v>13.7979421232428</v>
      </c>
      <c r="E3607">
        <v>193.17118972539899</v>
      </c>
      <c r="F3607">
        <v>0.62070651969451895</v>
      </c>
      <c r="G3607">
        <v>0.86437681050374304</v>
      </c>
      <c r="H3607" t="str">
        <f t="shared" si="56"/>
        <v>Q3</v>
      </c>
    </row>
    <row r="3608" spans="1:8">
      <c r="A3608">
        <v>825728</v>
      </c>
      <c r="B3608" t="s">
        <v>1051</v>
      </c>
      <c r="C3608">
        <v>40</v>
      </c>
      <c r="D3608">
        <v>4.8291950020939103</v>
      </c>
      <c r="E3608">
        <v>193.16780008375599</v>
      </c>
      <c r="F3608">
        <v>0.804522027011775</v>
      </c>
      <c r="G3608">
        <v>0.86433918964673995</v>
      </c>
      <c r="H3608" t="str">
        <f t="shared" si="56"/>
        <v>Q4</v>
      </c>
    </row>
    <row r="3609" spans="1:8">
      <c r="A3609">
        <v>735371</v>
      </c>
      <c r="B3609" t="s">
        <v>1368</v>
      </c>
      <c r="C3609">
        <v>48</v>
      </c>
      <c r="D3609">
        <v>4.0242584849086898</v>
      </c>
      <c r="E3609">
        <v>193.16440727561701</v>
      </c>
      <c r="F3609">
        <v>0.82957751777585498</v>
      </c>
      <c r="G3609">
        <v>0.86430156878973696</v>
      </c>
      <c r="H3609" t="str">
        <f t="shared" si="56"/>
        <v>Q4</v>
      </c>
    </row>
    <row r="3610" spans="1:8">
      <c r="A3610">
        <v>560047</v>
      </c>
      <c r="B3610" t="s">
        <v>1117</v>
      </c>
      <c r="C3610">
        <v>157</v>
      </c>
      <c r="D3610">
        <v>1.23023857587984</v>
      </c>
      <c r="E3610">
        <v>193.14745641313499</v>
      </c>
      <c r="F3610">
        <v>0.94518641134644998</v>
      </c>
      <c r="G3610">
        <v>0.86426394793273398</v>
      </c>
      <c r="H3610" t="str">
        <f t="shared" si="56"/>
        <v>Q4</v>
      </c>
    </row>
    <row r="3611" spans="1:8">
      <c r="A3611">
        <v>698296</v>
      </c>
      <c r="B3611" t="s">
        <v>2816</v>
      </c>
      <c r="C3611">
        <v>134</v>
      </c>
      <c r="D3611">
        <v>1.44066526693528</v>
      </c>
      <c r="E3611">
        <v>193.04914576932799</v>
      </c>
      <c r="F3611">
        <v>0.93551785109664798</v>
      </c>
      <c r="G3611">
        <v>0.86422632707573099</v>
      </c>
      <c r="H3611" t="str">
        <f t="shared" si="56"/>
        <v>Q4</v>
      </c>
    </row>
    <row r="3612" spans="1:8">
      <c r="A3612">
        <v>504667</v>
      </c>
      <c r="B3612" t="s">
        <v>4026</v>
      </c>
      <c r="C3612">
        <v>15</v>
      </c>
      <c r="D3612">
        <v>12.86248597006</v>
      </c>
      <c r="E3612">
        <v>192.9372895509</v>
      </c>
      <c r="F3612">
        <v>0.63496482449870195</v>
      </c>
      <c r="G3612">
        <v>0.86418870621872801</v>
      </c>
      <c r="H3612" t="str">
        <f t="shared" si="56"/>
        <v>Q3</v>
      </c>
    </row>
    <row r="3613" spans="1:8">
      <c r="A3613">
        <v>735017</v>
      </c>
      <c r="B3613" t="s">
        <v>218</v>
      </c>
      <c r="C3613">
        <v>18</v>
      </c>
      <c r="D3613">
        <v>10.717043094337001</v>
      </c>
      <c r="E3613">
        <v>192.90677569806601</v>
      </c>
      <c r="F3613">
        <v>0.67044129265264696</v>
      </c>
      <c r="G3613">
        <v>0.86415108536172502</v>
      </c>
      <c r="H3613" t="str">
        <f t="shared" si="56"/>
        <v>Q3</v>
      </c>
    </row>
    <row r="3614" spans="1:8">
      <c r="A3614">
        <v>727004</v>
      </c>
      <c r="B3614" t="s">
        <v>1666</v>
      </c>
      <c r="C3614">
        <v>111</v>
      </c>
      <c r="D3614">
        <v>1.73707435763366</v>
      </c>
      <c r="E3614">
        <v>192.815253697336</v>
      </c>
      <c r="F3614">
        <v>0.92084571686543004</v>
      </c>
      <c r="G3614">
        <v>0.86411346450472104</v>
      </c>
      <c r="H3614" t="str">
        <f t="shared" si="56"/>
        <v>Q4</v>
      </c>
    </row>
    <row r="3615" spans="1:8">
      <c r="A3615">
        <v>703761</v>
      </c>
      <c r="B3615" t="s">
        <v>297</v>
      </c>
      <c r="C3615">
        <v>49</v>
      </c>
      <c r="D3615">
        <v>3.93393289449872</v>
      </c>
      <c r="E3615">
        <v>192.76271183043701</v>
      </c>
      <c r="F3615">
        <v>0.83258718633610496</v>
      </c>
      <c r="G3615">
        <v>0.86407584364771794</v>
      </c>
      <c r="H3615" t="str">
        <f t="shared" si="56"/>
        <v>Q4</v>
      </c>
    </row>
    <row r="3616" spans="1:8">
      <c r="A3616">
        <v>581363</v>
      </c>
      <c r="B3616" t="s">
        <v>4305</v>
      </c>
      <c r="C3616">
        <v>133</v>
      </c>
      <c r="D3616">
        <v>1.44869371306823</v>
      </c>
      <c r="E3616">
        <v>192.67626383807499</v>
      </c>
      <c r="F3616">
        <v>0.93476543395658596</v>
      </c>
      <c r="G3616">
        <v>0.86403822279071496</v>
      </c>
      <c r="H3616" t="str">
        <f t="shared" si="56"/>
        <v>Q4</v>
      </c>
    </row>
    <row r="3617" spans="1:8">
      <c r="A3617">
        <v>799356</v>
      </c>
      <c r="B3617" t="s">
        <v>3668</v>
      </c>
      <c r="C3617">
        <v>39</v>
      </c>
      <c r="D3617">
        <v>4.9396785023884897</v>
      </c>
      <c r="E3617">
        <v>192.64746159315101</v>
      </c>
      <c r="F3617">
        <v>0.80087280388247195</v>
      </c>
      <c r="G3617">
        <v>0.86400060193371198</v>
      </c>
      <c r="H3617" t="str">
        <f t="shared" si="56"/>
        <v>Q3</v>
      </c>
    </row>
    <row r="3618" spans="1:8">
      <c r="A3618">
        <v>655259</v>
      </c>
      <c r="B3618" t="s">
        <v>1836</v>
      </c>
      <c r="C3618">
        <v>81</v>
      </c>
      <c r="D3618">
        <v>2.37526678894129</v>
      </c>
      <c r="E3618">
        <v>192.396609904245</v>
      </c>
      <c r="F3618">
        <v>0.89293104096911302</v>
      </c>
      <c r="G3618">
        <v>0.86396298107670899</v>
      </c>
      <c r="H3618" t="str">
        <f t="shared" si="56"/>
        <v>Q4</v>
      </c>
    </row>
    <row r="3619" spans="1:8">
      <c r="A3619">
        <v>778465</v>
      </c>
      <c r="B3619" t="s">
        <v>1613</v>
      </c>
      <c r="C3619">
        <v>59</v>
      </c>
      <c r="D3619">
        <v>3.2607870713128899</v>
      </c>
      <c r="E3619">
        <v>192.38643720746001</v>
      </c>
      <c r="F3619">
        <v>0.85617546367706299</v>
      </c>
      <c r="G3619">
        <v>0.86392536021970601</v>
      </c>
      <c r="H3619" t="str">
        <f t="shared" si="56"/>
        <v>Q4</v>
      </c>
    </row>
    <row r="3620" spans="1:8">
      <c r="A3620">
        <v>723865</v>
      </c>
      <c r="B3620" t="s">
        <v>3389</v>
      </c>
      <c r="C3620">
        <v>100</v>
      </c>
      <c r="D3620">
        <v>1.92383050359786</v>
      </c>
      <c r="E3620">
        <v>192.38305035978601</v>
      </c>
      <c r="F3620">
        <v>0.91155336518565899</v>
      </c>
      <c r="G3620">
        <v>0.86388773936270302</v>
      </c>
      <c r="H3620" t="str">
        <f t="shared" si="56"/>
        <v>Q4</v>
      </c>
    </row>
    <row r="3621" spans="1:8">
      <c r="A3621">
        <v>638583</v>
      </c>
      <c r="B3621" t="s">
        <v>3168</v>
      </c>
      <c r="C3621">
        <v>30</v>
      </c>
      <c r="D3621">
        <v>6.4111299191912003</v>
      </c>
      <c r="E3621">
        <v>192.33389757573599</v>
      </c>
      <c r="F3621">
        <v>0.760430382604116</v>
      </c>
      <c r="G3621">
        <v>0.86385011850570004</v>
      </c>
      <c r="H3621" t="str">
        <f t="shared" si="56"/>
        <v>Q3</v>
      </c>
    </row>
    <row r="3622" spans="1:8">
      <c r="A3622">
        <v>675359</v>
      </c>
      <c r="B3622" t="s">
        <v>2507</v>
      </c>
      <c r="C3622">
        <v>85</v>
      </c>
      <c r="D3622">
        <v>2.25956127485808</v>
      </c>
      <c r="E3622">
        <v>192.062708362937</v>
      </c>
      <c r="F3622">
        <v>0.89721981866746903</v>
      </c>
      <c r="G3622">
        <v>0.86381249764869605</v>
      </c>
      <c r="H3622" t="str">
        <f t="shared" si="56"/>
        <v>Q4</v>
      </c>
    </row>
    <row r="3623" spans="1:8">
      <c r="A3623">
        <v>724942</v>
      </c>
      <c r="B3623" t="s">
        <v>4793</v>
      </c>
      <c r="C3623">
        <v>65</v>
      </c>
      <c r="D3623">
        <v>2.9548108821304901</v>
      </c>
      <c r="E3623">
        <v>192.062707338482</v>
      </c>
      <c r="F3623">
        <v>0.86802603363304598</v>
      </c>
      <c r="G3623">
        <v>0.86377487679169296</v>
      </c>
      <c r="H3623" t="str">
        <f t="shared" si="56"/>
        <v>Q4</v>
      </c>
    </row>
    <row r="3624" spans="1:8">
      <c r="A3624">
        <v>777273</v>
      </c>
      <c r="B3624" t="s">
        <v>3816</v>
      </c>
      <c r="C3624">
        <v>74</v>
      </c>
      <c r="D3624">
        <v>2.5937699914179899</v>
      </c>
      <c r="E3624">
        <v>191.93897936493201</v>
      </c>
      <c r="F3624">
        <v>0.88307437643429498</v>
      </c>
      <c r="G3624">
        <v>0.86373725593468997</v>
      </c>
      <c r="H3624" t="str">
        <f t="shared" si="56"/>
        <v>Q4</v>
      </c>
    </row>
    <row r="3625" spans="1:8">
      <c r="A3625">
        <v>777467</v>
      </c>
      <c r="B3625" t="s">
        <v>1487</v>
      </c>
      <c r="C3625">
        <v>38</v>
      </c>
      <c r="D3625">
        <v>5.0470115641426103</v>
      </c>
      <c r="E3625">
        <v>191.78643943741901</v>
      </c>
      <c r="F3625">
        <v>0.79696023475414801</v>
      </c>
      <c r="G3625">
        <v>0.86369963507768699</v>
      </c>
      <c r="H3625" t="str">
        <f t="shared" si="56"/>
        <v>Q3</v>
      </c>
    </row>
    <row r="3626" spans="1:8">
      <c r="A3626">
        <v>771596</v>
      </c>
      <c r="B3626" t="s">
        <v>3374</v>
      </c>
      <c r="C3626">
        <v>34</v>
      </c>
      <c r="D3626">
        <v>5.6397309307666399</v>
      </c>
      <c r="E3626">
        <v>191.750851646066</v>
      </c>
      <c r="F3626">
        <v>0.77969226138971404</v>
      </c>
      <c r="G3626">
        <v>0.863662014220684</v>
      </c>
      <c r="H3626" t="str">
        <f t="shared" si="56"/>
        <v>Q3</v>
      </c>
    </row>
    <row r="3627" spans="1:8">
      <c r="A3627">
        <v>738305</v>
      </c>
      <c r="B3627" t="s">
        <v>1143</v>
      </c>
      <c r="C3627">
        <v>37</v>
      </c>
      <c r="D3627">
        <v>5.18163092233039</v>
      </c>
      <c r="E3627">
        <v>191.720344126225</v>
      </c>
      <c r="F3627">
        <v>0.79304766562582296</v>
      </c>
      <c r="G3627">
        <v>0.86362439336368102</v>
      </c>
      <c r="H3627" t="str">
        <f t="shared" si="56"/>
        <v>Q3</v>
      </c>
    </row>
    <row r="3628" spans="1:8">
      <c r="A3628">
        <v>504152</v>
      </c>
      <c r="B3628" t="s">
        <v>1840</v>
      </c>
      <c r="C3628">
        <v>129</v>
      </c>
      <c r="D3628">
        <v>1.4848508725895799</v>
      </c>
      <c r="E3628">
        <v>191.54576256405599</v>
      </c>
      <c r="F3628">
        <v>0.93247056167939502</v>
      </c>
      <c r="G3628">
        <v>0.86358677250667804</v>
      </c>
      <c r="H3628" t="str">
        <f t="shared" si="56"/>
        <v>Q4</v>
      </c>
    </row>
    <row r="3629" spans="1:8">
      <c r="A3629">
        <v>710402</v>
      </c>
      <c r="B3629" t="s">
        <v>2833</v>
      </c>
      <c r="C3629">
        <v>23</v>
      </c>
      <c r="D3629">
        <v>8.3271924892197493</v>
      </c>
      <c r="E3629">
        <v>191.52542725205399</v>
      </c>
      <c r="F3629">
        <v>0.71547345848538402</v>
      </c>
      <c r="G3629">
        <v>0.86354915164967505</v>
      </c>
      <c r="H3629" t="str">
        <f t="shared" si="56"/>
        <v>Q3</v>
      </c>
    </row>
    <row r="3630" spans="1:8">
      <c r="A3630">
        <v>696952</v>
      </c>
      <c r="B3630" t="s">
        <v>2954</v>
      </c>
      <c r="C3630">
        <v>29</v>
      </c>
      <c r="D3630">
        <v>6.59848037978698</v>
      </c>
      <c r="E3630">
        <v>191.35593101382301</v>
      </c>
      <c r="F3630">
        <v>0.75501297919566601</v>
      </c>
      <c r="G3630">
        <v>0.86351153079267196</v>
      </c>
      <c r="H3630" t="str">
        <f t="shared" si="56"/>
        <v>Q3</v>
      </c>
    </row>
    <row r="3631" spans="1:8">
      <c r="A3631">
        <v>714444</v>
      </c>
      <c r="B3631" t="s">
        <v>407</v>
      </c>
      <c r="C3631">
        <v>59</v>
      </c>
      <c r="D3631">
        <v>3.2432346304847002</v>
      </c>
      <c r="E3631">
        <v>191.350843198597</v>
      </c>
      <c r="F3631">
        <v>0.85617546367706299</v>
      </c>
      <c r="G3631">
        <v>0.86347390993566797</v>
      </c>
      <c r="H3631" t="str">
        <f t="shared" si="56"/>
        <v>Q4</v>
      </c>
    </row>
    <row r="3632" spans="1:8">
      <c r="A3632">
        <v>706443</v>
      </c>
      <c r="B3632" t="s">
        <v>2745</v>
      </c>
      <c r="C3632">
        <v>228</v>
      </c>
      <c r="D3632">
        <v>0.83920606274133303</v>
      </c>
      <c r="E3632">
        <v>191.33898230502399</v>
      </c>
      <c r="F3632">
        <v>0.96501260298709601</v>
      </c>
      <c r="G3632">
        <v>0.86343628907866499</v>
      </c>
      <c r="H3632" t="str">
        <f t="shared" si="56"/>
        <v>Q2</v>
      </c>
    </row>
    <row r="3633" spans="1:8">
      <c r="A3633">
        <v>645638</v>
      </c>
      <c r="B3633" t="s">
        <v>3820</v>
      </c>
      <c r="C3633">
        <v>110</v>
      </c>
      <c r="D3633">
        <v>1.7392911584201201</v>
      </c>
      <c r="E3633">
        <v>191.322027426213</v>
      </c>
      <c r="F3633">
        <v>0.92001805801136105</v>
      </c>
      <c r="G3633">
        <v>0.863398668221662</v>
      </c>
      <c r="H3633" t="str">
        <f t="shared" si="56"/>
        <v>Q4</v>
      </c>
    </row>
    <row r="3634" spans="1:8">
      <c r="A3634">
        <v>565292</v>
      </c>
      <c r="B3634" t="s">
        <v>2323</v>
      </c>
      <c r="C3634">
        <v>94</v>
      </c>
      <c r="D3634">
        <v>2.0351604642742802</v>
      </c>
      <c r="E3634">
        <v>191.30508364178201</v>
      </c>
      <c r="F3634">
        <v>0.906700274632256</v>
      </c>
      <c r="G3634">
        <v>0.86336104736465902</v>
      </c>
      <c r="H3634" t="str">
        <f t="shared" si="56"/>
        <v>Q4</v>
      </c>
    </row>
    <row r="3635" spans="1:8">
      <c r="A3635">
        <v>458924</v>
      </c>
      <c r="B3635" t="s">
        <v>3612</v>
      </c>
      <c r="C3635">
        <v>196</v>
      </c>
      <c r="D3635">
        <v>0.97603768998832996</v>
      </c>
      <c r="E3635">
        <v>191.303387237713</v>
      </c>
      <c r="F3635">
        <v>0.95790226101350595</v>
      </c>
      <c r="G3635">
        <v>0.86332342650765603</v>
      </c>
      <c r="H3635" t="str">
        <f t="shared" si="56"/>
        <v>Q2</v>
      </c>
    </row>
    <row r="3636" spans="1:8">
      <c r="A3636">
        <v>769620</v>
      </c>
      <c r="B3636" t="s">
        <v>4655</v>
      </c>
      <c r="C3636">
        <v>40</v>
      </c>
      <c r="D3636">
        <v>4.7793221008032596</v>
      </c>
      <c r="E3636">
        <v>191.17288403213001</v>
      </c>
      <c r="F3636">
        <v>0.804522027011775</v>
      </c>
      <c r="G3636">
        <v>0.86328580565065305</v>
      </c>
      <c r="H3636" t="str">
        <f t="shared" si="56"/>
        <v>Q4</v>
      </c>
    </row>
    <row r="3637" spans="1:8">
      <c r="A3637">
        <v>733193</v>
      </c>
      <c r="B3637" t="s">
        <v>5051</v>
      </c>
      <c r="C3637">
        <v>80</v>
      </c>
      <c r="D3637">
        <v>2.3876906803343401</v>
      </c>
      <c r="E3637">
        <v>191.01525442674799</v>
      </c>
      <c r="F3637">
        <v>0.89150144840299494</v>
      </c>
      <c r="G3637">
        <v>0.86324818479364995</v>
      </c>
      <c r="H3637" t="str">
        <f t="shared" si="56"/>
        <v>Q4</v>
      </c>
    </row>
    <row r="3638" spans="1:8">
      <c r="A3638">
        <v>717065</v>
      </c>
      <c r="B3638" t="s">
        <v>3455</v>
      </c>
      <c r="C3638">
        <v>40</v>
      </c>
      <c r="D3638">
        <v>4.77529670111835</v>
      </c>
      <c r="E3638">
        <v>191.011868044734</v>
      </c>
      <c r="F3638">
        <v>0.804522027011775</v>
      </c>
      <c r="G3638">
        <v>0.86321056393664697</v>
      </c>
      <c r="H3638" t="str">
        <f t="shared" si="56"/>
        <v>Q4</v>
      </c>
    </row>
    <row r="3639" spans="1:8">
      <c r="A3639">
        <v>700514</v>
      </c>
      <c r="B3639" t="s">
        <v>4703</v>
      </c>
      <c r="C3639">
        <v>28</v>
      </c>
      <c r="D3639">
        <v>6.8208232388964696</v>
      </c>
      <c r="E3639">
        <v>190.98305068910099</v>
      </c>
      <c r="F3639">
        <v>0.74974605921522897</v>
      </c>
      <c r="G3639">
        <v>0.86317294307964298</v>
      </c>
      <c r="H3639" t="str">
        <f t="shared" si="56"/>
        <v>Q3</v>
      </c>
    </row>
    <row r="3640" spans="1:8">
      <c r="A3640">
        <v>696594</v>
      </c>
      <c r="B3640" t="s">
        <v>295</v>
      </c>
      <c r="C3640">
        <v>132</v>
      </c>
      <c r="D3640">
        <v>1.4464945585297599</v>
      </c>
      <c r="E3640">
        <v>190.93728172592799</v>
      </c>
      <c r="F3640">
        <v>0.93435160452955102</v>
      </c>
      <c r="G3640">
        <v>0.86313532222264</v>
      </c>
      <c r="H3640" t="str">
        <f t="shared" si="56"/>
        <v>Q4</v>
      </c>
    </row>
    <row r="3641" spans="1:8">
      <c r="A3641">
        <v>478646</v>
      </c>
      <c r="B3641" t="s">
        <v>480</v>
      </c>
      <c r="C3641">
        <v>168</v>
      </c>
      <c r="D3641">
        <v>1.1347962006333401</v>
      </c>
      <c r="E3641">
        <v>190.645761706401</v>
      </c>
      <c r="F3641">
        <v>0.94936232647379704</v>
      </c>
      <c r="G3641">
        <v>0.86309770136563702</v>
      </c>
      <c r="H3641" t="str">
        <f t="shared" si="56"/>
        <v>Q4</v>
      </c>
    </row>
    <row r="3642" spans="1:8">
      <c r="A3642">
        <v>742034</v>
      </c>
      <c r="B3642" t="s">
        <v>2919</v>
      </c>
      <c r="C3642">
        <v>106</v>
      </c>
      <c r="D3642">
        <v>1.79849689483713</v>
      </c>
      <c r="E3642">
        <v>190.64067085273601</v>
      </c>
      <c r="F3642">
        <v>0.91730935630713695</v>
      </c>
      <c r="G3642">
        <v>0.86306008050863403</v>
      </c>
      <c r="H3642" t="str">
        <f t="shared" si="56"/>
        <v>Q4</v>
      </c>
    </row>
    <row r="3643" spans="1:8">
      <c r="A3643">
        <v>700344</v>
      </c>
      <c r="B3643" t="s">
        <v>2539</v>
      </c>
      <c r="C3643">
        <v>39</v>
      </c>
      <c r="D3643">
        <v>4.8862669234856604</v>
      </c>
      <c r="E3643">
        <v>190.56441001594101</v>
      </c>
      <c r="F3643">
        <v>0.80087280388247195</v>
      </c>
      <c r="G3643">
        <v>0.86302245965163105</v>
      </c>
      <c r="H3643" t="str">
        <f t="shared" si="56"/>
        <v>Q4</v>
      </c>
    </row>
    <row r="3644" spans="1:8">
      <c r="A3644">
        <v>714582</v>
      </c>
      <c r="B3644" t="s">
        <v>4942</v>
      </c>
      <c r="C3644">
        <v>126</v>
      </c>
      <c r="D3644">
        <v>1.5106806169367499</v>
      </c>
      <c r="E3644">
        <v>190.34575773403</v>
      </c>
      <c r="F3644">
        <v>0.93096572739926997</v>
      </c>
      <c r="G3644">
        <v>0.86298483879462795</v>
      </c>
      <c r="H3644" t="str">
        <f t="shared" si="56"/>
        <v>Q4</v>
      </c>
    </row>
    <row r="3645" spans="1:8">
      <c r="A3645">
        <v>707689</v>
      </c>
      <c r="B3645" t="s">
        <v>4388</v>
      </c>
      <c r="C3645">
        <v>61</v>
      </c>
      <c r="D3645">
        <v>3.1192552756334901</v>
      </c>
      <c r="E3645">
        <v>190.27457181364301</v>
      </c>
      <c r="F3645">
        <v>0.86035137880440904</v>
      </c>
      <c r="G3645">
        <v>0.86294721793762497</v>
      </c>
      <c r="H3645" t="str">
        <f t="shared" si="56"/>
        <v>Q4</v>
      </c>
    </row>
    <row r="3646" spans="1:8">
      <c r="A3646">
        <v>662075</v>
      </c>
      <c r="B3646" t="s">
        <v>3437</v>
      </c>
      <c r="C3646">
        <v>45</v>
      </c>
      <c r="D3646">
        <v>4.2273822964893402</v>
      </c>
      <c r="E3646">
        <v>190.23220334202099</v>
      </c>
      <c r="F3646">
        <v>0.82069899552311798</v>
      </c>
      <c r="G3646">
        <v>0.86290959708062198</v>
      </c>
      <c r="H3646" t="str">
        <f t="shared" si="56"/>
        <v>Q4</v>
      </c>
    </row>
    <row r="3647" spans="1:8">
      <c r="A3647">
        <v>573716</v>
      </c>
      <c r="B3647" t="s">
        <v>2464</v>
      </c>
      <c r="C3647">
        <v>125</v>
      </c>
      <c r="D3647">
        <v>1.52108471132815</v>
      </c>
      <c r="E3647">
        <v>190.135588916019</v>
      </c>
      <c r="F3647">
        <v>0.93028855197321403</v>
      </c>
      <c r="G3647">
        <v>0.862871976223618</v>
      </c>
      <c r="H3647" t="str">
        <f t="shared" si="56"/>
        <v>Q4</v>
      </c>
    </row>
    <row r="3648" spans="1:8">
      <c r="A3648">
        <v>759069</v>
      </c>
      <c r="B3648" t="s">
        <v>1796</v>
      </c>
      <c r="C3648">
        <v>23</v>
      </c>
      <c r="D3648">
        <v>8.2646279231361692</v>
      </c>
      <c r="E3648">
        <v>190.08644223213199</v>
      </c>
      <c r="F3648">
        <v>0.71547345848538402</v>
      </c>
      <c r="G3648">
        <v>0.86283435536661501</v>
      </c>
      <c r="H3648" t="str">
        <f t="shared" si="56"/>
        <v>Q3</v>
      </c>
    </row>
    <row r="3649" spans="1:8">
      <c r="A3649">
        <v>719250</v>
      </c>
      <c r="B3649" t="s">
        <v>5133</v>
      </c>
      <c r="C3649">
        <v>66</v>
      </c>
      <c r="D3649">
        <v>2.87973798642104</v>
      </c>
      <c r="E3649">
        <v>190.06270710378899</v>
      </c>
      <c r="F3649">
        <v>0.86968135134118396</v>
      </c>
      <c r="G3649">
        <v>0.86279673450961203</v>
      </c>
      <c r="H3649" t="str">
        <f t="shared" si="56"/>
        <v>Q4</v>
      </c>
    </row>
    <row r="3650" spans="1:8">
      <c r="A3650">
        <v>747045</v>
      </c>
      <c r="B3650" t="s">
        <v>2840</v>
      </c>
      <c r="C3650">
        <v>105</v>
      </c>
      <c r="D3650">
        <v>1.8099434230299201</v>
      </c>
      <c r="E3650">
        <v>190.04405941814201</v>
      </c>
      <c r="F3650">
        <v>0.91618073059704297</v>
      </c>
      <c r="G3650">
        <v>0.86275911365260904</v>
      </c>
      <c r="H3650" t="str">
        <f t="shared" si="56"/>
        <v>Q4</v>
      </c>
    </row>
    <row r="3651" spans="1:8">
      <c r="A3651">
        <v>724720</v>
      </c>
      <c r="B3651" t="s">
        <v>2952</v>
      </c>
      <c r="C3651">
        <v>115</v>
      </c>
      <c r="D3651">
        <v>1.65221809166605</v>
      </c>
      <c r="E3651">
        <v>190.00508054159599</v>
      </c>
      <c r="F3651">
        <v>0.92370490199766797</v>
      </c>
      <c r="G3651">
        <v>0.86272149279560595</v>
      </c>
      <c r="H3651" t="str">
        <f t="shared" ref="H3651:H3714" si="57">IF(C3651&gt;$J$2,
   IF(D3651&gt;$J$3,"Q1","Q2"),
   IF(D3651&gt;$J$3,"Q3","Q4"))</f>
        <v>Q4</v>
      </c>
    </row>
    <row r="3652" spans="1:8">
      <c r="A3652">
        <v>759637</v>
      </c>
      <c r="B3652" t="s">
        <v>2761</v>
      </c>
      <c r="C3652">
        <v>37</v>
      </c>
      <c r="D3652">
        <v>5.1290883758180899</v>
      </c>
      <c r="E3652">
        <v>189.776269905269</v>
      </c>
      <c r="F3652">
        <v>0.79304766562582296</v>
      </c>
      <c r="G3652">
        <v>0.86268387193860296</v>
      </c>
      <c r="H3652" t="str">
        <f t="shared" si="57"/>
        <v>Q3</v>
      </c>
    </row>
    <row r="3653" spans="1:8">
      <c r="A3653">
        <v>707508</v>
      </c>
      <c r="B3653" t="s">
        <v>2010</v>
      </c>
      <c r="C3653">
        <v>47</v>
      </c>
      <c r="D3653">
        <v>4.0375045183649698</v>
      </c>
      <c r="E3653">
        <v>189.76271236315401</v>
      </c>
      <c r="F3653">
        <v>0.82641736578759295</v>
      </c>
      <c r="G3653">
        <v>0.86264625108159998</v>
      </c>
      <c r="H3653" t="str">
        <f t="shared" si="57"/>
        <v>Q4</v>
      </c>
    </row>
    <row r="3654" spans="1:8">
      <c r="A3654">
        <v>793102</v>
      </c>
      <c r="B3654" t="s">
        <v>1864</v>
      </c>
      <c r="C3654">
        <v>30</v>
      </c>
      <c r="D3654">
        <v>6.3237287600835197</v>
      </c>
      <c r="E3654">
        <v>189.71186280250501</v>
      </c>
      <c r="F3654">
        <v>0.760430382604116</v>
      </c>
      <c r="G3654">
        <v>0.862608630224597</v>
      </c>
      <c r="H3654" t="str">
        <f t="shared" si="57"/>
        <v>Q3</v>
      </c>
    </row>
    <row r="3655" spans="1:8">
      <c r="A3655">
        <v>718942</v>
      </c>
      <c r="B3655" t="s">
        <v>4943</v>
      </c>
      <c r="C3655">
        <v>41</v>
      </c>
      <c r="D3655">
        <v>4.6262091979747897</v>
      </c>
      <c r="E3655">
        <v>189.67457711696599</v>
      </c>
      <c r="F3655">
        <v>0.80787028328505295</v>
      </c>
      <c r="G3655">
        <v>0.86257100936759301</v>
      </c>
      <c r="H3655" t="str">
        <f t="shared" si="57"/>
        <v>Q4</v>
      </c>
    </row>
    <row r="3656" spans="1:8">
      <c r="A3656">
        <v>676573</v>
      </c>
      <c r="B3656" t="s">
        <v>1921</v>
      </c>
      <c r="C3656">
        <v>120</v>
      </c>
      <c r="D3656">
        <v>1.58055081808319</v>
      </c>
      <c r="E3656">
        <v>189.66609816998201</v>
      </c>
      <c r="F3656">
        <v>0.92731650426996703</v>
      </c>
      <c r="G3656">
        <v>0.86253338851059003</v>
      </c>
      <c r="H3656" t="str">
        <f t="shared" si="57"/>
        <v>Q4</v>
      </c>
    </row>
    <row r="3657" spans="1:8">
      <c r="A3657">
        <v>789094</v>
      </c>
      <c r="B3657" t="s">
        <v>2375</v>
      </c>
      <c r="C3657">
        <v>21</v>
      </c>
      <c r="D3657">
        <v>9.0272802327360395</v>
      </c>
      <c r="E3657">
        <v>189.57288488745701</v>
      </c>
      <c r="F3657">
        <v>0.70008652797110704</v>
      </c>
      <c r="G3657">
        <v>0.86249576765358704</v>
      </c>
      <c r="H3657" t="str">
        <f t="shared" si="57"/>
        <v>Q3</v>
      </c>
    </row>
    <row r="3658" spans="1:8">
      <c r="A3658">
        <v>797623</v>
      </c>
      <c r="B3658" t="s">
        <v>2752</v>
      </c>
      <c r="C3658">
        <v>33</v>
      </c>
      <c r="D3658">
        <v>5.7439138830611203</v>
      </c>
      <c r="E3658">
        <v>189.54915814101699</v>
      </c>
      <c r="F3658">
        <v>0.77551634626236798</v>
      </c>
      <c r="G3658">
        <v>0.86245814679658395</v>
      </c>
      <c r="H3658" t="str">
        <f t="shared" si="57"/>
        <v>Q3</v>
      </c>
    </row>
    <row r="3659" spans="1:8">
      <c r="A3659">
        <v>737616</v>
      </c>
      <c r="B3659" t="s">
        <v>916</v>
      </c>
      <c r="C3659">
        <v>15</v>
      </c>
      <c r="D3659">
        <v>12.6351417849461</v>
      </c>
      <c r="E3659">
        <v>189.527126774192</v>
      </c>
      <c r="F3659">
        <v>0.63496482449870195</v>
      </c>
      <c r="G3659">
        <v>0.86242052593958096</v>
      </c>
      <c r="H3659" t="str">
        <f t="shared" si="57"/>
        <v>Q3</v>
      </c>
    </row>
    <row r="3660" spans="1:8">
      <c r="A3660">
        <v>751387</v>
      </c>
      <c r="B3660" t="s">
        <v>3119</v>
      </c>
      <c r="C3660">
        <v>57</v>
      </c>
      <c r="D3660">
        <v>3.3217662226474101</v>
      </c>
      <c r="E3660">
        <v>189.34067469090201</v>
      </c>
      <c r="F3660">
        <v>0.851849065121703</v>
      </c>
      <c r="G3660">
        <v>0.86238290508257798</v>
      </c>
      <c r="H3660" t="str">
        <f t="shared" si="57"/>
        <v>Q4</v>
      </c>
    </row>
    <row r="3661" spans="1:8">
      <c r="A3661">
        <v>708443</v>
      </c>
      <c r="B3661" t="s">
        <v>1634</v>
      </c>
      <c r="C3661">
        <v>159</v>
      </c>
      <c r="D3661">
        <v>1.19082183319396</v>
      </c>
      <c r="E3661">
        <v>189.34067147783901</v>
      </c>
      <c r="F3661">
        <v>0.94597644934351599</v>
      </c>
      <c r="G3661">
        <v>0.86234528422557499</v>
      </c>
      <c r="H3661" t="str">
        <f t="shared" si="57"/>
        <v>Q4</v>
      </c>
    </row>
    <row r="3662" spans="1:8">
      <c r="A3662">
        <v>738593</v>
      </c>
      <c r="B3662" t="s">
        <v>405</v>
      </c>
      <c r="C3662">
        <v>59</v>
      </c>
      <c r="D3662">
        <v>3.20764145955948</v>
      </c>
      <c r="E3662">
        <v>189.25084611400999</v>
      </c>
      <c r="F3662">
        <v>0.85617546367706299</v>
      </c>
      <c r="G3662">
        <v>0.86230766336857201</v>
      </c>
      <c r="H3662" t="str">
        <f t="shared" si="57"/>
        <v>Q4</v>
      </c>
    </row>
    <row r="3663" spans="1:8">
      <c r="A3663">
        <v>749509</v>
      </c>
      <c r="B3663" t="s">
        <v>3070</v>
      </c>
      <c r="C3663">
        <v>77</v>
      </c>
      <c r="D3663">
        <v>2.4577371860769701</v>
      </c>
      <c r="E3663">
        <v>189.245763327926</v>
      </c>
      <c r="F3663">
        <v>0.88740077498965397</v>
      </c>
      <c r="G3663">
        <v>0.86227004251156802</v>
      </c>
      <c r="H3663" t="str">
        <f t="shared" si="57"/>
        <v>Q4</v>
      </c>
    </row>
    <row r="3664" spans="1:8">
      <c r="A3664">
        <v>608155</v>
      </c>
      <c r="B3664" t="s">
        <v>3971</v>
      </c>
      <c r="C3664">
        <v>51</v>
      </c>
      <c r="D3664">
        <v>3.7102692340518901</v>
      </c>
      <c r="E3664">
        <v>189.22373093664601</v>
      </c>
      <c r="F3664">
        <v>0.83762838117452298</v>
      </c>
      <c r="G3664">
        <v>0.86223242165456504</v>
      </c>
      <c r="H3664" t="str">
        <f t="shared" si="57"/>
        <v>Q4</v>
      </c>
    </row>
    <row r="3665" spans="1:8">
      <c r="A3665">
        <v>765926</v>
      </c>
      <c r="B3665" t="s">
        <v>1923</v>
      </c>
      <c r="C3665">
        <v>57</v>
      </c>
      <c r="D3665">
        <v>3.3187034703268301</v>
      </c>
      <c r="E3665">
        <v>189.16609780862899</v>
      </c>
      <c r="F3665">
        <v>0.851849065121703</v>
      </c>
      <c r="G3665">
        <v>0.86219480079756206</v>
      </c>
      <c r="H3665" t="str">
        <f t="shared" si="57"/>
        <v>Q4</v>
      </c>
    </row>
    <row r="3666" spans="1:8">
      <c r="A3666">
        <v>726380</v>
      </c>
      <c r="B3666" t="s">
        <v>3314</v>
      </c>
      <c r="C3666">
        <v>24</v>
      </c>
      <c r="D3666">
        <v>7.8814266521173204</v>
      </c>
      <c r="E3666">
        <v>189.15423965081601</v>
      </c>
      <c r="F3666">
        <v>0.72284714645799597</v>
      </c>
      <c r="G3666">
        <v>0.86215717994055896</v>
      </c>
      <c r="H3666" t="str">
        <f t="shared" si="57"/>
        <v>Q3</v>
      </c>
    </row>
    <row r="3667" spans="1:8">
      <c r="A3667">
        <v>758391</v>
      </c>
      <c r="B3667" t="s">
        <v>682</v>
      </c>
      <c r="C3667">
        <v>56</v>
      </c>
      <c r="D3667">
        <v>3.3774818476688599</v>
      </c>
      <c r="E3667">
        <v>189.13898346945601</v>
      </c>
      <c r="F3667">
        <v>0.85004326398555397</v>
      </c>
      <c r="G3667">
        <v>0.86211955908355598</v>
      </c>
      <c r="H3667" t="str">
        <f t="shared" si="57"/>
        <v>Q4</v>
      </c>
    </row>
    <row r="3668" spans="1:8">
      <c r="A3668">
        <v>785575</v>
      </c>
      <c r="B3668" t="s">
        <v>124</v>
      </c>
      <c r="C3668">
        <v>33</v>
      </c>
      <c r="D3668">
        <v>5.7307652903325597</v>
      </c>
      <c r="E3668">
        <v>189.11525458097501</v>
      </c>
      <c r="F3668">
        <v>0.77551634626236798</v>
      </c>
      <c r="G3668">
        <v>0.86208193822655299</v>
      </c>
      <c r="H3668" t="str">
        <f t="shared" si="57"/>
        <v>Q3</v>
      </c>
    </row>
    <row r="3669" spans="1:8">
      <c r="A3669">
        <v>804617</v>
      </c>
      <c r="B3669" t="s">
        <v>4976</v>
      </c>
      <c r="C3669">
        <v>17</v>
      </c>
      <c r="D3669">
        <v>11.1165502930389</v>
      </c>
      <c r="E3669">
        <v>188.98135498166101</v>
      </c>
      <c r="F3669">
        <v>0.65926789812271902</v>
      </c>
      <c r="G3669">
        <v>0.86204431736955001</v>
      </c>
      <c r="H3669" t="str">
        <f t="shared" si="57"/>
        <v>Q3</v>
      </c>
    </row>
    <row r="3670" spans="1:8">
      <c r="A3670">
        <v>810594</v>
      </c>
      <c r="B3670" t="s">
        <v>3359</v>
      </c>
      <c r="C3670">
        <v>24</v>
      </c>
      <c r="D3670">
        <v>7.8729519930978604</v>
      </c>
      <c r="E3670">
        <v>188.95084783434899</v>
      </c>
      <c r="F3670">
        <v>0.72284714645799597</v>
      </c>
      <c r="G3670">
        <v>0.86200669651254702</v>
      </c>
      <c r="H3670" t="str">
        <f t="shared" si="57"/>
        <v>Q3</v>
      </c>
    </row>
    <row r="3671" spans="1:8">
      <c r="A3671">
        <v>766156</v>
      </c>
      <c r="B3671" t="s">
        <v>5228</v>
      </c>
      <c r="C3671">
        <v>38</v>
      </c>
      <c r="D3671">
        <v>4.9723016196175598</v>
      </c>
      <c r="E3671">
        <v>188.94746154546701</v>
      </c>
      <c r="F3671">
        <v>0.79696023475414801</v>
      </c>
      <c r="G3671">
        <v>0.86196907565554304</v>
      </c>
      <c r="H3671" t="str">
        <f t="shared" si="57"/>
        <v>Q3</v>
      </c>
    </row>
    <row r="3672" spans="1:8">
      <c r="A3672">
        <v>720653</v>
      </c>
      <c r="B3672" t="s">
        <v>894</v>
      </c>
      <c r="C3672">
        <v>48</v>
      </c>
      <c r="D3672">
        <v>3.9359816699288799</v>
      </c>
      <c r="E3672">
        <v>188.927120156586</v>
      </c>
      <c r="F3672">
        <v>0.82957751777585498</v>
      </c>
      <c r="G3672">
        <v>0.86193145479854005</v>
      </c>
      <c r="H3672" t="str">
        <f t="shared" si="57"/>
        <v>Q4</v>
      </c>
    </row>
    <row r="3673" spans="1:8">
      <c r="A3673">
        <v>654863</v>
      </c>
      <c r="B3673" t="s">
        <v>783</v>
      </c>
      <c r="C3673">
        <v>20</v>
      </c>
      <c r="D3673">
        <v>9.4411017745733297</v>
      </c>
      <c r="E3673">
        <v>188.82203549146701</v>
      </c>
      <c r="F3673">
        <v>0.69196042285843296</v>
      </c>
      <c r="G3673">
        <v>0.86189383394153696</v>
      </c>
      <c r="H3673" t="str">
        <f t="shared" si="57"/>
        <v>Q3</v>
      </c>
    </row>
    <row r="3674" spans="1:8">
      <c r="A3674">
        <v>708098</v>
      </c>
      <c r="B3674" t="s">
        <v>298</v>
      </c>
      <c r="C3674">
        <v>85</v>
      </c>
      <c r="D3674">
        <v>2.2213359472944498</v>
      </c>
      <c r="E3674">
        <v>188.81355552002799</v>
      </c>
      <c r="F3674">
        <v>0.89721981866746903</v>
      </c>
      <c r="G3674">
        <v>0.86185621308453397</v>
      </c>
      <c r="H3674" t="str">
        <f t="shared" si="57"/>
        <v>Q4</v>
      </c>
    </row>
    <row r="3675" spans="1:8">
      <c r="A3675">
        <v>631590</v>
      </c>
      <c r="B3675" t="s">
        <v>663</v>
      </c>
      <c r="C3675">
        <v>78</v>
      </c>
      <c r="D3675">
        <v>2.4200781797751398</v>
      </c>
      <c r="E3675">
        <v>188.76609802246099</v>
      </c>
      <c r="F3675">
        <v>0.88867988412776</v>
      </c>
      <c r="G3675">
        <v>0.86181859222753099</v>
      </c>
      <c r="H3675" t="str">
        <f t="shared" si="57"/>
        <v>Q4</v>
      </c>
    </row>
    <row r="3676" spans="1:8">
      <c r="A3676">
        <v>676512</v>
      </c>
      <c r="B3676" t="s">
        <v>2797</v>
      </c>
      <c r="C3676">
        <v>47</v>
      </c>
      <c r="D3676">
        <v>4.0147133330081397</v>
      </c>
      <c r="E3676">
        <v>188.69152665138199</v>
      </c>
      <c r="F3676">
        <v>0.82641736578759295</v>
      </c>
      <c r="G3676">
        <v>0.861780971370528</v>
      </c>
      <c r="H3676" t="str">
        <f t="shared" si="57"/>
        <v>Q4</v>
      </c>
    </row>
    <row r="3677" spans="1:8">
      <c r="A3677">
        <v>686564</v>
      </c>
      <c r="B3677" t="s">
        <v>3663</v>
      </c>
      <c r="C3677">
        <v>59</v>
      </c>
      <c r="D3677">
        <v>3.19683991404156</v>
      </c>
      <c r="E3677">
        <v>188.613554928452</v>
      </c>
      <c r="F3677">
        <v>0.85617546367706299</v>
      </c>
      <c r="G3677">
        <v>0.86174335051352502</v>
      </c>
      <c r="H3677" t="str">
        <f t="shared" si="57"/>
        <v>Q4</v>
      </c>
    </row>
    <row r="3678" spans="1:8">
      <c r="A3678">
        <v>739239</v>
      </c>
      <c r="B3678" t="s">
        <v>3941</v>
      </c>
      <c r="C3678">
        <v>59</v>
      </c>
      <c r="D3678">
        <v>3.1966962962079899</v>
      </c>
      <c r="E3678">
        <v>188.60508147627101</v>
      </c>
      <c r="F3678">
        <v>0.85617546367706299</v>
      </c>
      <c r="G3678">
        <v>0.86170572965652203</v>
      </c>
      <c r="H3678" t="str">
        <f t="shared" si="57"/>
        <v>Q4</v>
      </c>
    </row>
    <row r="3679" spans="1:8">
      <c r="A3679">
        <v>720650</v>
      </c>
      <c r="B3679" t="s">
        <v>3588</v>
      </c>
      <c r="C3679">
        <v>20</v>
      </c>
      <c r="D3679">
        <v>9.4272882677614707</v>
      </c>
      <c r="E3679">
        <v>188.54576535522901</v>
      </c>
      <c r="F3679">
        <v>0.69196042285843296</v>
      </c>
      <c r="G3679">
        <v>0.86166810879951805</v>
      </c>
      <c r="H3679" t="str">
        <f t="shared" si="57"/>
        <v>Q3</v>
      </c>
    </row>
    <row r="3680" spans="1:8">
      <c r="A3680">
        <v>734640</v>
      </c>
      <c r="B3680" t="s">
        <v>2552</v>
      </c>
      <c r="C3680">
        <v>63</v>
      </c>
      <c r="D3680">
        <v>2.9923862888522099</v>
      </c>
      <c r="E3680">
        <v>188.52033619768901</v>
      </c>
      <c r="F3680">
        <v>0.86445205221775001</v>
      </c>
      <c r="G3680">
        <v>0.86163048794251496</v>
      </c>
      <c r="H3680" t="str">
        <f t="shared" si="57"/>
        <v>Q4</v>
      </c>
    </row>
    <row r="3681" spans="1:8">
      <c r="A3681">
        <v>697493</v>
      </c>
      <c r="B3681" t="s">
        <v>3713</v>
      </c>
      <c r="C3681">
        <v>32</v>
      </c>
      <c r="D3681">
        <v>5.8911018539220104</v>
      </c>
      <c r="E3681">
        <v>188.51525932550399</v>
      </c>
      <c r="F3681">
        <v>0.77096422256498998</v>
      </c>
      <c r="G3681">
        <v>0.86159286708551197</v>
      </c>
      <c r="H3681" t="str">
        <f t="shared" si="57"/>
        <v>Q3</v>
      </c>
    </row>
    <row r="3682" spans="1:8">
      <c r="A3682">
        <v>636902</v>
      </c>
      <c r="B3682" t="s">
        <v>2942</v>
      </c>
      <c r="C3682">
        <v>54</v>
      </c>
      <c r="D3682">
        <v>3.4904268742711499</v>
      </c>
      <c r="E3682">
        <v>188.483051210642</v>
      </c>
      <c r="F3682">
        <v>0.84515255257514799</v>
      </c>
      <c r="G3682">
        <v>0.86155524622850899</v>
      </c>
      <c r="H3682" t="str">
        <f t="shared" si="57"/>
        <v>Q4</v>
      </c>
    </row>
    <row r="3683" spans="1:8">
      <c r="A3683">
        <v>522918</v>
      </c>
      <c r="B3683" t="s">
        <v>2731</v>
      </c>
      <c r="C3683">
        <v>143</v>
      </c>
      <c r="D3683">
        <v>1.3180514198395801</v>
      </c>
      <c r="E3683">
        <v>188.48135303705899</v>
      </c>
      <c r="F3683">
        <v>0.940032353937023</v>
      </c>
      <c r="G3683">
        <v>0.861517625371506</v>
      </c>
      <c r="H3683" t="str">
        <f t="shared" si="57"/>
        <v>Q4</v>
      </c>
    </row>
    <row r="3684" spans="1:8">
      <c r="A3684">
        <v>754238</v>
      </c>
      <c r="B3684" t="s">
        <v>2478</v>
      </c>
      <c r="C3684">
        <v>57</v>
      </c>
      <c r="D3684">
        <v>3.3054117766911499</v>
      </c>
      <c r="E3684">
        <v>188.408471271396</v>
      </c>
      <c r="F3684">
        <v>0.851849065121703</v>
      </c>
      <c r="G3684">
        <v>0.86148000451450302</v>
      </c>
      <c r="H3684" t="str">
        <f t="shared" si="57"/>
        <v>Q4</v>
      </c>
    </row>
    <row r="3685" spans="1:8">
      <c r="A3685">
        <v>589764</v>
      </c>
      <c r="B3685" t="s">
        <v>2444</v>
      </c>
      <c r="C3685">
        <v>137</v>
      </c>
      <c r="D3685">
        <v>1.3750958841049301</v>
      </c>
      <c r="E3685">
        <v>188.38813612237601</v>
      </c>
      <c r="F3685">
        <v>0.93687220194875998</v>
      </c>
      <c r="G3685">
        <v>0.86144238365750003</v>
      </c>
      <c r="H3685" t="str">
        <f t="shared" si="57"/>
        <v>Q4</v>
      </c>
    </row>
    <row r="3686" spans="1:8">
      <c r="A3686">
        <v>762235</v>
      </c>
      <c r="B3686" t="s">
        <v>3028</v>
      </c>
      <c r="C3686">
        <v>66</v>
      </c>
      <c r="D3686">
        <v>2.8543142771179002</v>
      </c>
      <c r="E3686">
        <v>188.384742289782</v>
      </c>
      <c r="F3686">
        <v>0.86968135134118396</v>
      </c>
      <c r="G3686">
        <v>0.86140476280049705</v>
      </c>
      <c r="H3686" t="str">
        <f t="shared" si="57"/>
        <v>Q4</v>
      </c>
    </row>
    <row r="3687" spans="1:8">
      <c r="A3687">
        <v>557599</v>
      </c>
      <c r="B3687" t="s">
        <v>4228</v>
      </c>
      <c r="C3687">
        <v>116</v>
      </c>
      <c r="D3687">
        <v>1.62355341659538</v>
      </c>
      <c r="E3687">
        <v>188.33219632506399</v>
      </c>
      <c r="F3687">
        <v>0.924720665136752</v>
      </c>
      <c r="G3687">
        <v>0.86136714194349395</v>
      </c>
      <c r="H3687" t="str">
        <f t="shared" si="57"/>
        <v>Q4</v>
      </c>
    </row>
    <row r="3688" spans="1:8">
      <c r="A3688">
        <v>452511</v>
      </c>
      <c r="B3688" t="s">
        <v>1052</v>
      </c>
      <c r="C3688">
        <v>165</v>
      </c>
      <c r="D3688">
        <v>1.14034927379566</v>
      </c>
      <c r="E3688">
        <v>188.15763017628299</v>
      </c>
      <c r="F3688">
        <v>0.948384184191716</v>
      </c>
      <c r="G3688">
        <v>0.86132952108648997</v>
      </c>
      <c r="H3688" t="str">
        <f t="shared" si="57"/>
        <v>Q4</v>
      </c>
    </row>
    <row r="3689" spans="1:8">
      <c r="A3689">
        <v>750062</v>
      </c>
      <c r="B3689" t="s">
        <v>1525</v>
      </c>
      <c r="C3689">
        <v>33</v>
      </c>
      <c r="D3689">
        <v>5.70159218076504</v>
      </c>
      <c r="E3689">
        <v>188.152541965246</v>
      </c>
      <c r="F3689">
        <v>0.77551634626236798</v>
      </c>
      <c r="G3689">
        <v>0.86129190022948698</v>
      </c>
      <c r="H3689" t="str">
        <f t="shared" si="57"/>
        <v>Q3</v>
      </c>
    </row>
    <row r="3690" spans="1:8">
      <c r="A3690">
        <v>700345</v>
      </c>
      <c r="B3690" t="s">
        <v>1736</v>
      </c>
      <c r="C3690">
        <v>40</v>
      </c>
      <c r="D3690">
        <v>4.7024153545498804</v>
      </c>
      <c r="E3690">
        <v>188.09661418199499</v>
      </c>
      <c r="F3690">
        <v>0.804522027011775</v>
      </c>
      <c r="G3690">
        <v>0.861254279372484</v>
      </c>
      <c r="H3690" t="str">
        <f t="shared" si="57"/>
        <v>Q4</v>
      </c>
    </row>
    <row r="3691" spans="1:8">
      <c r="A3691">
        <v>628978</v>
      </c>
      <c r="B3691" t="s">
        <v>4787</v>
      </c>
      <c r="C3691">
        <v>26</v>
      </c>
      <c r="D3691">
        <v>7.2343546324051298</v>
      </c>
      <c r="E3691">
        <v>188.09322044253301</v>
      </c>
      <c r="F3691">
        <v>0.73706783040517698</v>
      </c>
      <c r="G3691">
        <v>0.86121665851548102</v>
      </c>
      <c r="H3691" t="str">
        <f t="shared" si="57"/>
        <v>Q3</v>
      </c>
    </row>
    <row r="3692" spans="1:8">
      <c r="A3692">
        <v>651845</v>
      </c>
      <c r="B3692" t="s">
        <v>579</v>
      </c>
      <c r="C3692">
        <v>26</v>
      </c>
      <c r="D3692">
        <v>7.2340284832395003</v>
      </c>
      <c r="E3692">
        <v>188.08474056422699</v>
      </c>
      <c r="F3692">
        <v>0.73706783040517698</v>
      </c>
      <c r="G3692">
        <v>0.86117903765847803</v>
      </c>
      <c r="H3692" t="str">
        <f t="shared" si="57"/>
        <v>Q3</v>
      </c>
    </row>
    <row r="3693" spans="1:8">
      <c r="A3693">
        <v>742115</v>
      </c>
      <c r="B3693" t="s">
        <v>4275</v>
      </c>
      <c r="C3693">
        <v>118</v>
      </c>
      <c r="D3693">
        <v>1.59350754337985</v>
      </c>
      <c r="E3693">
        <v>188.033890118822</v>
      </c>
      <c r="F3693">
        <v>0.92592453256085205</v>
      </c>
      <c r="G3693">
        <v>0.86114141680147505</v>
      </c>
      <c r="H3693" t="str">
        <f t="shared" si="57"/>
        <v>Q4</v>
      </c>
    </row>
    <row r="3694" spans="1:8">
      <c r="A3694">
        <v>640467</v>
      </c>
      <c r="B3694" t="s">
        <v>3433</v>
      </c>
      <c r="C3694">
        <v>83</v>
      </c>
      <c r="D3694">
        <v>2.26448841886707</v>
      </c>
      <c r="E3694">
        <v>187.95253876596701</v>
      </c>
      <c r="F3694">
        <v>0.89530115496031004</v>
      </c>
      <c r="G3694">
        <v>0.86110379594447195</v>
      </c>
      <c r="H3694" t="str">
        <f t="shared" si="57"/>
        <v>Q4</v>
      </c>
    </row>
    <row r="3695" spans="1:8">
      <c r="A3695">
        <v>456163</v>
      </c>
      <c r="B3695" t="s">
        <v>5206</v>
      </c>
      <c r="C3695">
        <v>69</v>
      </c>
      <c r="D3695">
        <v>2.7229181436848799</v>
      </c>
      <c r="E3695">
        <v>187.88135191425701</v>
      </c>
      <c r="F3695">
        <v>0.87393250818253598</v>
      </c>
      <c r="G3695">
        <v>0.86106617508746897</v>
      </c>
      <c r="H3695" t="str">
        <f t="shared" si="57"/>
        <v>Q4</v>
      </c>
    </row>
    <row r="3696" spans="1:8">
      <c r="A3696">
        <v>791120</v>
      </c>
      <c r="B3696" t="s">
        <v>2808</v>
      </c>
      <c r="C3696">
        <v>39</v>
      </c>
      <c r="D3696">
        <v>4.8154716117259797</v>
      </c>
      <c r="E3696">
        <v>187.80339285731301</v>
      </c>
      <c r="F3696">
        <v>0.80087280388247195</v>
      </c>
      <c r="G3696">
        <v>0.86102855423046498</v>
      </c>
      <c r="H3696" t="str">
        <f t="shared" si="57"/>
        <v>Q4</v>
      </c>
    </row>
    <row r="3697" spans="1:8">
      <c r="A3697">
        <v>713714</v>
      </c>
      <c r="B3697" t="s">
        <v>2789</v>
      </c>
      <c r="C3697">
        <v>23</v>
      </c>
      <c r="D3697">
        <v>8.1643331633961704</v>
      </c>
      <c r="E3697">
        <v>187.77966275811201</v>
      </c>
      <c r="F3697">
        <v>0.71547345848538402</v>
      </c>
      <c r="G3697">
        <v>0.860990933373462</v>
      </c>
      <c r="H3697" t="str">
        <f t="shared" si="57"/>
        <v>Q3</v>
      </c>
    </row>
    <row r="3698" spans="1:8">
      <c r="A3698">
        <v>803420</v>
      </c>
      <c r="B3698" t="s">
        <v>1382</v>
      </c>
      <c r="C3698">
        <v>66</v>
      </c>
      <c r="D3698">
        <v>2.84242425678354</v>
      </c>
      <c r="E3698">
        <v>187.60000094771399</v>
      </c>
      <c r="F3698">
        <v>0.86968135134118396</v>
      </c>
      <c r="G3698">
        <v>0.86095331251645901</v>
      </c>
      <c r="H3698" t="str">
        <f t="shared" si="57"/>
        <v>Q4</v>
      </c>
    </row>
    <row r="3699" spans="1:8">
      <c r="A3699">
        <v>784922</v>
      </c>
      <c r="B3699" t="s">
        <v>2318</v>
      </c>
      <c r="C3699">
        <v>55</v>
      </c>
      <c r="D3699">
        <v>3.41063173318451</v>
      </c>
      <c r="E3699">
        <v>187.58474532514799</v>
      </c>
      <c r="F3699">
        <v>0.84763552913735396</v>
      </c>
      <c r="G3699">
        <v>0.86091569165945603</v>
      </c>
      <c r="H3699" t="str">
        <f t="shared" si="57"/>
        <v>Q4</v>
      </c>
    </row>
    <row r="3700" spans="1:8">
      <c r="A3700">
        <v>798602</v>
      </c>
      <c r="B3700" t="s">
        <v>3162</v>
      </c>
      <c r="C3700">
        <v>33</v>
      </c>
      <c r="D3700">
        <v>5.6802261282097204</v>
      </c>
      <c r="E3700">
        <v>187.44746223092099</v>
      </c>
      <c r="F3700">
        <v>0.77551634626236798</v>
      </c>
      <c r="G3700">
        <v>0.86087807080245304</v>
      </c>
      <c r="H3700" t="str">
        <f t="shared" si="57"/>
        <v>Q3</v>
      </c>
    </row>
    <row r="3701" spans="1:8">
      <c r="A3701">
        <v>634727</v>
      </c>
      <c r="B3701" t="s">
        <v>1798</v>
      </c>
      <c r="C3701">
        <v>54</v>
      </c>
      <c r="D3701">
        <v>3.4711550679747698</v>
      </c>
      <c r="E3701">
        <v>187.44237367063801</v>
      </c>
      <c r="F3701">
        <v>0.84515255257514799</v>
      </c>
      <c r="G3701">
        <v>0.86084044994544995</v>
      </c>
      <c r="H3701" t="str">
        <f t="shared" si="57"/>
        <v>Q4</v>
      </c>
    </row>
    <row r="3702" spans="1:8">
      <c r="A3702">
        <v>731836</v>
      </c>
      <c r="B3702" t="s">
        <v>4210</v>
      </c>
      <c r="C3702">
        <v>76</v>
      </c>
      <c r="D3702">
        <v>2.4662578123082501</v>
      </c>
      <c r="E3702">
        <v>187.43559373542701</v>
      </c>
      <c r="F3702">
        <v>0.88612166585154795</v>
      </c>
      <c r="G3702">
        <v>0.86080282908844696</v>
      </c>
      <c r="H3702" t="str">
        <f t="shared" si="57"/>
        <v>Q4</v>
      </c>
    </row>
    <row r="3703" spans="1:8">
      <c r="A3703">
        <v>759116</v>
      </c>
      <c r="B3703" t="s">
        <v>5218</v>
      </c>
      <c r="C3703">
        <v>29</v>
      </c>
      <c r="D3703">
        <v>6.4608416552173704</v>
      </c>
      <c r="E3703">
        <v>187.36440800130401</v>
      </c>
      <c r="F3703">
        <v>0.75501297919566601</v>
      </c>
      <c r="G3703">
        <v>0.86076520823144398</v>
      </c>
      <c r="H3703" t="str">
        <f t="shared" si="57"/>
        <v>Q3</v>
      </c>
    </row>
    <row r="3704" spans="1:8">
      <c r="A3704">
        <v>556260</v>
      </c>
      <c r="B3704" t="s">
        <v>4189</v>
      </c>
      <c r="C3704">
        <v>57</v>
      </c>
      <c r="D3704">
        <v>3.2812964726696898</v>
      </c>
      <c r="E3704">
        <v>187.03389894217301</v>
      </c>
      <c r="F3704">
        <v>0.851849065121703</v>
      </c>
      <c r="G3704">
        <v>0.86072758737444</v>
      </c>
      <c r="H3704" t="str">
        <f t="shared" si="57"/>
        <v>Q4</v>
      </c>
    </row>
    <row r="3705" spans="1:8">
      <c r="A3705">
        <v>699296</v>
      </c>
      <c r="B3705" t="s">
        <v>1359</v>
      </c>
      <c r="C3705">
        <v>64</v>
      </c>
      <c r="D3705">
        <v>2.92105404514587</v>
      </c>
      <c r="E3705">
        <v>186.947458889335</v>
      </c>
      <c r="F3705">
        <v>0.86633309506790601</v>
      </c>
      <c r="G3705">
        <v>0.86068996651743701</v>
      </c>
      <c r="H3705" t="str">
        <f t="shared" si="57"/>
        <v>Q4</v>
      </c>
    </row>
    <row r="3706" spans="1:8">
      <c r="A3706">
        <v>701129</v>
      </c>
      <c r="B3706" t="s">
        <v>5249</v>
      </c>
      <c r="C3706">
        <v>103</v>
      </c>
      <c r="D3706">
        <v>1.8146289196046199</v>
      </c>
      <c r="E3706">
        <v>186.90677871927599</v>
      </c>
      <c r="F3706">
        <v>0.91433730860388995</v>
      </c>
      <c r="G3706">
        <v>0.86065234566043403</v>
      </c>
      <c r="H3706" t="str">
        <f t="shared" si="57"/>
        <v>Q4</v>
      </c>
    </row>
    <row r="3707" spans="1:8">
      <c r="A3707">
        <v>798050</v>
      </c>
      <c r="B3707" t="s">
        <v>2843</v>
      </c>
      <c r="C3707">
        <v>44</v>
      </c>
      <c r="D3707">
        <v>4.2474191466515698</v>
      </c>
      <c r="E3707">
        <v>186.886442452669</v>
      </c>
      <c r="F3707">
        <v>0.817689326962868</v>
      </c>
      <c r="G3707">
        <v>0.86061472480343104</v>
      </c>
      <c r="H3707" t="str">
        <f t="shared" si="57"/>
        <v>Q4</v>
      </c>
    </row>
    <row r="3708" spans="1:8">
      <c r="A3708">
        <v>525500</v>
      </c>
      <c r="B3708" t="s">
        <v>3211</v>
      </c>
      <c r="C3708">
        <v>47</v>
      </c>
      <c r="D3708">
        <v>3.97450415457183</v>
      </c>
      <c r="E3708">
        <v>186.801695264876</v>
      </c>
      <c r="F3708">
        <v>0.82641736578759295</v>
      </c>
      <c r="G3708">
        <v>0.86057710394642795</v>
      </c>
      <c r="H3708" t="str">
        <f t="shared" si="57"/>
        <v>Q4</v>
      </c>
    </row>
    <row r="3709" spans="1:8">
      <c r="A3709">
        <v>522461</v>
      </c>
      <c r="B3709" t="s">
        <v>3905</v>
      </c>
      <c r="C3709">
        <v>63</v>
      </c>
      <c r="D3709">
        <v>2.9646757842292901</v>
      </c>
      <c r="E3709">
        <v>186.774574406445</v>
      </c>
      <c r="F3709">
        <v>0.86445205221775001</v>
      </c>
      <c r="G3709">
        <v>0.86053948308942496</v>
      </c>
      <c r="H3709" t="str">
        <f t="shared" si="57"/>
        <v>Q4</v>
      </c>
    </row>
    <row r="3710" spans="1:8">
      <c r="A3710">
        <v>756687</v>
      </c>
      <c r="B3710" t="s">
        <v>3897</v>
      </c>
      <c r="C3710">
        <v>82</v>
      </c>
      <c r="D3710">
        <v>2.27734602124589</v>
      </c>
      <c r="E3710">
        <v>186.74237374216301</v>
      </c>
      <c r="F3710">
        <v>0.894323012678229</v>
      </c>
      <c r="G3710">
        <v>0.86050186223242198</v>
      </c>
      <c r="H3710" t="str">
        <f t="shared" si="57"/>
        <v>Q4</v>
      </c>
    </row>
    <row r="3711" spans="1:8">
      <c r="A3711">
        <v>680671</v>
      </c>
      <c r="B3711" t="s">
        <v>2031</v>
      </c>
      <c r="C3711">
        <v>61</v>
      </c>
      <c r="D3711">
        <v>3.0612113885581498</v>
      </c>
      <c r="E3711">
        <v>186.733894702047</v>
      </c>
      <c r="F3711">
        <v>0.86035137880440904</v>
      </c>
      <c r="G3711">
        <v>0.86046424137541899</v>
      </c>
      <c r="H3711" t="str">
        <f t="shared" si="57"/>
        <v>Q4</v>
      </c>
    </row>
    <row r="3712" spans="1:8">
      <c r="A3712">
        <v>637280</v>
      </c>
      <c r="B3712" t="s">
        <v>937</v>
      </c>
      <c r="C3712">
        <v>69</v>
      </c>
      <c r="D3712">
        <v>2.7061900960794398</v>
      </c>
      <c r="E3712">
        <v>186.727116629481</v>
      </c>
      <c r="F3712">
        <v>0.87393250818253598</v>
      </c>
      <c r="G3712">
        <v>0.86042662051841501</v>
      </c>
      <c r="H3712" t="str">
        <f t="shared" si="57"/>
        <v>Q4</v>
      </c>
    </row>
    <row r="3713" spans="1:8">
      <c r="A3713">
        <v>669893</v>
      </c>
      <c r="B3713" t="s">
        <v>755</v>
      </c>
      <c r="C3713">
        <v>58</v>
      </c>
      <c r="D3713">
        <v>3.21884858261408</v>
      </c>
      <c r="E3713">
        <v>186.693217791617</v>
      </c>
      <c r="F3713">
        <v>0.853993453970881</v>
      </c>
      <c r="G3713">
        <v>0.86038899966141202</v>
      </c>
      <c r="H3713" t="str">
        <f t="shared" si="57"/>
        <v>Q4</v>
      </c>
    </row>
    <row r="3714" spans="1:8">
      <c r="A3714">
        <v>690734</v>
      </c>
      <c r="B3714" t="s">
        <v>3494</v>
      </c>
      <c r="C3714">
        <v>64</v>
      </c>
      <c r="D3714">
        <v>2.9167901986511402</v>
      </c>
      <c r="E3714">
        <v>186.674572713673</v>
      </c>
      <c r="F3714">
        <v>0.86633309506790601</v>
      </c>
      <c r="G3714">
        <v>0.86035137880440904</v>
      </c>
      <c r="H3714" t="str">
        <f t="shared" si="57"/>
        <v>Q4</v>
      </c>
    </row>
    <row r="3715" spans="1:8">
      <c r="A3715">
        <v>635222</v>
      </c>
      <c r="B3715" t="s">
        <v>3430</v>
      </c>
      <c r="C3715">
        <v>71</v>
      </c>
      <c r="D3715">
        <v>2.62878968078696</v>
      </c>
      <c r="E3715">
        <v>186.64406733587401</v>
      </c>
      <c r="F3715">
        <v>0.87799556073887397</v>
      </c>
      <c r="G3715">
        <v>0.86031375794740605</v>
      </c>
      <c r="H3715" t="str">
        <f t="shared" ref="H3715:H3778" si="58">IF(C3715&gt;$J$2,
   IF(D3715&gt;$J$3,"Q1","Q2"),
   IF(D3715&gt;$J$3,"Q3","Q4"))</f>
        <v>Q4</v>
      </c>
    </row>
    <row r="3716" spans="1:8">
      <c r="A3716">
        <v>777224</v>
      </c>
      <c r="B3716" t="s">
        <v>3166</v>
      </c>
      <c r="C3716">
        <v>38</v>
      </c>
      <c r="D3716">
        <v>4.9115968574034499</v>
      </c>
      <c r="E3716">
        <v>186.640680581331</v>
      </c>
      <c r="F3716">
        <v>0.79696023475414801</v>
      </c>
      <c r="G3716">
        <v>0.86027613709040296</v>
      </c>
      <c r="H3716" t="str">
        <f t="shared" si="58"/>
        <v>Q3</v>
      </c>
    </row>
    <row r="3717" spans="1:8">
      <c r="A3717">
        <v>816832</v>
      </c>
      <c r="B3717" t="s">
        <v>868</v>
      </c>
      <c r="C3717">
        <v>78</v>
      </c>
      <c r="D3717">
        <v>2.3918731042589898</v>
      </c>
      <c r="E3717">
        <v>186.566102132201</v>
      </c>
      <c r="F3717">
        <v>0.88867988412776</v>
      </c>
      <c r="G3717">
        <v>0.86023851623339997</v>
      </c>
      <c r="H3717" t="str">
        <f t="shared" si="58"/>
        <v>Q4</v>
      </c>
    </row>
    <row r="3718" spans="1:8">
      <c r="A3718">
        <v>757740</v>
      </c>
      <c r="B3718" t="s">
        <v>1075</v>
      </c>
      <c r="C3718">
        <v>77</v>
      </c>
      <c r="D3718">
        <v>2.42289236395971</v>
      </c>
      <c r="E3718">
        <v>186.562712024897</v>
      </c>
      <c r="F3718">
        <v>0.88740077498965397</v>
      </c>
      <c r="G3718">
        <v>0.86020089537639699</v>
      </c>
      <c r="H3718" t="str">
        <f t="shared" si="58"/>
        <v>Q4</v>
      </c>
    </row>
    <row r="3719" spans="1:8">
      <c r="A3719">
        <v>777737</v>
      </c>
      <c r="B3719" t="s">
        <v>2904</v>
      </c>
      <c r="C3719">
        <v>47</v>
      </c>
      <c r="D3719">
        <v>3.9650559029046502</v>
      </c>
      <c r="E3719">
        <v>186.35762743651901</v>
      </c>
      <c r="F3719">
        <v>0.82641736578759295</v>
      </c>
      <c r="G3719">
        <v>0.86016327451939401</v>
      </c>
      <c r="H3719" t="str">
        <f t="shared" si="58"/>
        <v>Q4</v>
      </c>
    </row>
    <row r="3720" spans="1:8">
      <c r="A3720">
        <v>766402</v>
      </c>
      <c r="B3720" t="s">
        <v>2658</v>
      </c>
      <c r="C3720">
        <v>38</v>
      </c>
      <c r="D3720">
        <v>4.9003569017115396</v>
      </c>
      <c r="E3720">
        <v>186.21356226503801</v>
      </c>
      <c r="F3720">
        <v>0.79696023475414801</v>
      </c>
      <c r="G3720">
        <v>0.86012565366239002</v>
      </c>
      <c r="H3720" t="str">
        <f t="shared" si="58"/>
        <v>Q3</v>
      </c>
    </row>
    <row r="3721" spans="1:8">
      <c r="A3721">
        <v>783801</v>
      </c>
      <c r="B3721" t="s">
        <v>2689</v>
      </c>
      <c r="C3721">
        <v>28</v>
      </c>
      <c r="D3721">
        <v>6.6504843533039102</v>
      </c>
      <c r="E3721">
        <v>186.21356189250901</v>
      </c>
      <c r="F3721">
        <v>0.74974605921522897</v>
      </c>
      <c r="G3721">
        <v>0.86008803280538704</v>
      </c>
      <c r="H3721" t="str">
        <f t="shared" si="58"/>
        <v>Q3</v>
      </c>
    </row>
    <row r="3722" spans="1:8">
      <c r="A3722">
        <v>790880</v>
      </c>
      <c r="B3722" t="s">
        <v>1025</v>
      </c>
      <c r="C3722">
        <v>45</v>
      </c>
      <c r="D3722">
        <v>4.1364971796671597</v>
      </c>
      <c r="E3722">
        <v>186.142373085022</v>
      </c>
      <c r="F3722">
        <v>0.82069899552311798</v>
      </c>
      <c r="G3722">
        <v>0.86005041194838405</v>
      </c>
      <c r="H3722" t="str">
        <f t="shared" si="58"/>
        <v>Q4</v>
      </c>
    </row>
    <row r="3723" spans="1:8">
      <c r="A3723">
        <v>707167</v>
      </c>
      <c r="B3723" t="s">
        <v>3473</v>
      </c>
      <c r="C3723">
        <v>37</v>
      </c>
      <c r="D3723">
        <v>5.0307376159204003</v>
      </c>
      <c r="E3723">
        <v>186.13729178905501</v>
      </c>
      <c r="F3723">
        <v>0.79304766562582296</v>
      </c>
      <c r="G3723">
        <v>0.86001279109138096</v>
      </c>
      <c r="H3723" t="str">
        <f t="shared" si="58"/>
        <v>Q3</v>
      </c>
    </row>
    <row r="3724" spans="1:8">
      <c r="A3724">
        <v>765086</v>
      </c>
      <c r="B3724" t="s">
        <v>1206</v>
      </c>
      <c r="C3724">
        <v>117</v>
      </c>
      <c r="D3724">
        <v>1.5906706659330301</v>
      </c>
      <c r="E3724">
        <v>186.10846791416401</v>
      </c>
      <c r="F3724">
        <v>0.925247357134796</v>
      </c>
      <c r="G3724">
        <v>0.85997517023437797</v>
      </c>
      <c r="H3724" t="str">
        <f t="shared" si="58"/>
        <v>Q4</v>
      </c>
    </row>
    <row r="3725" spans="1:8">
      <c r="A3725">
        <v>736700</v>
      </c>
      <c r="B3725" t="s">
        <v>5213</v>
      </c>
      <c r="C3725">
        <v>94</v>
      </c>
      <c r="D3725">
        <v>1.9794626716286601</v>
      </c>
      <c r="E3725">
        <v>186.069491133094</v>
      </c>
      <c r="F3725">
        <v>0.906700274632256</v>
      </c>
      <c r="G3725">
        <v>0.85993754937737499</v>
      </c>
      <c r="H3725" t="str">
        <f t="shared" si="58"/>
        <v>Q4</v>
      </c>
    </row>
    <row r="3726" spans="1:8">
      <c r="A3726">
        <v>820601</v>
      </c>
      <c r="B3726" t="s">
        <v>1239</v>
      </c>
      <c r="C3726">
        <v>59</v>
      </c>
      <c r="D3726">
        <v>3.1531456131803801</v>
      </c>
      <c r="E3726">
        <v>186.035591177642</v>
      </c>
      <c r="F3726">
        <v>0.85617546367706299</v>
      </c>
      <c r="G3726">
        <v>0.859899928520372</v>
      </c>
      <c r="H3726" t="str">
        <f t="shared" si="58"/>
        <v>Q4</v>
      </c>
    </row>
    <row r="3727" spans="1:8">
      <c r="A3727">
        <v>768947</v>
      </c>
      <c r="B3727" t="s">
        <v>2767</v>
      </c>
      <c r="C3727">
        <v>80</v>
      </c>
      <c r="D3727">
        <v>2.3251483007334199</v>
      </c>
      <c r="E3727">
        <v>186.01186405867301</v>
      </c>
      <c r="F3727">
        <v>0.89150144840299494</v>
      </c>
      <c r="G3727">
        <v>0.85986230766336902</v>
      </c>
      <c r="H3727" t="str">
        <f t="shared" si="58"/>
        <v>Q4</v>
      </c>
    </row>
    <row r="3728" spans="1:8">
      <c r="A3728">
        <v>730741</v>
      </c>
      <c r="B3728" t="s">
        <v>1496</v>
      </c>
      <c r="C3728">
        <v>57</v>
      </c>
      <c r="D3728">
        <v>3.2628604782777901</v>
      </c>
      <c r="E3728">
        <v>185.983047261834</v>
      </c>
      <c r="F3728">
        <v>0.851849065121703</v>
      </c>
      <c r="G3728">
        <v>0.85982468680636503</v>
      </c>
      <c r="H3728" t="str">
        <f t="shared" si="58"/>
        <v>Q4</v>
      </c>
    </row>
    <row r="3729" spans="1:8">
      <c r="A3729">
        <v>699344</v>
      </c>
      <c r="B3729" t="s">
        <v>1096</v>
      </c>
      <c r="C3729">
        <v>86</v>
      </c>
      <c r="D3729">
        <v>2.1582774915407601</v>
      </c>
      <c r="E3729">
        <v>185.61186427250499</v>
      </c>
      <c r="F3729">
        <v>0.89864941123358799</v>
      </c>
      <c r="G3729">
        <v>0.85978706594936205</v>
      </c>
      <c r="H3729" t="str">
        <f t="shared" si="58"/>
        <v>Q4</v>
      </c>
    </row>
    <row r="3730" spans="1:8">
      <c r="A3730">
        <v>777040</v>
      </c>
      <c r="B3730" t="s">
        <v>3338</v>
      </c>
      <c r="C3730">
        <v>34</v>
      </c>
      <c r="D3730">
        <v>5.4533399203244404</v>
      </c>
      <c r="E3730">
        <v>185.413557291031</v>
      </c>
      <c r="F3730">
        <v>0.77969226138971404</v>
      </c>
      <c r="G3730">
        <v>0.85974944509235895</v>
      </c>
      <c r="H3730" t="str">
        <f t="shared" si="58"/>
        <v>Q3</v>
      </c>
    </row>
    <row r="3731" spans="1:8">
      <c r="A3731">
        <v>701153</v>
      </c>
      <c r="B3731" t="s">
        <v>3050</v>
      </c>
      <c r="C3731">
        <v>92</v>
      </c>
      <c r="D3731">
        <v>2.0136882885075802</v>
      </c>
      <c r="E3731">
        <v>185.25932254269699</v>
      </c>
      <c r="F3731">
        <v>0.90429253978405599</v>
      </c>
      <c r="G3731">
        <v>0.85971182423535597</v>
      </c>
      <c r="H3731" t="str">
        <f t="shared" si="58"/>
        <v>Q4</v>
      </c>
    </row>
    <row r="3732" spans="1:8">
      <c r="A3732">
        <v>700784</v>
      </c>
      <c r="B3732" t="s">
        <v>4873</v>
      </c>
      <c r="C3732">
        <v>91</v>
      </c>
      <c r="D3732">
        <v>2.0355000027588401</v>
      </c>
      <c r="E3732">
        <v>185.23050025105499</v>
      </c>
      <c r="F3732">
        <v>0.90350250178699099</v>
      </c>
      <c r="G3732">
        <v>0.85967420337835299</v>
      </c>
      <c r="H3732" t="str">
        <f t="shared" si="58"/>
        <v>Q4</v>
      </c>
    </row>
    <row r="3733" spans="1:8">
      <c r="A3733">
        <v>816578</v>
      </c>
      <c r="B3733" t="s">
        <v>5199</v>
      </c>
      <c r="C3733">
        <v>34</v>
      </c>
      <c r="D3733">
        <v>5.44581267544452</v>
      </c>
      <c r="E3733">
        <v>185.15763096511401</v>
      </c>
      <c r="F3733">
        <v>0.77969226138971404</v>
      </c>
      <c r="G3733">
        <v>0.85963658252135</v>
      </c>
      <c r="H3733" t="str">
        <f t="shared" si="58"/>
        <v>Q3</v>
      </c>
    </row>
    <row r="3734" spans="1:8">
      <c r="A3734">
        <v>743562</v>
      </c>
      <c r="B3734" t="s">
        <v>3317</v>
      </c>
      <c r="C3734">
        <v>91</v>
      </c>
      <c r="D3734">
        <v>2.0340286814454198</v>
      </c>
      <c r="E3734">
        <v>185.09661001153299</v>
      </c>
      <c r="F3734">
        <v>0.90350250178699099</v>
      </c>
      <c r="G3734">
        <v>0.85959896166434702</v>
      </c>
      <c r="H3734" t="str">
        <f t="shared" si="58"/>
        <v>Q4</v>
      </c>
    </row>
    <row r="3735" spans="1:8">
      <c r="A3735">
        <v>694291</v>
      </c>
      <c r="B3735" t="s">
        <v>1959</v>
      </c>
      <c r="C3735">
        <v>55</v>
      </c>
      <c r="D3735">
        <v>3.3647149767387998</v>
      </c>
      <c r="E3735">
        <v>185.05932372063401</v>
      </c>
      <c r="F3735">
        <v>0.84763552913735396</v>
      </c>
      <c r="G3735">
        <v>0.85956134080734403</v>
      </c>
      <c r="H3735" t="str">
        <f t="shared" si="58"/>
        <v>Q4</v>
      </c>
    </row>
    <row r="3736" spans="1:8">
      <c r="A3736">
        <v>742978</v>
      </c>
      <c r="B3736" t="s">
        <v>322</v>
      </c>
      <c r="C3736">
        <v>46</v>
      </c>
      <c r="D3736">
        <v>4.0225129088629803</v>
      </c>
      <c r="E3736">
        <v>185.03559380769701</v>
      </c>
      <c r="F3736">
        <v>0.82378390579737404</v>
      </c>
      <c r="G3736">
        <v>0.85952371995034005</v>
      </c>
      <c r="H3736" t="str">
        <f t="shared" si="58"/>
        <v>Q4</v>
      </c>
    </row>
    <row r="3737" spans="1:8">
      <c r="A3737">
        <v>694061</v>
      </c>
      <c r="B3737" t="s">
        <v>287</v>
      </c>
      <c r="C3737">
        <v>33</v>
      </c>
      <c r="D3737">
        <v>5.6063687541719602</v>
      </c>
      <c r="E3737">
        <v>185.01016888767501</v>
      </c>
      <c r="F3737">
        <v>0.77551634626236798</v>
      </c>
      <c r="G3737">
        <v>0.85948609909333695</v>
      </c>
      <c r="H3737" t="str">
        <f t="shared" si="58"/>
        <v>Q3</v>
      </c>
    </row>
    <row r="3738" spans="1:8">
      <c r="A3738">
        <v>762015</v>
      </c>
      <c r="B3738" t="s">
        <v>747</v>
      </c>
      <c r="C3738">
        <v>86</v>
      </c>
      <c r="D3738">
        <v>2.1512219135454602</v>
      </c>
      <c r="E3738">
        <v>185.005084564909</v>
      </c>
      <c r="F3738">
        <v>0.89864941123358799</v>
      </c>
      <c r="G3738">
        <v>0.85944847823633397</v>
      </c>
      <c r="H3738" t="str">
        <f t="shared" si="58"/>
        <v>Q4</v>
      </c>
    </row>
    <row r="3739" spans="1:8">
      <c r="A3739">
        <v>770350</v>
      </c>
      <c r="B3739" t="s">
        <v>3445</v>
      </c>
      <c r="C3739">
        <v>47</v>
      </c>
      <c r="D3739">
        <v>3.9309772960049001</v>
      </c>
      <c r="E3739">
        <v>184.75593291223001</v>
      </c>
      <c r="F3739">
        <v>0.82641736578759295</v>
      </c>
      <c r="G3739">
        <v>0.85941085737933098</v>
      </c>
      <c r="H3739" t="str">
        <f t="shared" si="58"/>
        <v>Q4</v>
      </c>
    </row>
    <row r="3740" spans="1:8">
      <c r="A3740">
        <v>693612</v>
      </c>
      <c r="B3740" t="s">
        <v>5131</v>
      </c>
      <c r="C3740">
        <v>69</v>
      </c>
      <c r="D3740">
        <v>2.6754605813302899</v>
      </c>
      <c r="E3740">
        <v>184.60678011178999</v>
      </c>
      <c r="F3740">
        <v>0.87393250818253598</v>
      </c>
      <c r="G3740">
        <v>0.859373236522328</v>
      </c>
      <c r="H3740" t="str">
        <f t="shared" si="58"/>
        <v>Q4</v>
      </c>
    </row>
    <row r="3741" spans="1:8">
      <c r="A3741">
        <v>695581</v>
      </c>
      <c r="B3741" t="s">
        <v>2092</v>
      </c>
      <c r="C3741">
        <v>73</v>
      </c>
      <c r="D3741">
        <v>2.5288135036571</v>
      </c>
      <c r="E3741">
        <v>184.60338576696799</v>
      </c>
      <c r="F3741">
        <v>0.88111809187013301</v>
      </c>
      <c r="G3741">
        <v>0.85933561566532501</v>
      </c>
      <c r="H3741" t="str">
        <f t="shared" si="58"/>
        <v>Q4</v>
      </c>
    </row>
    <row r="3742" spans="1:8">
      <c r="A3742">
        <v>791132</v>
      </c>
      <c r="B3742" t="s">
        <v>4584</v>
      </c>
      <c r="C3742">
        <v>36</v>
      </c>
      <c r="D3742">
        <v>5.1265066851758299</v>
      </c>
      <c r="E3742">
        <v>184.55424066633</v>
      </c>
      <c r="F3742">
        <v>0.78890937135547901</v>
      </c>
      <c r="G3742">
        <v>0.85929799480832203</v>
      </c>
      <c r="H3742" t="str">
        <f t="shared" si="58"/>
        <v>Q3</v>
      </c>
    </row>
    <row r="3743" spans="1:8">
      <c r="A3743">
        <v>674336</v>
      </c>
      <c r="B3743" t="s">
        <v>2458</v>
      </c>
      <c r="C3743">
        <v>103</v>
      </c>
      <c r="D3743">
        <v>1.7915912049379501</v>
      </c>
      <c r="E3743">
        <v>184.533894108608</v>
      </c>
      <c r="F3743">
        <v>0.91433730860388995</v>
      </c>
      <c r="G3743">
        <v>0.85926037395131905</v>
      </c>
      <c r="H3743" t="str">
        <f t="shared" si="58"/>
        <v>Q4</v>
      </c>
    </row>
    <row r="3744" spans="1:8">
      <c r="A3744">
        <v>784279</v>
      </c>
      <c r="B3744" t="s">
        <v>4354</v>
      </c>
      <c r="C3744">
        <v>8</v>
      </c>
      <c r="D3744">
        <v>23.040890134870999</v>
      </c>
      <c r="E3744">
        <v>184.32712107896799</v>
      </c>
      <c r="F3744">
        <v>0.49768631729430801</v>
      </c>
      <c r="G3744">
        <v>0.85922275309431595</v>
      </c>
      <c r="H3744" t="str">
        <f t="shared" si="58"/>
        <v>Q3</v>
      </c>
    </row>
    <row r="3745" spans="1:8">
      <c r="A3745">
        <v>766824</v>
      </c>
      <c r="B3745" t="s">
        <v>2757</v>
      </c>
      <c r="C3745">
        <v>45</v>
      </c>
      <c r="D3745">
        <v>4.0956308775477899</v>
      </c>
      <c r="E3745">
        <v>184.30338948965101</v>
      </c>
      <c r="F3745">
        <v>0.82069899552311798</v>
      </c>
      <c r="G3745">
        <v>0.85918513223731197</v>
      </c>
      <c r="H3745" t="str">
        <f t="shared" si="58"/>
        <v>Q4</v>
      </c>
    </row>
    <row r="3746" spans="1:8">
      <c r="A3746">
        <v>400296</v>
      </c>
      <c r="B3746" t="s">
        <v>1198</v>
      </c>
      <c r="C3746">
        <v>80</v>
      </c>
      <c r="D3746">
        <v>2.3037499783094999</v>
      </c>
      <c r="E3746">
        <v>184.29999826476001</v>
      </c>
      <c r="F3746">
        <v>0.89150144840299494</v>
      </c>
      <c r="G3746">
        <v>0.85914751138030898</v>
      </c>
      <c r="H3746" t="str">
        <f t="shared" si="58"/>
        <v>Q4</v>
      </c>
    </row>
    <row r="3747" spans="1:8">
      <c r="A3747">
        <v>652367</v>
      </c>
      <c r="B3747" t="s">
        <v>3644</v>
      </c>
      <c r="C3747">
        <v>119</v>
      </c>
      <c r="D3747">
        <v>1.54866825460511</v>
      </c>
      <c r="E3747">
        <v>184.291522298008</v>
      </c>
      <c r="F3747">
        <v>0.92667694970091397</v>
      </c>
      <c r="G3747">
        <v>0.859109890523306</v>
      </c>
      <c r="H3747" t="str">
        <f t="shared" si="58"/>
        <v>Q4</v>
      </c>
    </row>
    <row r="3748" spans="1:8">
      <c r="A3748">
        <v>620928</v>
      </c>
      <c r="B3748" t="s">
        <v>3814</v>
      </c>
      <c r="C3748">
        <v>90</v>
      </c>
      <c r="D3748">
        <v>2.0473822123474501</v>
      </c>
      <c r="E3748">
        <v>184.26439911127099</v>
      </c>
      <c r="F3748">
        <v>0.90267484293292199</v>
      </c>
      <c r="G3748">
        <v>0.85907226966630301</v>
      </c>
      <c r="H3748" t="str">
        <f t="shared" si="58"/>
        <v>Q4</v>
      </c>
    </row>
    <row r="3749" spans="1:8">
      <c r="A3749">
        <v>767570</v>
      </c>
      <c r="B3749" t="s">
        <v>2762</v>
      </c>
      <c r="C3749">
        <v>28</v>
      </c>
      <c r="D3749">
        <v>6.5801452313150701</v>
      </c>
      <c r="E3749">
        <v>184.24406647682201</v>
      </c>
      <c r="F3749">
        <v>0.74974605921522897</v>
      </c>
      <c r="G3749">
        <v>0.85903464880930003</v>
      </c>
      <c r="H3749" t="str">
        <f t="shared" si="58"/>
        <v>Q3</v>
      </c>
    </row>
    <row r="3750" spans="1:8">
      <c r="A3750">
        <v>762587</v>
      </c>
      <c r="B3750" t="s">
        <v>3930</v>
      </c>
      <c r="C3750">
        <v>77</v>
      </c>
      <c r="D3750">
        <v>2.3917015218599298</v>
      </c>
      <c r="E3750">
        <v>184.161017183214</v>
      </c>
      <c r="F3750">
        <v>0.88740077498965397</v>
      </c>
      <c r="G3750">
        <v>0.85899702795229704</v>
      </c>
      <c r="H3750" t="str">
        <f t="shared" si="58"/>
        <v>Q4</v>
      </c>
    </row>
    <row r="3751" spans="1:8">
      <c r="A3751">
        <v>723201</v>
      </c>
      <c r="B3751" t="s">
        <v>4548</v>
      </c>
      <c r="C3751">
        <v>131</v>
      </c>
      <c r="D3751">
        <v>1.40547283875351</v>
      </c>
      <c r="E3751">
        <v>184.11694187670901</v>
      </c>
      <c r="F3751">
        <v>0.93374967081750104</v>
      </c>
      <c r="G3751">
        <v>0.85895940709529395</v>
      </c>
      <c r="H3751" t="str">
        <f t="shared" si="58"/>
        <v>Q4</v>
      </c>
    </row>
    <row r="3752" spans="1:8">
      <c r="A3752">
        <v>736651</v>
      </c>
      <c r="B3752" t="s">
        <v>2496</v>
      </c>
      <c r="C3752">
        <v>29</v>
      </c>
      <c r="D3752">
        <v>6.3466977841895202</v>
      </c>
      <c r="E3752">
        <v>184.054235741496</v>
      </c>
      <c r="F3752">
        <v>0.75501297919566601</v>
      </c>
      <c r="G3752">
        <v>0.85892178623829096</v>
      </c>
      <c r="H3752" t="str">
        <f t="shared" si="58"/>
        <v>Q3</v>
      </c>
    </row>
    <row r="3753" spans="1:8">
      <c r="A3753">
        <v>728987</v>
      </c>
      <c r="B3753" t="s">
        <v>418</v>
      </c>
      <c r="C3753">
        <v>59</v>
      </c>
      <c r="D3753">
        <v>3.1186152817839301</v>
      </c>
      <c r="E3753">
        <v>183.998301625252</v>
      </c>
      <c r="F3753">
        <v>0.85617546367706299</v>
      </c>
      <c r="G3753">
        <v>0.85888416538128698</v>
      </c>
      <c r="H3753" t="str">
        <f t="shared" si="58"/>
        <v>Q4</v>
      </c>
    </row>
    <row r="3754" spans="1:8">
      <c r="A3754">
        <v>677478</v>
      </c>
      <c r="B3754" t="s">
        <v>4916</v>
      </c>
      <c r="C3754">
        <v>143</v>
      </c>
      <c r="D3754">
        <v>1.2862984445988099</v>
      </c>
      <c r="E3754">
        <v>183.94067757763</v>
      </c>
      <c r="F3754">
        <v>0.940032353937023</v>
      </c>
      <c r="G3754">
        <v>0.85884654452428399</v>
      </c>
      <c r="H3754" t="str">
        <f t="shared" si="58"/>
        <v>Q4</v>
      </c>
    </row>
    <row r="3755" spans="1:8">
      <c r="A3755">
        <v>697686</v>
      </c>
      <c r="B3755" t="s">
        <v>3540</v>
      </c>
      <c r="C3755">
        <v>101</v>
      </c>
      <c r="D3755">
        <v>1.82109412432897</v>
      </c>
      <c r="E3755">
        <v>183.93050655722601</v>
      </c>
      <c r="F3755">
        <v>0.91245626575373395</v>
      </c>
      <c r="G3755">
        <v>0.85880892366728101</v>
      </c>
      <c r="H3755" t="str">
        <f t="shared" si="58"/>
        <v>Q4</v>
      </c>
    </row>
    <row r="3756" spans="1:8">
      <c r="A3756">
        <v>741716</v>
      </c>
      <c r="B3756" t="s">
        <v>2724</v>
      </c>
      <c r="C3756">
        <v>28</v>
      </c>
      <c r="D3756">
        <v>6.5674939192831499</v>
      </c>
      <c r="E3756">
        <v>183.88982973992799</v>
      </c>
      <c r="F3756">
        <v>0.74974605921522897</v>
      </c>
      <c r="G3756">
        <v>0.85877130281027803</v>
      </c>
      <c r="H3756" t="str">
        <f t="shared" si="58"/>
        <v>Q3</v>
      </c>
    </row>
    <row r="3757" spans="1:8">
      <c r="A3757">
        <v>699798</v>
      </c>
      <c r="B3757" t="s">
        <v>1391</v>
      </c>
      <c r="C3757">
        <v>41</v>
      </c>
      <c r="D3757">
        <v>4.4849524978639197</v>
      </c>
      <c r="E3757">
        <v>183.88305241242099</v>
      </c>
      <c r="F3757">
        <v>0.80787028328505295</v>
      </c>
      <c r="G3757">
        <v>0.85873368195327504</v>
      </c>
      <c r="H3757" t="str">
        <f t="shared" si="58"/>
        <v>Q4</v>
      </c>
    </row>
    <row r="3758" spans="1:8">
      <c r="A3758">
        <v>726668</v>
      </c>
      <c r="B3758" t="s">
        <v>1207</v>
      </c>
      <c r="C3758">
        <v>17</v>
      </c>
      <c r="D3758">
        <v>10.815952017026801</v>
      </c>
      <c r="E3758">
        <v>183.87118428945499</v>
      </c>
      <c r="F3758">
        <v>0.65926789812271902</v>
      </c>
      <c r="G3758">
        <v>0.85869606109627195</v>
      </c>
      <c r="H3758" t="str">
        <f t="shared" si="58"/>
        <v>Q3</v>
      </c>
    </row>
    <row r="3759" spans="1:8">
      <c r="A3759">
        <v>851117</v>
      </c>
      <c r="B3759" t="s">
        <v>4984</v>
      </c>
      <c r="C3759">
        <v>38</v>
      </c>
      <c r="D3759">
        <v>4.8386709176396101</v>
      </c>
      <c r="E3759">
        <v>183.869494870305</v>
      </c>
      <c r="F3759">
        <v>0.79696023475414801</v>
      </c>
      <c r="G3759">
        <v>0.85865844023926896</v>
      </c>
      <c r="H3759" t="str">
        <f t="shared" si="58"/>
        <v>Q4</v>
      </c>
    </row>
    <row r="3760" spans="1:8">
      <c r="A3760">
        <v>741054</v>
      </c>
      <c r="B3760" t="s">
        <v>5236</v>
      </c>
      <c r="C3760">
        <v>39</v>
      </c>
      <c r="D3760">
        <v>4.7140374588660698</v>
      </c>
      <c r="E3760">
        <v>183.847460895777</v>
      </c>
      <c r="F3760">
        <v>0.80087280388247195</v>
      </c>
      <c r="G3760">
        <v>0.85862081938226598</v>
      </c>
      <c r="H3760" t="str">
        <f t="shared" si="58"/>
        <v>Q4</v>
      </c>
    </row>
    <row r="3761" spans="1:8">
      <c r="A3761">
        <v>665532</v>
      </c>
      <c r="B3761" t="s">
        <v>1064</v>
      </c>
      <c r="C3761">
        <v>19</v>
      </c>
      <c r="D3761">
        <v>9.6598575577924102</v>
      </c>
      <c r="E3761">
        <v>183.53729359805601</v>
      </c>
      <c r="F3761">
        <v>0.68195327489560198</v>
      </c>
      <c r="G3761">
        <v>0.85858319852526199</v>
      </c>
      <c r="H3761" t="str">
        <f t="shared" si="58"/>
        <v>Q3</v>
      </c>
    </row>
    <row r="3762" spans="1:8">
      <c r="A3762">
        <v>776783</v>
      </c>
      <c r="B3762" t="s">
        <v>1224</v>
      </c>
      <c r="C3762">
        <v>19</v>
      </c>
      <c r="D3762">
        <v>9.6593222531833103</v>
      </c>
      <c r="E3762">
        <v>183.52712281048301</v>
      </c>
      <c r="F3762">
        <v>0.68195327489560198</v>
      </c>
      <c r="G3762">
        <v>0.85854557766825901</v>
      </c>
      <c r="H3762" t="str">
        <f t="shared" si="58"/>
        <v>Q3</v>
      </c>
    </row>
    <row r="3763" spans="1:8">
      <c r="A3763">
        <v>492244</v>
      </c>
      <c r="B3763" t="s">
        <v>4848</v>
      </c>
      <c r="C3763">
        <v>140</v>
      </c>
      <c r="D3763">
        <v>1.3100241979451099</v>
      </c>
      <c r="E3763">
        <v>183.40338771231501</v>
      </c>
      <c r="F3763">
        <v>0.93852751965689796</v>
      </c>
      <c r="G3763">
        <v>0.85850795681125602</v>
      </c>
      <c r="H3763" t="str">
        <f t="shared" si="58"/>
        <v>Q4</v>
      </c>
    </row>
    <row r="3764" spans="1:8">
      <c r="A3764">
        <v>672625</v>
      </c>
      <c r="B3764" t="s">
        <v>1108</v>
      </c>
      <c r="C3764">
        <v>69</v>
      </c>
      <c r="D3764">
        <v>2.6567427805908399</v>
      </c>
      <c r="E3764">
        <v>183.315251860768</v>
      </c>
      <c r="F3764">
        <v>0.87393250818253598</v>
      </c>
      <c r="G3764">
        <v>0.85847033595425304</v>
      </c>
      <c r="H3764" t="str">
        <f t="shared" si="58"/>
        <v>Q4</v>
      </c>
    </row>
    <row r="3765" spans="1:8">
      <c r="A3765">
        <v>759265</v>
      </c>
      <c r="B3765" t="s">
        <v>3616</v>
      </c>
      <c r="C3765">
        <v>32</v>
      </c>
      <c r="D3765">
        <v>5.7250529644079498</v>
      </c>
      <c r="E3765">
        <v>183.20169486105399</v>
      </c>
      <c r="F3765">
        <v>0.77096422256498998</v>
      </c>
      <c r="G3765">
        <v>0.85843271509725005</v>
      </c>
      <c r="H3765" t="str">
        <f t="shared" si="58"/>
        <v>Q3</v>
      </c>
    </row>
    <row r="3766" spans="1:8">
      <c r="A3766">
        <v>751567</v>
      </c>
      <c r="B3766" t="s">
        <v>1321</v>
      </c>
      <c r="C3766">
        <v>57</v>
      </c>
      <c r="D3766">
        <v>3.21281587933762</v>
      </c>
      <c r="E3766">
        <v>183.13050512224399</v>
      </c>
      <c r="F3766">
        <v>0.851849065121703</v>
      </c>
      <c r="G3766">
        <v>0.85839509424024696</v>
      </c>
      <c r="H3766" t="str">
        <f t="shared" si="58"/>
        <v>Q4</v>
      </c>
    </row>
    <row r="3767" spans="1:8">
      <c r="A3767">
        <v>754275</v>
      </c>
      <c r="B3767" t="s">
        <v>3400</v>
      </c>
      <c r="C3767">
        <v>32</v>
      </c>
      <c r="D3767">
        <v>5.7217690336983704</v>
      </c>
      <c r="E3767">
        <v>183.096609078348</v>
      </c>
      <c r="F3767">
        <v>0.77096422256498998</v>
      </c>
      <c r="G3767">
        <v>0.85835747338324397</v>
      </c>
      <c r="H3767" t="str">
        <f t="shared" si="58"/>
        <v>Q3</v>
      </c>
    </row>
    <row r="3768" spans="1:8">
      <c r="A3768">
        <v>740450</v>
      </c>
      <c r="B3768" t="s">
        <v>1056</v>
      </c>
      <c r="C3768">
        <v>148</v>
      </c>
      <c r="D3768">
        <v>1.23677277965849</v>
      </c>
      <c r="E3768">
        <v>183.04237138945601</v>
      </c>
      <c r="F3768">
        <v>0.94236484707121604</v>
      </c>
      <c r="G3768">
        <v>0.85831985252624099</v>
      </c>
      <c r="H3768" t="str">
        <f t="shared" si="58"/>
        <v>Q4</v>
      </c>
    </row>
    <row r="3769" spans="1:8">
      <c r="A3769">
        <v>701488</v>
      </c>
      <c r="B3769" t="s">
        <v>4347</v>
      </c>
      <c r="C3769">
        <v>47</v>
      </c>
      <c r="D3769">
        <v>3.8901550616038598</v>
      </c>
      <c r="E3769">
        <v>182.837287895381</v>
      </c>
      <c r="F3769">
        <v>0.82641736578759295</v>
      </c>
      <c r="G3769">
        <v>0.85828223166923701</v>
      </c>
      <c r="H3769" t="str">
        <f t="shared" si="58"/>
        <v>Q4</v>
      </c>
    </row>
    <row r="3770" spans="1:8">
      <c r="A3770">
        <v>854576</v>
      </c>
      <c r="B3770" t="s">
        <v>525</v>
      </c>
      <c r="C3770">
        <v>46</v>
      </c>
      <c r="D3770">
        <v>3.9722549810033798</v>
      </c>
      <c r="E3770">
        <v>182.72372912615501</v>
      </c>
      <c r="F3770">
        <v>0.82378390579737404</v>
      </c>
      <c r="G3770">
        <v>0.85824461081223402</v>
      </c>
      <c r="H3770" t="str">
        <f t="shared" si="58"/>
        <v>Q4</v>
      </c>
    </row>
    <row r="3771" spans="1:8">
      <c r="A3771">
        <v>802153</v>
      </c>
      <c r="B3771" t="s">
        <v>3902</v>
      </c>
      <c r="C3771">
        <v>9</v>
      </c>
      <c r="D3771">
        <v>20.300564997725999</v>
      </c>
      <c r="E3771">
        <v>182.70508497953401</v>
      </c>
      <c r="F3771">
        <v>0.52428426319551602</v>
      </c>
      <c r="G3771">
        <v>0.85820698995523104</v>
      </c>
      <c r="H3771" t="str">
        <f t="shared" si="58"/>
        <v>Q3</v>
      </c>
    </row>
    <row r="3772" spans="1:8">
      <c r="A3772">
        <v>761664</v>
      </c>
      <c r="B3772" t="s">
        <v>2827</v>
      </c>
      <c r="C3772">
        <v>80</v>
      </c>
      <c r="D3772">
        <v>2.2830508474726199</v>
      </c>
      <c r="E3772">
        <v>182.64406779781001</v>
      </c>
      <c r="F3772">
        <v>0.89150144840299494</v>
      </c>
      <c r="G3772">
        <v>0.85816936909822805</v>
      </c>
      <c r="H3772" t="str">
        <f t="shared" si="58"/>
        <v>Q4</v>
      </c>
    </row>
    <row r="3773" spans="1:8">
      <c r="A3773">
        <v>764843</v>
      </c>
      <c r="B3773" t="s">
        <v>1989</v>
      </c>
      <c r="C3773">
        <v>50</v>
      </c>
      <c r="D3773">
        <v>3.6505084782838799</v>
      </c>
      <c r="E3773">
        <v>182.52542391419399</v>
      </c>
      <c r="F3773">
        <v>0.83559685489635405</v>
      </c>
      <c r="G3773">
        <v>0.85813174824122496</v>
      </c>
      <c r="H3773" t="str">
        <f t="shared" si="58"/>
        <v>Q4</v>
      </c>
    </row>
    <row r="3774" spans="1:8">
      <c r="A3774">
        <v>769825</v>
      </c>
      <c r="B3774" t="s">
        <v>2580</v>
      </c>
      <c r="C3774">
        <v>32</v>
      </c>
      <c r="D3774">
        <v>5.7021715852897596</v>
      </c>
      <c r="E3774">
        <v>182.469490729272</v>
      </c>
      <c r="F3774">
        <v>0.77096422256498998</v>
      </c>
      <c r="G3774">
        <v>0.85809412738422197</v>
      </c>
      <c r="H3774" t="str">
        <f t="shared" si="58"/>
        <v>Q3</v>
      </c>
    </row>
    <row r="3775" spans="1:8">
      <c r="A3775">
        <v>804070</v>
      </c>
      <c r="B3775" t="s">
        <v>1103</v>
      </c>
      <c r="C3775">
        <v>30</v>
      </c>
      <c r="D3775">
        <v>6.0758757311850804</v>
      </c>
      <c r="E3775">
        <v>182.27627193555199</v>
      </c>
      <c r="F3775">
        <v>0.760430382604116</v>
      </c>
      <c r="G3775">
        <v>0.85805650652721899</v>
      </c>
      <c r="H3775" t="str">
        <f t="shared" si="58"/>
        <v>Q3</v>
      </c>
    </row>
    <row r="3776" spans="1:8">
      <c r="A3776">
        <v>684686</v>
      </c>
      <c r="B3776" t="s">
        <v>4456</v>
      </c>
      <c r="C3776">
        <v>58</v>
      </c>
      <c r="D3776">
        <v>3.14219756180356</v>
      </c>
      <c r="E3776">
        <v>182.24745858460699</v>
      </c>
      <c r="F3776">
        <v>0.853993453970881</v>
      </c>
      <c r="G3776">
        <v>0.858018885670216</v>
      </c>
      <c r="H3776" t="str">
        <f t="shared" si="58"/>
        <v>Q4</v>
      </c>
    </row>
    <row r="3777" spans="1:8">
      <c r="A3777">
        <v>668153</v>
      </c>
      <c r="B3777" t="s">
        <v>2660</v>
      </c>
      <c r="C3777">
        <v>28</v>
      </c>
      <c r="D3777">
        <v>6.50750598204987</v>
      </c>
      <c r="E3777">
        <v>182.21016749739599</v>
      </c>
      <c r="F3777">
        <v>0.74974605921522897</v>
      </c>
      <c r="G3777">
        <v>0.85798126481321202</v>
      </c>
      <c r="H3777" t="str">
        <f t="shared" si="58"/>
        <v>Q3</v>
      </c>
    </row>
    <row r="3778" spans="1:8">
      <c r="A3778">
        <v>327310</v>
      </c>
      <c r="B3778" t="s">
        <v>231</v>
      </c>
      <c r="C3778">
        <v>114</v>
      </c>
      <c r="D3778">
        <v>1.5976954394494001</v>
      </c>
      <c r="E3778">
        <v>182.13728009723101</v>
      </c>
      <c r="F3778">
        <v>0.92306534742861401</v>
      </c>
      <c r="G3778">
        <v>0.85794364395620903</v>
      </c>
      <c r="H3778" t="str">
        <f t="shared" si="58"/>
        <v>Q4</v>
      </c>
    </row>
    <row r="3779" spans="1:8">
      <c r="A3779">
        <v>610075</v>
      </c>
      <c r="B3779" t="s">
        <v>4398</v>
      </c>
      <c r="C3779">
        <v>58</v>
      </c>
      <c r="D3779">
        <v>3.14015192140279</v>
      </c>
      <c r="E3779">
        <v>182.12881144136199</v>
      </c>
      <c r="F3779">
        <v>0.853993453970881</v>
      </c>
      <c r="G3779">
        <v>0.85790602309920605</v>
      </c>
      <c r="H3779" t="str">
        <f t="shared" ref="H3779:H3842" si="59">IF(C3779&gt;$J$2,
   IF(D3779&gt;$J$3,"Q1","Q2"),
   IF(D3779&gt;$J$3,"Q3","Q4"))</f>
        <v>Q4</v>
      </c>
    </row>
    <row r="3780" spans="1:8">
      <c r="A3780">
        <v>764895</v>
      </c>
      <c r="B3780" t="s">
        <v>2224</v>
      </c>
      <c r="C3780">
        <v>45</v>
      </c>
      <c r="D3780">
        <v>4.0460640854305696</v>
      </c>
      <c r="E3780">
        <v>182.07288384437601</v>
      </c>
      <c r="F3780">
        <v>0.82069899552311798</v>
      </c>
      <c r="G3780">
        <v>0.85786840224220295</v>
      </c>
      <c r="H3780" t="str">
        <f t="shared" si="59"/>
        <v>Q4</v>
      </c>
    </row>
    <row r="3781" spans="1:8">
      <c r="A3781">
        <v>814980</v>
      </c>
      <c r="B3781" t="s">
        <v>200</v>
      </c>
      <c r="C3781">
        <v>25</v>
      </c>
      <c r="D3781">
        <v>7.2823729366064098</v>
      </c>
      <c r="E3781">
        <v>182.05932341516001</v>
      </c>
      <c r="F3781">
        <v>0.72991986757458305</v>
      </c>
      <c r="G3781">
        <v>0.85783078138519997</v>
      </c>
      <c r="H3781" t="str">
        <f t="shared" si="59"/>
        <v>Q3</v>
      </c>
    </row>
    <row r="3782" spans="1:8">
      <c r="A3782">
        <v>691989</v>
      </c>
      <c r="B3782" t="s">
        <v>3698</v>
      </c>
      <c r="C3782">
        <v>54</v>
      </c>
      <c r="D3782">
        <v>3.37109225629656</v>
      </c>
      <c r="E3782">
        <v>182.038981840014</v>
      </c>
      <c r="F3782">
        <v>0.84515255257514799</v>
      </c>
      <c r="G3782">
        <v>0.85779316052819699</v>
      </c>
      <c r="H3782" t="str">
        <f t="shared" si="59"/>
        <v>Q4</v>
      </c>
    </row>
    <row r="3783" spans="1:8">
      <c r="A3783">
        <v>690513</v>
      </c>
      <c r="B3783" t="s">
        <v>3006</v>
      </c>
      <c r="C3783">
        <v>45</v>
      </c>
      <c r="D3783">
        <v>4.0449717558092502</v>
      </c>
      <c r="E3783">
        <v>182.02372901141601</v>
      </c>
      <c r="F3783">
        <v>0.82069899552311798</v>
      </c>
      <c r="G3783">
        <v>0.857755539671194</v>
      </c>
      <c r="H3783" t="str">
        <f t="shared" si="59"/>
        <v>Q4</v>
      </c>
    </row>
    <row r="3784" spans="1:8">
      <c r="A3784">
        <v>537732</v>
      </c>
      <c r="B3784" t="s">
        <v>1339</v>
      </c>
      <c r="C3784">
        <v>73</v>
      </c>
      <c r="D3784">
        <v>2.4925470199078701</v>
      </c>
      <c r="E3784">
        <v>181.95593245327501</v>
      </c>
      <c r="F3784">
        <v>0.88111809187013301</v>
      </c>
      <c r="G3784">
        <v>0.85771791881419102</v>
      </c>
      <c r="H3784" t="str">
        <f t="shared" si="59"/>
        <v>Q4</v>
      </c>
    </row>
    <row r="3785" spans="1:8">
      <c r="A3785">
        <v>737489</v>
      </c>
      <c r="B3785" t="s">
        <v>1270</v>
      </c>
      <c r="C3785">
        <v>76</v>
      </c>
      <c r="D3785">
        <v>2.3939785449520499</v>
      </c>
      <c r="E3785">
        <v>181.942369416356</v>
      </c>
      <c r="F3785">
        <v>0.88612166585154795</v>
      </c>
      <c r="G3785">
        <v>0.85768029795718703</v>
      </c>
      <c r="H3785" t="str">
        <f t="shared" si="59"/>
        <v>Q4</v>
      </c>
    </row>
    <row r="3786" spans="1:8">
      <c r="A3786">
        <v>777626</v>
      </c>
      <c r="B3786" t="s">
        <v>1476</v>
      </c>
      <c r="C3786">
        <v>76</v>
      </c>
      <c r="D3786">
        <v>2.3939562887933699</v>
      </c>
      <c r="E3786">
        <v>181.94067794829601</v>
      </c>
      <c r="F3786">
        <v>0.88612166585154795</v>
      </c>
      <c r="G3786">
        <v>0.85764267710018405</v>
      </c>
      <c r="H3786" t="str">
        <f t="shared" si="59"/>
        <v>Q4</v>
      </c>
    </row>
    <row r="3787" spans="1:8">
      <c r="A3787">
        <v>775970</v>
      </c>
      <c r="B3787" t="s">
        <v>3899</v>
      </c>
      <c r="C3787">
        <v>9</v>
      </c>
      <c r="D3787">
        <v>20.212429596318099</v>
      </c>
      <c r="E3787">
        <v>181.91186636686299</v>
      </c>
      <c r="F3787">
        <v>0.52428426319551602</v>
      </c>
      <c r="G3787">
        <v>0.85760505624318095</v>
      </c>
      <c r="H3787" t="str">
        <f t="shared" si="59"/>
        <v>Q3</v>
      </c>
    </row>
    <row r="3788" spans="1:8">
      <c r="A3788">
        <v>580840</v>
      </c>
      <c r="B3788" t="s">
        <v>4365</v>
      </c>
      <c r="C3788">
        <v>61</v>
      </c>
      <c r="D3788">
        <v>2.9818838614909402</v>
      </c>
      <c r="E3788">
        <v>181.89491555094699</v>
      </c>
      <c r="F3788">
        <v>0.86035137880440904</v>
      </c>
      <c r="G3788">
        <v>0.85756743538617797</v>
      </c>
      <c r="H3788" t="str">
        <f t="shared" si="59"/>
        <v>Q4</v>
      </c>
    </row>
    <row r="3789" spans="1:8">
      <c r="A3789">
        <v>713602</v>
      </c>
      <c r="B3789" t="s">
        <v>1163</v>
      </c>
      <c r="C3789">
        <v>83</v>
      </c>
      <c r="D3789">
        <v>2.1907698553818502</v>
      </c>
      <c r="E3789">
        <v>181.83389799669399</v>
      </c>
      <c r="F3789">
        <v>0.89530115496031004</v>
      </c>
      <c r="G3789">
        <v>0.85752981452917498</v>
      </c>
      <c r="H3789" t="str">
        <f t="shared" si="59"/>
        <v>Q4</v>
      </c>
    </row>
    <row r="3790" spans="1:8">
      <c r="A3790">
        <v>750060</v>
      </c>
      <c r="B3790" t="s">
        <v>1529</v>
      </c>
      <c r="C3790">
        <v>41</v>
      </c>
      <c r="D3790">
        <v>4.4338157264197697</v>
      </c>
      <c r="E3790">
        <v>181.78644478321101</v>
      </c>
      <c r="F3790">
        <v>0.80787028328505295</v>
      </c>
      <c r="G3790">
        <v>0.857492193672172</v>
      </c>
      <c r="H3790" t="str">
        <f t="shared" si="59"/>
        <v>Q4</v>
      </c>
    </row>
    <row r="3791" spans="1:8">
      <c r="A3791">
        <v>543035</v>
      </c>
      <c r="B3791" t="s">
        <v>2281</v>
      </c>
      <c r="C3791">
        <v>61</v>
      </c>
      <c r="D3791">
        <v>2.97032505365424</v>
      </c>
      <c r="E3791">
        <v>181.18982827290901</v>
      </c>
      <c r="F3791">
        <v>0.86035137880440904</v>
      </c>
      <c r="G3791">
        <v>0.85745457281516901</v>
      </c>
      <c r="H3791" t="str">
        <f t="shared" si="59"/>
        <v>Q4</v>
      </c>
    </row>
    <row r="3792" spans="1:8">
      <c r="A3792">
        <v>615936</v>
      </c>
      <c r="B3792" t="s">
        <v>416</v>
      </c>
      <c r="C3792">
        <v>92</v>
      </c>
      <c r="D3792">
        <v>1.9693809687969801</v>
      </c>
      <c r="E3792">
        <v>181.183049129322</v>
      </c>
      <c r="F3792">
        <v>0.90429253978405599</v>
      </c>
      <c r="G3792">
        <v>0.85741695195816603</v>
      </c>
      <c r="H3792" t="str">
        <f t="shared" si="59"/>
        <v>Q4</v>
      </c>
    </row>
    <row r="3793" spans="1:8">
      <c r="A3793">
        <v>519847</v>
      </c>
      <c r="B3793" t="s">
        <v>2432</v>
      </c>
      <c r="C3793">
        <v>105</v>
      </c>
      <c r="D3793">
        <v>1.7253752709144601</v>
      </c>
      <c r="E3793">
        <v>181.16440344601901</v>
      </c>
      <c r="F3793">
        <v>0.91618073059704297</v>
      </c>
      <c r="G3793">
        <v>0.85737933110116205</v>
      </c>
      <c r="H3793" t="str">
        <f t="shared" si="59"/>
        <v>Q4</v>
      </c>
    </row>
    <row r="3794" spans="1:8">
      <c r="A3794">
        <v>772905</v>
      </c>
      <c r="B3794" t="s">
        <v>4620</v>
      </c>
      <c r="C3794">
        <v>44</v>
      </c>
      <c r="D3794">
        <v>4.1122496297413704</v>
      </c>
      <c r="E3794">
        <v>180.93898370861999</v>
      </c>
      <c r="F3794">
        <v>0.817689326962868</v>
      </c>
      <c r="G3794">
        <v>0.85734171024415895</v>
      </c>
      <c r="H3794" t="str">
        <f t="shared" si="59"/>
        <v>Q4</v>
      </c>
    </row>
    <row r="3795" spans="1:8">
      <c r="A3795">
        <v>659549</v>
      </c>
      <c r="B3795" t="s">
        <v>1631</v>
      </c>
      <c r="C3795">
        <v>38</v>
      </c>
      <c r="D3795">
        <v>4.7589206626932903</v>
      </c>
      <c r="E3795">
        <v>180.838985182345</v>
      </c>
      <c r="F3795">
        <v>0.79696023475414801</v>
      </c>
      <c r="G3795">
        <v>0.85730408938715597</v>
      </c>
      <c r="H3795" t="str">
        <f t="shared" si="59"/>
        <v>Q4</v>
      </c>
    </row>
    <row r="3796" spans="1:8">
      <c r="A3796">
        <v>733920</v>
      </c>
      <c r="B3796" t="s">
        <v>4625</v>
      </c>
      <c r="C3796">
        <v>37</v>
      </c>
      <c r="D3796">
        <v>4.8872653344595802</v>
      </c>
      <c r="E3796">
        <v>180.82881737500401</v>
      </c>
      <c r="F3796">
        <v>0.79304766562582296</v>
      </c>
      <c r="G3796">
        <v>0.85726646853015298</v>
      </c>
      <c r="H3796" t="str">
        <f t="shared" si="59"/>
        <v>Q4</v>
      </c>
    </row>
    <row r="3797" spans="1:8">
      <c r="A3797">
        <v>722177</v>
      </c>
      <c r="B3797" t="s">
        <v>5156</v>
      </c>
      <c r="C3797">
        <v>79</v>
      </c>
      <c r="D3797">
        <v>2.2889079266711101</v>
      </c>
      <c r="E3797">
        <v>180.82372620701801</v>
      </c>
      <c r="F3797">
        <v>0.89022233926488803</v>
      </c>
      <c r="G3797">
        <v>0.85722884767315</v>
      </c>
      <c r="H3797" t="str">
        <f t="shared" si="59"/>
        <v>Q4</v>
      </c>
    </row>
    <row r="3798" spans="1:8">
      <c r="A3798">
        <v>752629</v>
      </c>
      <c r="B3798" t="s">
        <v>2646</v>
      </c>
      <c r="C3798">
        <v>31</v>
      </c>
      <c r="D3798">
        <v>5.8320395287967504</v>
      </c>
      <c r="E3798">
        <v>180.79322539269899</v>
      </c>
      <c r="F3798">
        <v>0.766073511154584</v>
      </c>
      <c r="G3798">
        <v>0.85719122681614701</v>
      </c>
      <c r="H3798" t="str">
        <f t="shared" si="59"/>
        <v>Q3</v>
      </c>
    </row>
    <row r="3799" spans="1:8">
      <c r="A3799">
        <v>746998</v>
      </c>
      <c r="B3799" t="s">
        <v>1560</v>
      </c>
      <c r="C3799">
        <v>34</v>
      </c>
      <c r="D3799">
        <v>5.3149054265197604</v>
      </c>
      <c r="E3799">
        <v>180.70678450167199</v>
      </c>
      <c r="F3799">
        <v>0.77969226138971404</v>
      </c>
      <c r="G3799">
        <v>0.85715360595914403</v>
      </c>
      <c r="H3799" t="str">
        <f t="shared" si="59"/>
        <v>Q3</v>
      </c>
    </row>
    <row r="3800" spans="1:8">
      <c r="A3800">
        <v>703781</v>
      </c>
      <c r="B3800" t="s">
        <v>1820</v>
      </c>
      <c r="C3800">
        <v>56</v>
      </c>
      <c r="D3800">
        <v>3.2265435239034002</v>
      </c>
      <c r="E3800">
        <v>180.68643733859099</v>
      </c>
      <c r="F3800">
        <v>0.85004326398555397</v>
      </c>
      <c r="G3800">
        <v>0.85711598510214104</v>
      </c>
      <c r="H3800" t="str">
        <f t="shared" si="59"/>
        <v>Q4</v>
      </c>
    </row>
    <row r="3801" spans="1:8">
      <c r="A3801">
        <v>697167</v>
      </c>
      <c r="B3801" t="s">
        <v>3194</v>
      </c>
      <c r="C3801">
        <v>47</v>
      </c>
      <c r="D3801">
        <v>3.84258924527688</v>
      </c>
      <c r="E3801">
        <v>180.60169452801301</v>
      </c>
      <c r="F3801">
        <v>0.82641736578759295</v>
      </c>
      <c r="G3801">
        <v>0.85707836424513795</v>
      </c>
      <c r="H3801" t="str">
        <f t="shared" si="59"/>
        <v>Q4</v>
      </c>
    </row>
    <row r="3802" spans="1:8">
      <c r="A3802">
        <v>828992</v>
      </c>
      <c r="B3802" t="s">
        <v>3688</v>
      </c>
      <c r="C3802">
        <v>28</v>
      </c>
      <c r="D3802">
        <v>6.44866822819625</v>
      </c>
      <c r="E3802">
        <v>180.56271038949501</v>
      </c>
      <c r="F3802">
        <v>0.74974605921522897</v>
      </c>
      <c r="G3802">
        <v>0.85704074338813396</v>
      </c>
      <c r="H3802" t="str">
        <f t="shared" si="59"/>
        <v>Q3</v>
      </c>
    </row>
    <row r="3803" spans="1:8">
      <c r="A3803">
        <v>690498</v>
      </c>
      <c r="B3803" t="s">
        <v>2836</v>
      </c>
      <c r="C3803">
        <v>23</v>
      </c>
      <c r="D3803">
        <v>7.84974223731653</v>
      </c>
      <c r="E3803">
        <v>180.54407145828</v>
      </c>
      <c r="F3803">
        <v>0.71547345848538402</v>
      </c>
      <c r="G3803">
        <v>0.85700312253113098</v>
      </c>
      <c r="H3803" t="str">
        <f t="shared" si="59"/>
        <v>Q3</v>
      </c>
    </row>
    <row r="3804" spans="1:8">
      <c r="A3804">
        <v>656304</v>
      </c>
      <c r="B3804" t="s">
        <v>428</v>
      </c>
      <c r="C3804">
        <v>41</v>
      </c>
      <c r="D3804">
        <v>4.4018190172387301</v>
      </c>
      <c r="E3804">
        <v>180.47457970678801</v>
      </c>
      <c r="F3804">
        <v>0.80787028328505295</v>
      </c>
      <c r="G3804">
        <v>0.85696550167412799</v>
      </c>
      <c r="H3804" t="str">
        <f t="shared" si="59"/>
        <v>Q4</v>
      </c>
    </row>
    <row r="3805" spans="1:8">
      <c r="A3805">
        <v>765502</v>
      </c>
      <c r="B3805" t="s">
        <v>1986</v>
      </c>
      <c r="C3805">
        <v>57</v>
      </c>
      <c r="D3805">
        <v>3.1647338123436599</v>
      </c>
      <c r="E3805">
        <v>180.38982730358799</v>
      </c>
      <c r="F3805">
        <v>0.851849065121703</v>
      </c>
      <c r="G3805">
        <v>0.85692788081712501</v>
      </c>
      <c r="H3805" t="str">
        <f t="shared" si="59"/>
        <v>Q4</v>
      </c>
    </row>
    <row r="3806" spans="1:8">
      <c r="A3806">
        <v>224606</v>
      </c>
      <c r="B3806" t="s">
        <v>1763</v>
      </c>
      <c r="C3806">
        <v>224</v>
      </c>
      <c r="D3806">
        <v>0.80523607913554396</v>
      </c>
      <c r="E3806">
        <v>180.37288172636201</v>
      </c>
      <c r="F3806">
        <v>0.96437304841804306</v>
      </c>
      <c r="G3806">
        <v>0.85689025996012202</v>
      </c>
      <c r="H3806" t="str">
        <f t="shared" si="59"/>
        <v>Q2</v>
      </c>
    </row>
    <row r="3807" spans="1:8">
      <c r="A3807">
        <v>714029</v>
      </c>
      <c r="B3807" t="s">
        <v>3419</v>
      </c>
      <c r="C3807">
        <v>37</v>
      </c>
      <c r="D3807">
        <v>4.8725607830124904</v>
      </c>
      <c r="E3807">
        <v>180.28474897146199</v>
      </c>
      <c r="F3807">
        <v>0.79304766562582296</v>
      </c>
      <c r="G3807">
        <v>0.85685263910311904</v>
      </c>
      <c r="H3807" t="str">
        <f t="shared" si="59"/>
        <v>Q4</v>
      </c>
    </row>
    <row r="3808" spans="1:8">
      <c r="A3808">
        <v>740725</v>
      </c>
      <c r="B3808" t="s">
        <v>2040</v>
      </c>
      <c r="C3808">
        <v>99</v>
      </c>
      <c r="D3808">
        <v>1.82086971654284</v>
      </c>
      <c r="E3808">
        <v>180.26610193774101</v>
      </c>
      <c r="F3808">
        <v>0.91076332718859299</v>
      </c>
      <c r="G3808">
        <v>0.85681501824611594</v>
      </c>
      <c r="H3808" t="str">
        <f t="shared" si="59"/>
        <v>Q4</v>
      </c>
    </row>
    <row r="3809" spans="1:8">
      <c r="A3809">
        <v>684008</v>
      </c>
      <c r="B3809" t="s">
        <v>4376</v>
      </c>
      <c r="C3809">
        <v>37</v>
      </c>
      <c r="D3809">
        <v>4.8708201008471299</v>
      </c>
      <c r="E3809">
        <v>180.220343731344</v>
      </c>
      <c r="F3809">
        <v>0.79304766562582296</v>
      </c>
      <c r="G3809">
        <v>0.85677739738911296</v>
      </c>
      <c r="H3809" t="str">
        <f t="shared" si="59"/>
        <v>Q4</v>
      </c>
    </row>
    <row r="3810" spans="1:8">
      <c r="A3810">
        <v>755309</v>
      </c>
      <c r="B3810" t="s">
        <v>1324</v>
      </c>
      <c r="C3810">
        <v>52</v>
      </c>
      <c r="D3810">
        <v>3.46561277535959</v>
      </c>
      <c r="E3810">
        <v>180.21186431869901</v>
      </c>
      <c r="F3810">
        <v>0.84003611602272299</v>
      </c>
      <c r="G3810">
        <v>0.85673977653210898</v>
      </c>
      <c r="H3810" t="str">
        <f t="shared" si="59"/>
        <v>Q4</v>
      </c>
    </row>
    <row r="3811" spans="1:8">
      <c r="A3811">
        <v>492892</v>
      </c>
      <c r="B3811" t="s">
        <v>183</v>
      </c>
      <c r="C3811">
        <v>74</v>
      </c>
      <c r="D3811">
        <v>2.4345396250184299</v>
      </c>
      <c r="E3811">
        <v>180.15593225136399</v>
      </c>
      <c r="F3811">
        <v>0.88307437643429498</v>
      </c>
      <c r="G3811">
        <v>0.85670215567510599</v>
      </c>
      <c r="H3811" t="str">
        <f t="shared" si="59"/>
        <v>Q4</v>
      </c>
    </row>
    <row r="3812" spans="1:8">
      <c r="A3812">
        <v>742377</v>
      </c>
      <c r="B3812" t="s">
        <v>2903</v>
      </c>
      <c r="C3812">
        <v>73</v>
      </c>
      <c r="D3812">
        <v>2.46775017745078</v>
      </c>
      <c r="E3812">
        <v>180.145762953907</v>
      </c>
      <c r="F3812">
        <v>0.88111809187013301</v>
      </c>
      <c r="G3812">
        <v>0.85666453481810301</v>
      </c>
      <c r="H3812" t="str">
        <f t="shared" si="59"/>
        <v>Q4</v>
      </c>
    </row>
    <row r="3813" spans="1:8">
      <c r="A3813">
        <v>763727</v>
      </c>
      <c r="B3813" t="s">
        <v>2623</v>
      </c>
      <c r="C3813">
        <v>45</v>
      </c>
      <c r="D3813">
        <v>4.0029378711349404</v>
      </c>
      <c r="E3813">
        <v>180.132204201072</v>
      </c>
      <c r="F3813">
        <v>0.82069899552311798</v>
      </c>
      <c r="G3813">
        <v>0.85662691396110002</v>
      </c>
      <c r="H3813" t="str">
        <f t="shared" si="59"/>
        <v>Q4</v>
      </c>
    </row>
    <row r="3814" spans="1:8">
      <c r="A3814">
        <v>762637</v>
      </c>
      <c r="B3814" t="s">
        <v>4772</v>
      </c>
      <c r="C3814">
        <v>54</v>
      </c>
      <c r="D3814">
        <v>3.3357187691662</v>
      </c>
      <c r="E3814">
        <v>180.128813534975</v>
      </c>
      <c r="F3814">
        <v>0.84515255257514799</v>
      </c>
      <c r="G3814">
        <v>0.85658929310409704</v>
      </c>
      <c r="H3814" t="str">
        <f t="shared" si="59"/>
        <v>Q4</v>
      </c>
    </row>
    <row r="3815" spans="1:8">
      <c r="A3815">
        <v>630326</v>
      </c>
      <c r="B3815" t="s">
        <v>3385</v>
      </c>
      <c r="C3815">
        <v>146</v>
      </c>
      <c r="D3815">
        <v>1.2332017193803499</v>
      </c>
      <c r="E3815">
        <v>180.047451029532</v>
      </c>
      <c r="F3815">
        <v>0.94127384221812604</v>
      </c>
      <c r="G3815">
        <v>0.85655167224709405</v>
      </c>
      <c r="H3815" t="str">
        <f t="shared" si="59"/>
        <v>Q4</v>
      </c>
    </row>
    <row r="3816" spans="1:8">
      <c r="A3816">
        <v>764598</v>
      </c>
      <c r="B3816" t="s">
        <v>1070</v>
      </c>
      <c r="C3816">
        <v>77</v>
      </c>
      <c r="D3816">
        <v>2.3365177274621201</v>
      </c>
      <c r="E3816">
        <v>179.91186501458299</v>
      </c>
      <c r="F3816">
        <v>0.88740077498965397</v>
      </c>
      <c r="G3816">
        <v>0.85651405139009096</v>
      </c>
      <c r="H3816" t="str">
        <f t="shared" si="59"/>
        <v>Q4</v>
      </c>
    </row>
    <row r="3817" spans="1:8">
      <c r="A3817">
        <v>501926</v>
      </c>
      <c r="B3817" t="s">
        <v>202</v>
      </c>
      <c r="C3817">
        <v>16</v>
      </c>
      <c r="D3817">
        <v>11.242797039449201</v>
      </c>
      <c r="E3817">
        <v>179.88475263118701</v>
      </c>
      <c r="F3817">
        <v>0.64756781159474797</v>
      </c>
      <c r="G3817">
        <v>0.85647643053308797</v>
      </c>
      <c r="H3817" t="str">
        <f t="shared" si="59"/>
        <v>Q3</v>
      </c>
    </row>
    <row r="3818" spans="1:8">
      <c r="A3818">
        <v>706268</v>
      </c>
      <c r="B3818" t="s">
        <v>146</v>
      </c>
      <c r="C3818">
        <v>506</v>
      </c>
      <c r="D3818">
        <v>0.35533262285580602</v>
      </c>
      <c r="E3818">
        <v>179.79830716503801</v>
      </c>
      <c r="F3818">
        <v>0.988977088898085</v>
      </c>
      <c r="G3818">
        <v>0.85643880967608399</v>
      </c>
      <c r="H3818" t="str">
        <f t="shared" si="59"/>
        <v>Q2</v>
      </c>
    </row>
    <row r="3819" spans="1:8">
      <c r="A3819">
        <v>801447</v>
      </c>
      <c r="B3819" t="s">
        <v>5035</v>
      </c>
      <c r="C3819">
        <v>61</v>
      </c>
      <c r="D3819">
        <v>2.9467629818398402</v>
      </c>
      <c r="E3819">
        <v>179.75254189223099</v>
      </c>
      <c r="F3819">
        <v>0.86035137880440904</v>
      </c>
      <c r="G3819">
        <v>0.85640118881908101</v>
      </c>
      <c r="H3819" t="str">
        <f t="shared" si="59"/>
        <v>Q4</v>
      </c>
    </row>
    <row r="3820" spans="1:8">
      <c r="A3820">
        <v>654100</v>
      </c>
      <c r="B3820" t="s">
        <v>1754</v>
      </c>
      <c r="C3820">
        <v>132</v>
      </c>
      <c r="D3820">
        <v>1.3608242984804699</v>
      </c>
      <c r="E3820">
        <v>179.62880739942199</v>
      </c>
      <c r="F3820">
        <v>0.93435160452955102</v>
      </c>
      <c r="G3820">
        <v>0.85636356796207802</v>
      </c>
      <c r="H3820" t="str">
        <f t="shared" si="59"/>
        <v>Q4</v>
      </c>
    </row>
    <row r="3821" spans="1:8">
      <c r="A3821">
        <v>391750</v>
      </c>
      <c r="B3821" t="s">
        <v>3022</v>
      </c>
      <c r="C3821">
        <v>49</v>
      </c>
      <c r="D3821">
        <v>3.6653753370046598</v>
      </c>
      <c r="E3821">
        <v>179.60339151322799</v>
      </c>
      <c r="F3821">
        <v>0.83258718633610496</v>
      </c>
      <c r="G3821">
        <v>0.85632594710507504</v>
      </c>
      <c r="H3821" t="str">
        <f t="shared" si="59"/>
        <v>Q4</v>
      </c>
    </row>
    <row r="3822" spans="1:8">
      <c r="A3822">
        <v>754136</v>
      </c>
      <c r="B3822" t="s">
        <v>1347</v>
      </c>
      <c r="C3822">
        <v>37</v>
      </c>
      <c r="D3822">
        <v>4.8499771771398796</v>
      </c>
      <c r="E3822">
        <v>179.44915555417501</v>
      </c>
      <c r="F3822">
        <v>0.79304766562582296</v>
      </c>
      <c r="G3822">
        <v>0.85628832624807205</v>
      </c>
      <c r="H3822" t="str">
        <f t="shared" si="59"/>
        <v>Q4</v>
      </c>
    </row>
    <row r="3823" spans="1:8">
      <c r="A3823">
        <v>723116</v>
      </c>
      <c r="B3823" t="s">
        <v>1973</v>
      </c>
      <c r="C3823">
        <v>39</v>
      </c>
      <c r="D3823">
        <v>4.6000000232687404</v>
      </c>
      <c r="E3823">
        <v>179.400000907481</v>
      </c>
      <c r="F3823">
        <v>0.80087280388247195</v>
      </c>
      <c r="G3823">
        <v>0.85625070539106896</v>
      </c>
      <c r="H3823" t="str">
        <f t="shared" si="59"/>
        <v>Q4</v>
      </c>
    </row>
    <row r="3824" spans="1:8">
      <c r="A3824">
        <v>662857</v>
      </c>
      <c r="B3824" t="s">
        <v>1032</v>
      </c>
      <c r="C3824">
        <v>47</v>
      </c>
      <c r="D3824">
        <v>3.8163000598866899</v>
      </c>
      <c r="E3824">
        <v>179.36610281467401</v>
      </c>
      <c r="F3824">
        <v>0.82641736578759295</v>
      </c>
      <c r="G3824">
        <v>0.85621308453406597</v>
      </c>
      <c r="H3824" t="str">
        <f t="shared" si="59"/>
        <v>Q4</v>
      </c>
    </row>
    <row r="3825" spans="1:8">
      <c r="A3825">
        <v>754835</v>
      </c>
      <c r="B3825" t="s">
        <v>945</v>
      </c>
      <c r="C3825">
        <v>46</v>
      </c>
      <c r="D3825">
        <v>3.8985630011429002</v>
      </c>
      <c r="E3825">
        <v>179.33389805257301</v>
      </c>
      <c r="F3825">
        <v>0.82378390579737404</v>
      </c>
      <c r="G3825">
        <v>0.85617546367706299</v>
      </c>
      <c r="H3825" t="str">
        <f t="shared" si="59"/>
        <v>Q4</v>
      </c>
    </row>
    <row r="3826" spans="1:8">
      <c r="A3826">
        <v>628974</v>
      </c>
      <c r="B3826" t="s">
        <v>361</v>
      </c>
      <c r="C3826">
        <v>14</v>
      </c>
      <c r="D3826">
        <v>12.808958973203399</v>
      </c>
      <c r="E3826">
        <v>179.32542562484701</v>
      </c>
      <c r="F3826">
        <v>0.62070651969451895</v>
      </c>
      <c r="G3826">
        <v>0.856137842820059</v>
      </c>
      <c r="H3826" t="str">
        <f t="shared" si="59"/>
        <v>Q3</v>
      </c>
    </row>
    <row r="3827" spans="1:8">
      <c r="A3827">
        <v>714378</v>
      </c>
      <c r="B3827" t="s">
        <v>4153</v>
      </c>
      <c r="C3827">
        <v>68</v>
      </c>
      <c r="D3827">
        <v>2.633848420673</v>
      </c>
      <c r="E3827">
        <v>179.10169260576399</v>
      </c>
      <c r="F3827">
        <v>0.87223956961739602</v>
      </c>
      <c r="G3827">
        <v>0.85610022196305602</v>
      </c>
      <c r="H3827" t="str">
        <f t="shared" si="59"/>
        <v>Q4</v>
      </c>
    </row>
    <row r="3828" spans="1:8">
      <c r="A3828">
        <v>743123</v>
      </c>
      <c r="B3828" t="s">
        <v>1828</v>
      </c>
      <c r="C3828">
        <v>78</v>
      </c>
      <c r="D3828">
        <v>2.29604519509639</v>
      </c>
      <c r="E3828">
        <v>179.09152521751801</v>
      </c>
      <c r="F3828">
        <v>0.88867988412776</v>
      </c>
      <c r="G3828">
        <v>0.85606260110605303</v>
      </c>
      <c r="H3828" t="str">
        <f t="shared" si="59"/>
        <v>Q4</v>
      </c>
    </row>
    <row r="3829" spans="1:8">
      <c r="A3829">
        <v>663140</v>
      </c>
      <c r="B3829" t="s">
        <v>4978</v>
      </c>
      <c r="C3829">
        <v>27</v>
      </c>
      <c r="D3829">
        <v>6.6267419744420897</v>
      </c>
      <c r="E3829">
        <v>178.92203330993701</v>
      </c>
      <c r="F3829">
        <v>0.74312478838267904</v>
      </c>
      <c r="G3829">
        <v>0.85602498024905005</v>
      </c>
      <c r="H3829" t="str">
        <f t="shared" si="59"/>
        <v>Q3</v>
      </c>
    </row>
    <row r="3830" spans="1:8">
      <c r="A3830">
        <v>677224</v>
      </c>
      <c r="B3830" t="s">
        <v>2962</v>
      </c>
      <c r="C3830">
        <v>38</v>
      </c>
      <c r="D3830">
        <v>4.70829625172835</v>
      </c>
      <c r="E3830">
        <v>178.915257565677</v>
      </c>
      <c r="F3830">
        <v>0.79696023475414801</v>
      </c>
      <c r="G3830">
        <v>0.85598735939204695</v>
      </c>
      <c r="H3830" t="str">
        <f t="shared" si="59"/>
        <v>Q4</v>
      </c>
    </row>
    <row r="3831" spans="1:8">
      <c r="A3831">
        <v>709027</v>
      </c>
      <c r="B3831" t="s">
        <v>2787</v>
      </c>
      <c r="C3831">
        <v>18</v>
      </c>
      <c r="D3831">
        <v>9.9388891210158707</v>
      </c>
      <c r="E3831">
        <v>178.900004178286</v>
      </c>
      <c r="F3831">
        <v>0.67044129265264696</v>
      </c>
      <c r="G3831">
        <v>0.85594973853504397</v>
      </c>
      <c r="H3831" t="str">
        <f t="shared" si="59"/>
        <v>Q3</v>
      </c>
    </row>
    <row r="3832" spans="1:8">
      <c r="A3832">
        <v>767046</v>
      </c>
      <c r="B3832" t="s">
        <v>769</v>
      </c>
      <c r="C3832">
        <v>103</v>
      </c>
      <c r="D3832">
        <v>1.7365970006845499</v>
      </c>
      <c r="E3832">
        <v>178.86949107050901</v>
      </c>
      <c r="F3832">
        <v>0.91433730860388995</v>
      </c>
      <c r="G3832">
        <v>0.85591211767804098</v>
      </c>
      <c r="H3832" t="str">
        <f t="shared" si="59"/>
        <v>Q4</v>
      </c>
    </row>
    <row r="3833" spans="1:8">
      <c r="A3833">
        <v>509669</v>
      </c>
      <c r="B3833" t="s">
        <v>2427</v>
      </c>
      <c r="C3833">
        <v>62</v>
      </c>
      <c r="D3833">
        <v>2.8827227982542198</v>
      </c>
      <c r="E3833">
        <v>178.728813491762</v>
      </c>
      <c r="F3833">
        <v>0.86238290508257798</v>
      </c>
      <c r="G3833">
        <v>0.855874496821038</v>
      </c>
      <c r="H3833" t="str">
        <f t="shared" si="59"/>
        <v>Q4</v>
      </c>
    </row>
    <row r="3834" spans="1:8">
      <c r="A3834">
        <v>650951</v>
      </c>
      <c r="B3834" t="s">
        <v>4041</v>
      </c>
      <c r="C3834">
        <v>72</v>
      </c>
      <c r="D3834">
        <v>2.48180319516299</v>
      </c>
      <c r="E3834">
        <v>178.68983005173499</v>
      </c>
      <c r="F3834">
        <v>0.87957563673300498</v>
      </c>
      <c r="G3834">
        <v>0.85583687596403402</v>
      </c>
      <c r="H3834" t="str">
        <f t="shared" si="59"/>
        <v>Q4</v>
      </c>
    </row>
    <row r="3835" spans="1:8">
      <c r="A3835">
        <v>637149</v>
      </c>
      <c r="B3835" t="s">
        <v>3047</v>
      </c>
      <c r="C3835">
        <v>87</v>
      </c>
      <c r="D3835">
        <v>2.05320467230404</v>
      </c>
      <c r="E3835">
        <v>178.62880649045101</v>
      </c>
      <c r="F3835">
        <v>0.89955231180166295</v>
      </c>
      <c r="G3835">
        <v>0.85579925510703103</v>
      </c>
      <c r="H3835" t="str">
        <f t="shared" si="59"/>
        <v>Q4</v>
      </c>
    </row>
    <row r="3836" spans="1:8">
      <c r="A3836">
        <v>720446</v>
      </c>
      <c r="B3836" t="s">
        <v>2794</v>
      </c>
      <c r="C3836">
        <v>14</v>
      </c>
      <c r="D3836">
        <v>12.756658984082099</v>
      </c>
      <c r="E3836">
        <v>178.593225777149</v>
      </c>
      <c r="F3836">
        <v>0.62070651969451895</v>
      </c>
      <c r="G3836">
        <v>0.85576163425002805</v>
      </c>
      <c r="H3836" t="str">
        <f t="shared" si="59"/>
        <v>Q3</v>
      </c>
    </row>
    <row r="3837" spans="1:8">
      <c r="A3837">
        <v>787481</v>
      </c>
      <c r="B3837" t="s">
        <v>4551</v>
      </c>
      <c r="C3837">
        <v>55</v>
      </c>
      <c r="D3837">
        <v>3.2468412410129202</v>
      </c>
      <c r="E3837">
        <v>178.576268255711</v>
      </c>
      <c r="F3837">
        <v>0.84763552913735396</v>
      </c>
      <c r="G3837">
        <v>0.85572401339302495</v>
      </c>
      <c r="H3837" t="str">
        <f t="shared" si="59"/>
        <v>Q4</v>
      </c>
    </row>
    <row r="3838" spans="1:8">
      <c r="A3838">
        <v>370594</v>
      </c>
      <c r="B3838" t="s">
        <v>4277</v>
      </c>
      <c r="C3838">
        <v>155</v>
      </c>
      <c r="D3838">
        <v>1.15191906900896</v>
      </c>
      <c r="E3838">
        <v>178.54745569638899</v>
      </c>
      <c r="F3838">
        <v>0.94454685677739703</v>
      </c>
      <c r="G3838">
        <v>0.85568639253602197</v>
      </c>
      <c r="H3838" t="str">
        <f t="shared" si="59"/>
        <v>Q4</v>
      </c>
    </row>
    <row r="3839" spans="1:8">
      <c r="A3839">
        <v>816598</v>
      </c>
      <c r="B3839" t="s">
        <v>3310</v>
      </c>
      <c r="C3839">
        <v>47</v>
      </c>
      <c r="D3839">
        <v>3.7980887345335601</v>
      </c>
      <c r="E3839">
        <v>178.51017052307699</v>
      </c>
      <c r="F3839">
        <v>0.82641736578759295</v>
      </c>
      <c r="G3839">
        <v>0.85564877167901898</v>
      </c>
      <c r="H3839" t="str">
        <f t="shared" si="59"/>
        <v>Q4</v>
      </c>
    </row>
    <row r="3840" spans="1:8">
      <c r="A3840">
        <v>799708</v>
      </c>
      <c r="B3840" t="s">
        <v>130</v>
      </c>
      <c r="C3840">
        <v>22</v>
      </c>
      <c r="D3840">
        <v>8.1116333603858894</v>
      </c>
      <c r="E3840">
        <v>178.45593392849</v>
      </c>
      <c r="F3840">
        <v>0.707723561942741</v>
      </c>
      <c r="G3840">
        <v>0.855611150822016</v>
      </c>
      <c r="H3840" t="str">
        <f t="shared" si="59"/>
        <v>Q3</v>
      </c>
    </row>
    <row r="3841" spans="1:8">
      <c r="A3841">
        <v>772743</v>
      </c>
      <c r="B3841" t="s">
        <v>2306</v>
      </c>
      <c r="C3841">
        <v>29</v>
      </c>
      <c r="D3841">
        <v>6.1526007372243603</v>
      </c>
      <c r="E3841">
        <v>178.42542137950699</v>
      </c>
      <c r="F3841">
        <v>0.75501297919566601</v>
      </c>
      <c r="G3841">
        <v>0.85557352996501301</v>
      </c>
      <c r="H3841" t="str">
        <f t="shared" si="59"/>
        <v>Q3</v>
      </c>
    </row>
    <row r="3842" spans="1:8">
      <c r="A3842">
        <v>636093</v>
      </c>
      <c r="B3842" t="s">
        <v>261</v>
      </c>
      <c r="C3842">
        <v>68</v>
      </c>
      <c r="D3842">
        <v>2.62230806436171</v>
      </c>
      <c r="E3842">
        <v>178.316948376596</v>
      </c>
      <c r="F3842">
        <v>0.87223956961739602</v>
      </c>
      <c r="G3842">
        <v>0.85553590910800903</v>
      </c>
      <c r="H3842" t="str">
        <f t="shared" si="59"/>
        <v>Q4</v>
      </c>
    </row>
    <row r="3843" spans="1:8">
      <c r="A3843">
        <v>765731</v>
      </c>
      <c r="B3843" t="s">
        <v>404</v>
      </c>
      <c r="C3843">
        <v>75</v>
      </c>
      <c r="D3843">
        <v>2.3770169528822098</v>
      </c>
      <c r="E3843">
        <v>178.27627146616601</v>
      </c>
      <c r="F3843">
        <v>0.88420300214438896</v>
      </c>
      <c r="G3843">
        <v>0.85549828825100604</v>
      </c>
      <c r="H3843" t="str">
        <f t="shared" ref="H3843:H3906" si="60">IF(C3843&gt;$J$2,
   IF(D3843&gt;$J$3,"Q1","Q2"),
   IF(D3843&gt;$J$3,"Q3","Q4"))</f>
        <v>Q4</v>
      </c>
    </row>
    <row r="3844" spans="1:8">
      <c r="A3844">
        <v>674085</v>
      </c>
      <c r="B3844" t="s">
        <v>3543</v>
      </c>
      <c r="C3844">
        <v>24</v>
      </c>
      <c r="D3844">
        <v>7.4264124035835302</v>
      </c>
      <c r="E3844">
        <v>178.23389768600501</v>
      </c>
      <c r="F3844">
        <v>0.72284714645799597</v>
      </c>
      <c r="G3844">
        <v>0.85546066739400295</v>
      </c>
      <c r="H3844" t="str">
        <f t="shared" si="60"/>
        <v>Q3</v>
      </c>
    </row>
    <row r="3845" spans="1:8">
      <c r="A3845">
        <v>777690</v>
      </c>
      <c r="B3845" t="s">
        <v>1055</v>
      </c>
      <c r="C3845">
        <v>136</v>
      </c>
      <c r="D3845">
        <v>1.3105433564359199</v>
      </c>
      <c r="E3845">
        <v>178.23389647528501</v>
      </c>
      <c r="F3845">
        <v>0.93630788909371399</v>
      </c>
      <c r="G3845">
        <v>0.85542304653699996</v>
      </c>
      <c r="H3845" t="str">
        <f t="shared" si="60"/>
        <v>Q4</v>
      </c>
    </row>
    <row r="3846" spans="1:8">
      <c r="A3846">
        <v>716545</v>
      </c>
      <c r="B3846" t="s">
        <v>3005</v>
      </c>
      <c r="C3846">
        <v>37</v>
      </c>
      <c r="D3846">
        <v>4.81397166244082</v>
      </c>
      <c r="E3846">
        <v>178.11695151031</v>
      </c>
      <c r="F3846">
        <v>0.79304766562582296</v>
      </c>
      <c r="G3846">
        <v>0.85538542567999698</v>
      </c>
      <c r="H3846" t="str">
        <f t="shared" si="60"/>
        <v>Q4</v>
      </c>
    </row>
    <row r="3847" spans="1:8">
      <c r="A3847">
        <v>700326</v>
      </c>
      <c r="B3847" t="s">
        <v>1370</v>
      </c>
      <c r="C3847">
        <v>82</v>
      </c>
      <c r="D3847">
        <v>2.1720131756965002</v>
      </c>
      <c r="E3847">
        <v>178.10508040711301</v>
      </c>
      <c r="F3847">
        <v>0.894323012678229</v>
      </c>
      <c r="G3847">
        <v>0.855347804822994</v>
      </c>
      <c r="H3847" t="str">
        <f t="shared" si="60"/>
        <v>Q4</v>
      </c>
    </row>
    <row r="3848" spans="1:8">
      <c r="A3848">
        <v>767133</v>
      </c>
      <c r="B3848" t="s">
        <v>1267</v>
      </c>
      <c r="C3848">
        <v>77</v>
      </c>
      <c r="D3848">
        <v>2.31226061942515</v>
      </c>
      <c r="E3848">
        <v>178.044067695737</v>
      </c>
      <c r="F3848">
        <v>0.88740077498965397</v>
      </c>
      <c r="G3848">
        <v>0.85531018396599101</v>
      </c>
      <c r="H3848" t="str">
        <f t="shared" si="60"/>
        <v>Q4</v>
      </c>
    </row>
    <row r="3849" spans="1:8">
      <c r="A3849">
        <v>820671</v>
      </c>
      <c r="B3849" t="s">
        <v>870</v>
      </c>
      <c r="C3849">
        <v>113</v>
      </c>
      <c r="D3849">
        <v>1.57559615419765</v>
      </c>
      <c r="E3849">
        <v>178.042365424335</v>
      </c>
      <c r="F3849">
        <v>0.92257627628757399</v>
      </c>
      <c r="G3849">
        <v>0.85527256310898803</v>
      </c>
      <c r="H3849" t="str">
        <f t="shared" si="60"/>
        <v>Q4</v>
      </c>
    </row>
    <row r="3850" spans="1:8">
      <c r="A3850">
        <v>610665</v>
      </c>
      <c r="B3850" t="s">
        <v>2104</v>
      </c>
      <c r="C3850">
        <v>36</v>
      </c>
      <c r="D3850">
        <v>4.9453861442291096</v>
      </c>
      <c r="E3850">
        <v>178.03390119224801</v>
      </c>
      <c r="F3850">
        <v>0.78890937135547901</v>
      </c>
      <c r="G3850">
        <v>0.85523494225198404</v>
      </c>
      <c r="H3850" t="str">
        <f t="shared" si="60"/>
        <v>Q3</v>
      </c>
    </row>
    <row r="3851" spans="1:8">
      <c r="A3851">
        <v>797343</v>
      </c>
      <c r="B3851" t="s">
        <v>445</v>
      </c>
      <c r="C3851">
        <v>31</v>
      </c>
      <c r="D3851">
        <v>5.7402405707586199</v>
      </c>
      <c r="E3851">
        <v>177.94745769351701</v>
      </c>
      <c r="F3851">
        <v>0.766073511154584</v>
      </c>
      <c r="G3851">
        <v>0.85519732139498095</v>
      </c>
      <c r="H3851" t="str">
        <f t="shared" si="60"/>
        <v>Q3</v>
      </c>
    </row>
    <row r="3852" spans="1:8">
      <c r="A3852">
        <v>686564</v>
      </c>
      <c r="B3852" t="s">
        <v>3664</v>
      </c>
      <c r="C3852">
        <v>56</v>
      </c>
      <c r="D3852">
        <v>3.1764829880557999</v>
      </c>
      <c r="E3852">
        <v>177.883047331125</v>
      </c>
      <c r="F3852">
        <v>0.85004326398555397</v>
      </c>
      <c r="G3852">
        <v>0.85515970053797796</v>
      </c>
      <c r="H3852" t="str">
        <f t="shared" si="60"/>
        <v>Q4</v>
      </c>
    </row>
    <row r="3853" spans="1:8">
      <c r="A3853">
        <v>700944</v>
      </c>
      <c r="B3853" t="s">
        <v>1650</v>
      </c>
      <c r="C3853">
        <v>86</v>
      </c>
      <c r="D3853">
        <v>2.0666928953751098</v>
      </c>
      <c r="E3853">
        <v>177.73558900225899</v>
      </c>
      <c r="F3853">
        <v>0.89864941123358799</v>
      </c>
      <c r="G3853">
        <v>0.85512207968097498</v>
      </c>
      <c r="H3853" t="str">
        <f t="shared" si="60"/>
        <v>Q4</v>
      </c>
    </row>
    <row r="3854" spans="1:8">
      <c r="A3854">
        <v>820570</v>
      </c>
      <c r="B3854" t="s">
        <v>3888</v>
      </c>
      <c r="C3854">
        <v>19</v>
      </c>
      <c r="D3854">
        <v>9.3486174156791293</v>
      </c>
      <c r="E3854">
        <v>177.62373089790299</v>
      </c>
      <c r="F3854">
        <v>0.68195327489560198</v>
      </c>
      <c r="G3854">
        <v>0.85508445882397199</v>
      </c>
      <c r="H3854" t="str">
        <f t="shared" si="60"/>
        <v>Q3</v>
      </c>
    </row>
    <row r="3855" spans="1:8">
      <c r="A3855">
        <v>781638</v>
      </c>
      <c r="B3855" t="s">
        <v>2021</v>
      </c>
      <c r="C3855">
        <v>14</v>
      </c>
      <c r="D3855">
        <v>12.6861988965954</v>
      </c>
      <c r="E3855">
        <v>177.60678455233599</v>
      </c>
      <c r="F3855">
        <v>0.62070651969451895</v>
      </c>
      <c r="G3855">
        <v>0.85504683796696901</v>
      </c>
      <c r="H3855" t="str">
        <f t="shared" si="60"/>
        <v>Q3</v>
      </c>
    </row>
    <row r="3856" spans="1:8">
      <c r="A3856">
        <v>766453</v>
      </c>
      <c r="B3856" t="s">
        <v>1636</v>
      </c>
      <c r="C3856">
        <v>112</v>
      </c>
      <c r="D3856">
        <v>1.5853207550078099</v>
      </c>
      <c r="E3856">
        <v>177.55592456087501</v>
      </c>
      <c r="F3856">
        <v>0.92156051314848997</v>
      </c>
      <c r="G3856">
        <v>0.85500921710996602</v>
      </c>
      <c r="H3856" t="str">
        <f t="shared" si="60"/>
        <v>Q4</v>
      </c>
    </row>
    <row r="3857" spans="1:8">
      <c r="A3857">
        <v>615939</v>
      </c>
      <c r="B3857" t="s">
        <v>1665</v>
      </c>
      <c r="C3857">
        <v>102</v>
      </c>
      <c r="D3857">
        <v>1.74052840208306</v>
      </c>
      <c r="E3857">
        <v>177.53389701247201</v>
      </c>
      <c r="F3857">
        <v>0.91332154546480604</v>
      </c>
      <c r="G3857">
        <v>0.85497159625296304</v>
      </c>
      <c r="H3857" t="str">
        <f t="shared" si="60"/>
        <v>Q4</v>
      </c>
    </row>
    <row r="3858" spans="1:8">
      <c r="A3858">
        <v>721063</v>
      </c>
      <c r="B3858" t="s">
        <v>4400</v>
      </c>
      <c r="C3858">
        <v>103</v>
      </c>
      <c r="D3858">
        <v>1.72249464300072</v>
      </c>
      <c r="E3858">
        <v>177.41694822907399</v>
      </c>
      <c r="F3858">
        <v>0.91433730860388995</v>
      </c>
      <c r="G3858">
        <v>0.85493397539596006</v>
      </c>
      <c r="H3858" t="str">
        <f t="shared" si="60"/>
        <v>Q4</v>
      </c>
    </row>
    <row r="3859" spans="1:8">
      <c r="A3859">
        <v>784113</v>
      </c>
      <c r="B3859" t="s">
        <v>1344</v>
      </c>
      <c r="C3859">
        <v>71</v>
      </c>
      <c r="D3859">
        <v>2.49825730841135</v>
      </c>
      <c r="E3859">
        <v>177.37626889720599</v>
      </c>
      <c r="F3859">
        <v>0.87799556073887397</v>
      </c>
      <c r="G3859">
        <v>0.85489635453895596</v>
      </c>
      <c r="H3859" t="str">
        <f t="shared" si="60"/>
        <v>Q4</v>
      </c>
    </row>
    <row r="3860" spans="1:8">
      <c r="A3860">
        <v>775575</v>
      </c>
      <c r="B3860" t="s">
        <v>4268</v>
      </c>
      <c r="C3860">
        <v>23</v>
      </c>
      <c r="D3860">
        <v>7.7103905865679598</v>
      </c>
      <c r="E3860">
        <v>177.338983491063</v>
      </c>
      <c r="F3860">
        <v>0.71547345848538402</v>
      </c>
      <c r="G3860">
        <v>0.85485873368195298</v>
      </c>
      <c r="H3860" t="str">
        <f t="shared" si="60"/>
        <v>Q3</v>
      </c>
    </row>
    <row r="3861" spans="1:8">
      <c r="A3861">
        <v>816832</v>
      </c>
      <c r="B3861" t="s">
        <v>869</v>
      </c>
      <c r="C3861">
        <v>75</v>
      </c>
      <c r="D3861">
        <v>2.3639096120993299</v>
      </c>
      <c r="E3861">
        <v>177.29322090745001</v>
      </c>
      <c r="F3861">
        <v>0.88420300214438896</v>
      </c>
      <c r="G3861">
        <v>0.85482111282494999</v>
      </c>
      <c r="H3861" t="str">
        <f t="shared" si="60"/>
        <v>Q4</v>
      </c>
    </row>
    <row r="3862" spans="1:8">
      <c r="A3862">
        <v>701050</v>
      </c>
      <c r="B3862" t="s">
        <v>969</v>
      </c>
      <c r="C3862">
        <v>139</v>
      </c>
      <c r="D3862">
        <v>1.27527129521473</v>
      </c>
      <c r="E3862">
        <v>177.262710034847</v>
      </c>
      <c r="F3862">
        <v>0.93796320680185097</v>
      </c>
      <c r="G3862">
        <v>0.85478349196794701</v>
      </c>
      <c r="H3862" t="str">
        <f t="shared" si="60"/>
        <v>Q4</v>
      </c>
    </row>
    <row r="3863" spans="1:8">
      <c r="A3863">
        <v>464277</v>
      </c>
      <c r="B3863" t="s">
        <v>1981</v>
      </c>
      <c r="C3863">
        <v>91</v>
      </c>
      <c r="D3863">
        <v>1.94792318065743</v>
      </c>
      <c r="E3863">
        <v>177.26100943982601</v>
      </c>
      <c r="F3863">
        <v>0.90350250178699099</v>
      </c>
      <c r="G3863">
        <v>0.85474587111094402</v>
      </c>
      <c r="H3863" t="str">
        <f t="shared" si="60"/>
        <v>Q4</v>
      </c>
    </row>
    <row r="3864" spans="1:8">
      <c r="A3864">
        <v>740606</v>
      </c>
      <c r="B3864" t="s">
        <v>3160</v>
      </c>
      <c r="C3864">
        <v>54</v>
      </c>
      <c r="D3864">
        <v>3.28220331144554</v>
      </c>
      <c r="E3864">
        <v>177.238978818059</v>
      </c>
      <c r="F3864">
        <v>0.84515255257514799</v>
      </c>
      <c r="G3864">
        <v>0.85470825025394104</v>
      </c>
      <c r="H3864" t="str">
        <f t="shared" si="60"/>
        <v>Q4</v>
      </c>
    </row>
    <row r="3865" spans="1:8">
      <c r="A3865">
        <v>713875</v>
      </c>
      <c r="B3865" t="s">
        <v>779</v>
      </c>
      <c r="C3865">
        <v>134</v>
      </c>
      <c r="D3865">
        <v>1.322236259593</v>
      </c>
      <c r="E3865">
        <v>177.17965878546201</v>
      </c>
      <c r="F3865">
        <v>0.93551785109664798</v>
      </c>
      <c r="G3865">
        <v>0.85467062939693805</v>
      </c>
      <c r="H3865" t="str">
        <f t="shared" si="60"/>
        <v>Q4</v>
      </c>
    </row>
    <row r="3866" spans="1:8">
      <c r="A3866">
        <v>816350</v>
      </c>
      <c r="B3866" t="s">
        <v>3895</v>
      </c>
      <c r="C3866">
        <v>7</v>
      </c>
      <c r="D3866">
        <v>25.3113793475287</v>
      </c>
      <c r="E3866">
        <v>177.179655432701</v>
      </c>
      <c r="F3866">
        <v>0.46627290169670099</v>
      </c>
      <c r="G3866">
        <v>0.85463300853993496</v>
      </c>
      <c r="H3866" t="str">
        <f t="shared" si="60"/>
        <v>Q3</v>
      </c>
    </row>
    <row r="3867" spans="1:8">
      <c r="A3867">
        <v>744276</v>
      </c>
      <c r="B3867" t="s">
        <v>773</v>
      </c>
      <c r="C3867">
        <v>42</v>
      </c>
      <c r="D3867">
        <v>4.2161420785955004</v>
      </c>
      <c r="E3867">
        <v>177.077967301011</v>
      </c>
      <c r="F3867">
        <v>0.81103043527331597</v>
      </c>
      <c r="G3867">
        <v>0.85459538768293097</v>
      </c>
      <c r="H3867" t="str">
        <f t="shared" si="60"/>
        <v>Q4</v>
      </c>
    </row>
    <row r="3868" spans="1:8">
      <c r="A3868">
        <v>814705</v>
      </c>
      <c r="B3868" t="s">
        <v>3689</v>
      </c>
      <c r="C3868">
        <v>29</v>
      </c>
      <c r="D3868">
        <v>6.1035650750172596</v>
      </c>
      <c r="E3868">
        <v>177.0033871755</v>
      </c>
      <c r="F3868">
        <v>0.75501297919566601</v>
      </c>
      <c r="G3868">
        <v>0.85455776682592799</v>
      </c>
      <c r="H3868" t="str">
        <f t="shared" si="60"/>
        <v>Q3</v>
      </c>
    </row>
    <row r="3869" spans="1:8">
      <c r="A3869">
        <v>756130</v>
      </c>
      <c r="B3869" t="s">
        <v>1547</v>
      </c>
      <c r="C3869">
        <v>37</v>
      </c>
      <c r="D3869">
        <v>4.7836006241472999</v>
      </c>
      <c r="E3869">
        <v>176.99322309345001</v>
      </c>
      <c r="F3869">
        <v>0.79304766562582296</v>
      </c>
      <c r="G3869">
        <v>0.854520145968925</v>
      </c>
      <c r="H3869" t="str">
        <f t="shared" si="60"/>
        <v>Q4</v>
      </c>
    </row>
    <row r="3870" spans="1:8">
      <c r="A3870">
        <v>842678</v>
      </c>
      <c r="B3870" t="s">
        <v>4119</v>
      </c>
      <c r="C3870">
        <v>47</v>
      </c>
      <c r="D3870">
        <v>3.76473133392791</v>
      </c>
      <c r="E3870">
        <v>176.942372694612</v>
      </c>
      <c r="F3870">
        <v>0.82641736578759295</v>
      </c>
      <c r="G3870">
        <v>0.85448252511192202</v>
      </c>
      <c r="H3870" t="str">
        <f t="shared" si="60"/>
        <v>Q4</v>
      </c>
    </row>
    <row r="3871" spans="1:8">
      <c r="A3871">
        <v>787684</v>
      </c>
      <c r="B3871" t="s">
        <v>547</v>
      </c>
      <c r="C3871">
        <v>37</v>
      </c>
      <c r="D3871">
        <v>4.7802566173108803</v>
      </c>
      <c r="E3871">
        <v>176.86949484050299</v>
      </c>
      <c r="F3871">
        <v>0.79304766562582296</v>
      </c>
      <c r="G3871">
        <v>0.85444490425491904</v>
      </c>
      <c r="H3871" t="str">
        <f t="shared" si="60"/>
        <v>Q4</v>
      </c>
    </row>
    <row r="3872" spans="1:8">
      <c r="A3872">
        <v>707051</v>
      </c>
      <c r="B3872" t="s">
        <v>1946</v>
      </c>
      <c r="C3872">
        <v>30</v>
      </c>
      <c r="D3872">
        <v>5.8924858365207902</v>
      </c>
      <c r="E3872">
        <v>176.77457509562399</v>
      </c>
      <c r="F3872">
        <v>0.760430382604116</v>
      </c>
      <c r="G3872">
        <v>0.85440728339791605</v>
      </c>
      <c r="H3872" t="str">
        <f t="shared" si="60"/>
        <v>Q3</v>
      </c>
    </row>
    <row r="3873" spans="1:8">
      <c r="A3873">
        <v>773158</v>
      </c>
      <c r="B3873" t="s">
        <v>1971</v>
      </c>
      <c r="C3873">
        <v>33</v>
      </c>
      <c r="D3873">
        <v>5.3567027278018697</v>
      </c>
      <c r="E3873">
        <v>176.771190017462</v>
      </c>
      <c r="F3873">
        <v>0.77551634626236798</v>
      </c>
      <c r="G3873">
        <v>0.85436966254091296</v>
      </c>
      <c r="H3873" t="str">
        <f t="shared" si="60"/>
        <v>Q3</v>
      </c>
    </row>
    <row r="3874" spans="1:8">
      <c r="A3874">
        <v>753916</v>
      </c>
      <c r="B3874" t="s">
        <v>926</v>
      </c>
      <c r="C3874">
        <v>73</v>
      </c>
      <c r="D3874">
        <v>2.4210355219061199</v>
      </c>
      <c r="E3874">
        <v>176.735593099147</v>
      </c>
      <c r="F3874">
        <v>0.88111809187013301</v>
      </c>
      <c r="G3874">
        <v>0.85433204168390997</v>
      </c>
      <c r="H3874" t="str">
        <f t="shared" si="60"/>
        <v>Q4</v>
      </c>
    </row>
    <row r="3875" spans="1:8">
      <c r="A3875">
        <v>781225</v>
      </c>
      <c r="B3875" t="s">
        <v>740</v>
      </c>
      <c r="C3875">
        <v>55</v>
      </c>
      <c r="D3875">
        <v>3.2128196886994602</v>
      </c>
      <c r="E3875">
        <v>176.70508287846999</v>
      </c>
      <c r="F3875">
        <v>0.84763552913735396</v>
      </c>
      <c r="G3875">
        <v>0.85429442082690599</v>
      </c>
      <c r="H3875" t="str">
        <f t="shared" si="60"/>
        <v>Q4</v>
      </c>
    </row>
    <row r="3876" spans="1:8">
      <c r="A3876">
        <v>719319</v>
      </c>
      <c r="B3876" t="s">
        <v>5006</v>
      </c>
      <c r="C3876">
        <v>55</v>
      </c>
      <c r="D3876">
        <v>3.2126656073060902</v>
      </c>
      <c r="E3876">
        <v>176.69660840183499</v>
      </c>
      <c r="F3876">
        <v>0.84763552913735396</v>
      </c>
      <c r="G3876">
        <v>0.854256799969903</v>
      </c>
      <c r="H3876" t="str">
        <f t="shared" si="60"/>
        <v>Q4</v>
      </c>
    </row>
    <row r="3877" spans="1:8">
      <c r="A3877">
        <v>802087</v>
      </c>
      <c r="B3877" t="s">
        <v>4244</v>
      </c>
      <c r="C3877">
        <v>45</v>
      </c>
      <c r="D3877">
        <v>3.9246704387995899</v>
      </c>
      <c r="E3877">
        <v>176.61016974598201</v>
      </c>
      <c r="F3877">
        <v>0.82069899552311798</v>
      </c>
      <c r="G3877">
        <v>0.85421917911290002</v>
      </c>
      <c r="H3877" t="str">
        <f t="shared" si="60"/>
        <v>Q4</v>
      </c>
    </row>
    <row r="3878" spans="1:8">
      <c r="A3878">
        <v>667096</v>
      </c>
      <c r="B3878" t="s">
        <v>1483</v>
      </c>
      <c r="C3878">
        <v>84</v>
      </c>
      <c r="D3878">
        <v>2.1024616695718801</v>
      </c>
      <c r="E3878">
        <v>176.60678024403799</v>
      </c>
      <c r="F3878">
        <v>0.89639215981340103</v>
      </c>
      <c r="G3878">
        <v>0.85418155825589703</v>
      </c>
      <c r="H3878" t="str">
        <f t="shared" si="60"/>
        <v>Q4</v>
      </c>
    </row>
    <row r="3879" spans="1:8">
      <c r="A3879">
        <v>643582</v>
      </c>
      <c r="B3879" t="s">
        <v>849</v>
      </c>
      <c r="C3879">
        <v>107</v>
      </c>
      <c r="D3879">
        <v>1.65049895974938</v>
      </c>
      <c r="E3879">
        <v>176.603388693184</v>
      </c>
      <c r="F3879">
        <v>0.91791129001918703</v>
      </c>
      <c r="G3879">
        <v>0.85414393739889405</v>
      </c>
      <c r="H3879" t="str">
        <f t="shared" si="60"/>
        <v>Q4</v>
      </c>
    </row>
    <row r="3880" spans="1:8">
      <c r="A3880">
        <v>732371</v>
      </c>
      <c r="B3880" t="s">
        <v>1723</v>
      </c>
      <c r="C3880">
        <v>35</v>
      </c>
      <c r="D3880">
        <v>5.0443583407572303</v>
      </c>
      <c r="E3880">
        <v>176.55254192650301</v>
      </c>
      <c r="F3880">
        <v>0.78420676423008895</v>
      </c>
      <c r="G3880">
        <v>0.85410631654189095</v>
      </c>
      <c r="H3880" t="str">
        <f t="shared" si="60"/>
        <v>Q3</v>
      </c>
    </row>
    <row r="3881" spans="1:8">
      <c r="A3881">
        <v>782562</v>
      </c>
      <c r="B3881" t="s">
        <v>4651</v>
      </c>
      <c r="C3881">
        <v>16</v>
      </c>
      <c r="D3881">
        <v>11.033792281523301</v>
      </c>
      <c r="E3881">
        <v>176.54067650437401</v>
      </c>
      <c r="F3881">
        <v>0.64756781159474797</v>
      </c>
      <c r="G3881">
        <v>0.85406869568488797</v>
      </c>
      <c r="H3881" t="str">
        <f t="shared" si="60"/>
        <v>Q3</v>
      </c>
    </row>
    <row r="3882" spans="1:8">
      <c r="A3882">
        <v>621760</v>
      </c>
      <c r="B3882" t="s">
        <v>3277</v>
      </c>
      <c r="C3882">
        <v>152</v>
      </c>
      <c r="D3882">
        <v>1.16131799571265</v>
      </c>
      <c r="E3882">
        <v>176.52033534832299</v>
      </c>
      <c r="F3882">
        <v>0.94371919792332903</v>
      </c>
      <c r="G3882">
        <v>0.85403107482788498</v>
      </c>
      <c r="H3882" t="str">
        <f t="shared" si="60"/>
        <v>Q4</v>
      </c>
    </row>
    <row r="3883" spans="1:8">
      <c r="A3883">
        <v>573152</v>
      </c>
      <c r="B3883" t="s">
        <v>2223</v>
      </c>
      <c r="C3883">
        <v>85</v>
      </c>
      <c r="D3883">
        <v>2.0764307091560399</v>
      </c>
      <c r="E3883">
        <v>176.496610278264</v>
      </c>
      <c r="F3883">
        <v>0.89721981866746903</v>
      </c>
      <c r="G3883">
        <v>0.853993453970881</v>
      </c>
      <c r="H3883" t="str">
        <f t="shared" si="60"/>
        <v>Q4</v>
      </c>
    </row>
    <row r="3884" spans="1:8">
      <c r="A3884">
        <v>807215</v>
      </c>
      <c r="B3884" t="s">
        <v>5243</v>
      </c>
      <c r="C3884">
        <v>44</v>
      </c>
      <c r="D3884">
        <v>4.0095916949212604</v>
      </c>
      <c r="E3884">
        <v>176.422034576535</v>
      </c>
      <c r="F3884">
        <v>0.817689326962868</v>
      </c>
      <c r="G3884">
        <v>0.85395583311387802</v>
      </c>
      <c r="H3884" t="str">
        <f t="shared" si="60"/>
        <v>Q4</v>
      </c>
    </row>
    <row r="3885" spans="1:8">
      <c r="A3885">
        <v>738599</v>
      </c>
      <c r="B3885" t="s">
        <v>5274</v>
      </c>
      <c r="C3885">
        <v>110</v>
      </c>
      <c r="D3885">
        <v>1.6035284389826401</v>
      </c>
      <c r="E3885">
        <v>176.38812828809</v>
      </c>
      <c r="F3885">
        <v>0.92001805801136105</v>
      </c>
      <c r="G3885">
        <v>0.85391821225687503</v>
      </c>
      <c r="H3885" t="str">
        <f t="shared" si="60"/>
        <v>Q4</v>
      </c>
    </row>
    <row r="3886" spans="1:8">
      <c r="A3886">
        <v>721006</v>
      </c>
      <c r="B3886" t="s">
        <v>3811</v>
      </c>
      <c r="C3886">
        <v>72</v>
      </c>
      <c r="D3886">
        <v>2.44868173807239</v>
      </c>
      <c r="E3886">
        <v>176.305085141212</v>
      </c>
      <c r="F3886">
        <v>0.87957563673300498</v>
      </c>
      <c r="G3886">
        <v>0.85388059139987205</v>
      </c>
      <c r="H3886" t="str">
        <f t="shared" si="60"/>
        <v>Q4</v>
      </c>
    </row>
    <row r="3887" spans="1:8">
      <c r="A3887">
        <v>656749</v>
      </c>
      <c r="B3887" t="s">
        <v>2247</v>
      </c>
      <c r="C3887">
        <v>38</v>
      </c>
      <c r="D3887">
        <v>4.63898314261123</v>
      </c>
      <c r="E3887">
        <v>176.28135941922699</v>
      </c>
      <c r="F3887">
        <v>0.79696023475414801</v>
      </c>
      <c r="G3887">
        <v>0.85384297054286895</v>
      </c>
      <c r="H3887" t="str">
        <f t="shared" si="60"/>
        <v>Q4</v>
      </c>
    </row>
    <row r="3888" spans="1:8">
      <c r="A3888">
        <v>703133</v>
      </c>
      <c r="B3888" t="s">
        <v>4324</v>
      </c>
      <c r="C3888">
        <v>79</v>
      </c>
      <c r="D3888">
        <v>2.2307873845006099</v>
      </c>
      <c r="E3888">
        <v>176.23220337554801</v>
      </c>
      <c r="F3888">
        <v>0.89022233926488803</v>
      </c>
      <c r="G3888">
        <v>0.85380534968586597</v>
      </c>
      <c r="H3888" t="str">
        <f t="shared" si="60"/>
        <v>Q4</v>
      </c>
    </row>
    <row r="3889" spans="1:8">
      <c r="A3889">
        <v>784143</v>
      </c>
      <c r="B3889" t="s">
        <v>4635</v>
      </c>
      <c r="C3889">
        <v>54</v>
      </c>
      <c r="D3889">
        <v>3.2620212787555301</v>
      </c>
      <c r="E3889">
        <v>176.149149052799</v>
      </c>
      <c r="F3889">
        <v>0.84515255257514799</v>
      </c>
      <c r="G3889">
        <v>0.85376772882886298</v>
      </c>
      <c r="H3889" t="str">
        <f t="shared" si="60"/>
        <v>Q4</v>
      </c>
    </row>
    <row r="3890" spans="1:8">
      <c r="A3890">
        <v>746562</v>
      </c>
      <c r="B3890" t="s">
        <v>2295</v>
      </c>
      <c r="C3890">
        <v>136</v>
      </c>
      <c r="D3890">
        <v>1.2947283038075099</v>
      </c>
      <c r="E3890">
        <v>176.083049317822</v>
      </c>
      <c r="F3890">
        <v>0.93630788909371399</v>
      </c>
      <c r="G3890">
        <v>0.85373010797186</v>
      </c>
      <c r="H3890" t="str">
        <f t="shared" si="60"/>
        <v>Q4</v>
      </c>
    </row>
    <row r="3891" spans="1:8">
      <c r="A3891">
        <v>751155</v>
      </c>
      <c r="B3891" t="s">
        <v>4337</v>
      </c>
      <c r="C3891">
        <v>60</v>
      </c>
      <c r="D3891">
        <v>2.93412428970138</v>
      </c>
      <c r="E3891">
        <v>176.047457382083</v>
      </c>
      <c r="F3891">
        <v>0.85805650652721899</v>
      </c>
      <c r="G3891">
        <v>0.85369248711485601</v>
      </c>
      <c r="H3891" t="str">
        <f t="shared" si="60"/>
        <v>Q4</v>
      </c>
    </row>
    <row r="3892" spans="1:8">
      <c r="A3892">
        <v>822877</v>
      </c>
      <c r="B3892" t="s">
        <v>1657</v>
      </c>
      <c r="C3892">
        <v>25</v>
      </c>
      <c r="D3892">
        <v>7.0395932197570801</v>
      </c>
      <c r="E3892">
        <v>175.989830493927</v>
      </c>
      <c r="F3892">
        <v>0.72991986757458305</v>
      </c>
      <c r="G3892">
        <v>0.85365486625785303</v>
      </c>
      <c r="H3892" t="str">
        <f t="shared" si="60"/>
        <v>Q3</v>
      </c>
    </row>
    <row r="3893" spans="1:8">
      <c r="A3893">
        <v>769344</v>
      </c>
      <c r="B3893" t="s">
        <v>2982</v>
      </c>
      <c r="C3893">
        <v>43</v>
      </c>
      <c r="D3893">
        <v>4.09235320552144</v>
      </c>
      <c r="E3893">
        <v>175.97118783742201</v>
      </c>
      <c r="F3893">
        <v>0.81437869154659304</v>
      </c>
      <c r="G3893">
        <v>0.85361724540085004</v>
      </c>
      <c r="H3893" t="str">
        <f t="shared" si="60"/>
        <v>Q4</v>
      </c>
    </row>
    <row r="3894" spans="1:8">
      <c r="A3894">
        <v>701274</v>
      </c>
      <c r="B3894" t="s">
        <v>2015</v>
      </c>
      <c r="C3894">
        <v>76</v>
      </c>
      <c r="D3894">
        <v>2.3146966558047799</v>
      </c>
      <c r="E3894">
        <v>175.916945841163</v>
      </c>
      <c r="F3894">
        <v>0.88612166585154795</v>
      </c>
      <c r="G3894">
        <v>0.85357962454384695</v>
      </c>
      <c r="H3894" t="str">
        <f t="shared" si="60"/>
        <v>Q4</v>
      </c>
    </row>
    <row r="3895" spans="1:8">
      <c r="A3895">
        <v>734590</v>
      </c>
      <c r="B3895" t="s">
        <v>485</v>
      </c>
      <c r="C3895">
        <v>26</v>
      </c>
      <c r="D3895">
        <v>6.7642764188349203</v>
      </c>
      <c r="E3895">
        <v>175.87118688970801</v>
      </c>
      <c r="F3895">
        <v>0.73706783040517698</v>
      </c>
      <c r="G3895">
        <v>0.85354200368684396</v>
      </c>
      <c r="H3895" t="str">
        <f t="shared" si="60"/>
        <v>Q3</v>
      </c>
    </row>
    <row r="3896" spans="1:8">
      <c r="A3896">
        <v>733868</v>
      </c>
      <c r="B3896" t="s">
        <v>4286</v>
      </c>
      <c r="C3896">
        <v>35</v>
      </c>
      <c r="D3896">
        <v>5.0226634767438698</v>
      </c>
      <c r="E3896">
        <v>175.793221686035</v>
      </c>
      <c r="F3896">
        <v>0.78420676423008895</v>
      </c>
      <c r="G3896">
        <v>0.85350438282984098</v>
      </c>
      <c r="H3896" t="str">
        <f t="shared" si="60"/>
        <v>Q3</v>
      </c>
    </row>
    <row r="3897" spans="1:8">
      <c r="A3897">
        <v>615178</v>
      </c>
      <c r="B3897" t="s">
        <v>1253</v>
      </c>
      <c r="C3897">
        <v>84</v>
      </c>
      <c r="D3897">
        <v>2.0925140717909501</v>
      </c>
      <c r="E3897">
        <v>175.77118203043901</v>
      </c>
      <c r="F3897">
        <v>0.89639215981340103</v>
      </c>
      <c r="G3897">
        <v>0.853466761972838</v>
      </c>
      <c r="H3897" t="str">
        <f t="shared" si="60"/>
        <v>Q4</v>
      </c>
    </row>
    <row r="3898" spans="1:8">
      <c r="A3898">
        <v>723667</v>
      </c>
      <c r="B3898" t="s">
        <v>1832</v>
      </c>
      <c r="C3898">
        <v>55</v>
      </c>
      <c r="D3898">
        <v>3.1930045512589502</v>
      </c>
      <c r="E3898">
        <v>175.61525031924199</v>
      </c>
      <c r="F3898">
        <v>0.84763552913735396</v>
      </c>
      <c r="G3898">
        <v>0.85342914111583501</v>
      </c>
      <c r="H3898" t="str">
        <f t="shared" si="60"/>
        <v>Q4</v>
      </c>
    </row>
    <row r="3899" spans="1:8">
      <c r="A3899">
        <v>620945</v>
      </c>
      <c r="B3899" t="s">
        <v>3638</v>
      </c>
      <c r="C3899">
        <v>300</v>
      </c>
      <c r="D3899">
        <v>0.58514124471306195</v>
      </c>
      <c r="E3899">
        <v>175.54237341391899</v>
      </c>
      <c r="F3899">
        <v>0.97611075580301698</v>
      </c>
      <c r="G3899">
        <v>0.85339152025883103</v>
      </c>
      <c r="H3899" t="str">
        <f t="shared" si="60"/>
        <v>Q2</v>
      </c>
    </row>
    <row r="3900" spans="1:8">
      <c r="A3900">
        <v>771124</v>
      </c>
      <c r="B3900" t="s">
        <v>495</v>
      </c>
      <c r="C3900">
        <v>111</v>
      </c>
      <c r="D3900">
        <v>1.58123372642844</v>
      </c>
      <c r="E3900">
        <v>175.516943633556</v>
      </c>
      <c r="F3900">
        <v>0.92084571686543004</v>
      </c>
      <c r="G3900">
        <v>0.85335389940182804</v>
      </c>
      <c r="H3900" t="str">
        <f t="shared" si="60"/>
        <v>Q4</v>
      </c>
    </row>
    <row r="3901" spans="1:8">
      <c r="A3901">
        <v>664871</v>
      </c>
      <c r="B3901" t="s">
        <v>199</v>
      </c>
      <c r="C3901">
        <v>43</v>
      </c>
      <c r="D3901">
        <v>4.0809223385051201</v>
      </c>
      <c r="E3901">
        <v>175.47966055571999</v>
      </c>
      <c r="F3901">
        <v>0.81437869154659304</v>
      </c>
      <c r="G3901">
        <v>0.85331627854482495</v>
      </c>
      <c r="H3901" t="str">
        <f t="shared" si="60"/>
        <v>Q4</v>
      </c>
    </row>
    <row r="3902" spans="1:8">
      <c r="A3902">
        <v>759174</v>
      </c>
      <c r="B3902" t="s">
        <v>3100</v>
      </c>
      <c r="C3902">
        <v>53</v>
      </c>
      <c r="D3902">
        <v>3.3104253405669999</v>
      </c>
      <c r="E3902">
        <v>175.45254305005099</v>
      </c>
      <c r="F3902">
        <v>0.84218050487190099</v>
      </c>
      <c r="G3902">
        <v>0.85327865768782196</v>
      </c>
      <c r="H3902" t="str">
        <f t="shared" si="60"/>
        <v>Q4</v>
      </c>
    </row>
    <row r="3903" spans="1:8">
      <c r="A3903">
        <v>760667</v>
      </c>
      <c r="B3903" t="s">
        <v>4335</v>
      </c>
      <c r="C3903">
        <v>28</v>
      </c>
      <c r="D3903">
        <v>6.2659200546996896</v>
      </c>
      <c r="E3903">
        <v>175.44576153159099</v>
      </c>
      <c r="F3903">
        <v>0.74974605921522897</v>
      </c>
      <c r="G3903">
        <v>0.85324103683081898</v>
      </c>
      <c r="H3903" t="str">
        <f t="shared" si="60"/>
        <v>Q3</v>
      </c>
    </row>
    <row r="3904" spans="1:8">
      <c r="A3904">
        <v>748796</v>
      </c>
      <c r="B3904" t="s">
        <v>3867</v>
      </c>
      <c r="C3904">
        <v>33</v>
      </c>
      <c r="D3904">
        <v>5.3130458532409204</v>
      </c>
      <c r="E3904">
        <v>175.33051315694999</v>
      </c>
      <c r="F3904">
        <v>0.77551634626236798</v>
      </c>
      <c r="G3904">
        <v>0.85320341597381599</v>
      </c>
      <c r="H3904" t="str">
        <f t="shared" si="60"/>
        <v>Q3</v>
      </c>
    </row>
    <row r="3905" spans="1:8">
      <c r="A3905">
        <v>569978</v>
      </c>
      <c r="B3905" t="s">
        <v>4970</v>
      </c>
      <c r="C3905">
        <v>63</v>
      </c>
      <c r="D3905">
        <v>2.7808716121528798</v>
      </c>
      <c r="E3905">
        <v>175.194911565632</v>
      </c>
      <c r="F3905">
        <v>0.86445205221775001</v>
      </c>
      <c r="G3905">
        <v>0.85316579511681301</v>
      </c>
      <c r="H3905" t="str">
        <f t="shared" si="60"/>
        <v>Q4</v>
      </c>
    </row>
    <row r="3906" spans="1:8">
      <c r="A3906">
        <v>783098</v>
      </c>
      <c r="B3906" t="s">
        <v>4312</v>
      </c>
      <c r="C3906">
        <v>112</v>
      </c>
      <c r="D3906">
        <v>1.56405865896626</v>
      </c>
      <c r="E3906">
        <v>175.17456980422099</v>
      </c>
      <c r="F3906">
        <v>0.92156051314848997</v>
      </c>
      <c r="G3906">
        <v>0.85312817425981002</v>
      </c>
      <c r="H3906" t="str">
        <f t="shared" si="60"/>
        <v>Q4</v>
      </c>
    </row>
    <row r="3907" spans="1:8">
      <c r="A3907">
        <v>810106</v>
      </c>
      <c r="B3907" t="s">
        <v>2369</v>
      </c>
      <c r="C3907">
        <v>60</v>
      </c>
      <c r="D3907">
        <v>2.9186440321306399</v>
      </c>
      <c r="E3907">
        <v>175.11864192783801</v>
      </c>
      <c r="F3907">
        <v>0.85805650652721899</v>
      </c>
      <c r="G3907">
        <v>0.85309055340280604</v>
      </c>
      <c r="H3907" t="str">
        <f t="shared" ref="H3907:H3970" si="61">IF(C3907&gt;$J$2,
   IF(D3907&gt;$J$3,"Q1","Q2"),
   IF(D3907&gt;$J$3,"Q3","Q4"))</f>
        <v>Q4</v>
      </c>
    </row>
    <row r="3908" spans="1:8">
      <c r="A3908">
        <v>731521</v>
      </c>
      <c r="B3908" t="s">
        <v>4458</v>
      </c>
      <c r="C3908">
        <v>55</v>
      </c>
      <c r="D3908">
        <v>3.1836671449921301</v>
      </c>
      <c r="E3908">
        <v>175.10169297456699</v>
      </c>
      <c r="F3908">
        <v>0.84763552913735396</v>
      </c>
      <c r="G3908">
        <v>0.85305293254580306</v>
      </c>
      <c r="H3908" t="str">
        <f t="shared" si="61"/>
        <v>Q4</v>
      </c>
    </row>
    <row r="3909" spans="1:8">
      <c r="A3909">
        <v>731710</v>
      </c>
      <c r="B3909" t="s">
        <v>1568</v>
      </c>
      <c r="C3909">
        <v>72</v>
      </c>
      <c r="D3909">
        <v>2.4313794733542502</v>
      </c>
      <c r="E3909">
        <v>175.059322081506</v>
      </c>
      <c r="F3909">
        <v>0.87957563673300498</v>
      </c>
      <c r="G3909">
        <v>0.85301531168879996</v>
      </c>
      <c r="H3909" t="str">
        <f t="shared" si="61"/>
        <v>Q4</v>
      </c>
    </row>
    <row r="3910" spans="1:8">
      <c r="A3910">
        <v>728160</v>
      </c>
      <c r="B3910" t="s">
        <v>2994</v>
      </c>
      <c r="C3910">
        <v>45</v>
      </c>
      <c r="D3910">
        <v>3.88986823252506</v>
      </c>
      <c r="E3910">
        <v>175.044070463628</v>
      </c>
      <c r="F3910">
        <v>0.82069899552311798</v>
      </c>
      <c r="G3910">
        <v>0.85297769083179698</v>
      </c>
      <c r="H3910" t="str">
        <f t="shared" si="61"/>
        <v>Q4</v>
      </c>
    </row>
    <row r="3911" spans="1:8">
      <c r="A3911">
        <v>793848</v>
      </c>
      <c r="B3911" t="s">
        <v>759</v>
      </c>
      <c r="C3911">
        <v>54</v>
      </c>
      <c r="D3911">
        <v>3.2412742850957099</v>
      </c>
      <c r="E3911">
        <v>175.02881139516799</v>
      </c>
      <c r="F3911">
        <v>0.84515255257514799</v>
      </c>
      <c r="G3911">
        <v>0.85294006997479399</v>
      </c>
      <c r="H3911" t="str">
        <f t="shared" si="61"/>
        <v>Q4</v>
      </c>
    </row>
    <row r="3912" spans="1:8">
      <c r="A3912">
        <v>813265</v>
      </c>
      <c r="B3912" t="s">
        <v>1556</v>
      </c>
      <c r="C3912">
        <v>37</v>
      </c>
      <c r="D3912">
        <v>4.72968397913752</v>
      </c>
      <c r="E3912">
        <v>174.99830722808801</v>
      </c>
      <c r="F3912">
        <v>0.79304766562582296</v>
      </c>
      <c r="G3912">
        <v>0.85290244911779101</v>
      </c>
      <c r="H3912" t="str">
        <f t="shared" si="61"/>
        <v>Q4</v>
      </c>
    </row>
    <row r="3913" spans="1:8">
      <c r="A3913">
        <v>727702</v>
      </c>
      <c r="B3913" t="s">
        <v>5140</v>
      </c>
      <c r="C3913">
        <v>54</v>
      </c>
      <c r="D3913">
        <v>3.24033264208723</v>
      </c>
      <c r="E3913">
        <v>174.97796267270999</v>
      </c>
      <c r="F3913">
        <v>0.84515255257514799</v>
      </c>
      <c r="G3913">
        <v>0.85286482826078802</v>
      </c>
      <c r="H3913" t="str">
        <f t="shared" si="61"/>
        <v>Q4</v>
      </c>
    </row>
    <row r="3914" spans="1:8">
      <c r="A3914">
        <v>549607</v>
      </c>
      <c r="B3914" t="s">
        <v>310</v>
      </c>
      <c r="C3914">
        <v>19</v>
      </c>
      <c r="D3914">
        <v>9.2057092605452802</v>
      </c>
      <c r="E3914">
        <v>174.90847595036001</v>
      </c>
      <c r="F3914">
        <v>0.68195327489560198</v>
      </c>
      <c r="G3914">
        <v>0.85282720740378504</v>
      </c>
      <c r="H3914" t="str">
        <f t="shared" si="61"/>
        <v>Q3</v>
      </c>
    </row>
    <row r="3915" spans="1:8">
      <c r="A3915">
        <v>810383</v>
      </c>
      <c r="B3915" t="s">
        <v>1507</v>
      </c>
      <c r="C3915">
        <v>53</v>
      </c>
      <c r="D3915">
        <v>3.29862481932033</v>
      </c>
      <c r="E3915">
        <v>174.82711542397701</v>
      </c>
      <c r="F3915">
        <v>0.84218050487190099</v>
      </c>
      <c r="G3915">
        <v>0.85278958654678105</v>
      </c>
      <c r="H3915" t="str">
        <f t="shared" si="61"/>
        <v>Q4</v>
      </c>
    </row>
    <row r="3916" spans="1:8">
      <c r="A3916">
        <v>748030</v>
      </c>
      <c r="B3916" t="s">
        <v>399</v>
      </c>
      <c r="C3916">
        <v>81</v>
      </c>
      <c r="D3916">
        <v>2.1581082938262002</v>
      </c>
      <c r="E3916">
        <v>174.80677179992199</v>
      </c>
      <c r="F3916">
        <v>0.89293104096911302</v>
      </c>
      <c r="G3916">
        <v>0.85275196568977796</v>
      </c>
      <c r="H3916" t="str">
        <f t="shared" si="61"/>
        <v>Q4</v>
      </c>
    </row>
    <row r="3917" spans="1:8">
      <c r="A3917">
        <v>780188</v>
      </c>
      <c r="B3917" t="s">
        <v>5116</v>
      </c>
      <c r="C3917">
        <v>138</v>
      </c>
      <c r="D3917">
        <v>1.26664209301057</v>
      </c>
      <c r="E3917">
        <v>174.79660883545901</v>
      </c>
      <c r="F3917">
        <v>0.93747413566080995</v>
      </c>
      <c r="G3917">
        <v>0.85271434483277497</v>
      </c>
      <c r="H3917" t="str">
        <f t="shared" si="61"/>
        <v>Q4</v>
      </c>
    </row>
    <row r="3918" spans="1:8">
      <c r="A3918">
        <v>270381</v>
      </c>
      <c r="B3918" t="s">
        <v>1074</v>
      </c>
      <c r="C3918">
        <v>169</v>
      </c>
      <c r="D3918">
        <v>1.0338982968789501</v>
      </c>
      <c r="E3918">
        <v>174.728812172543</v>
      </c>
      <c r="F3918">
        <v>0.94973853504382799</v>
      </c>
      <c r="G3918">
        <v>0.85267672397577199</v>
      </c>
      <c r="H3918" t="str">
        <f t="shared" si="61"/>
        <v>Q2</v>
      </c>
    </row>
    <row r="3919" spans="1:8">
      <c r="A3919">
        <v>709007</v>
      </c>
      <c r="B3919" t="s">
        <v>184</v>
      </c>
      <c r="C3919">
        <v>34</v>
      </c>
      <c r="D3919">
        <v>5.1321036620613398</v>
      </c>
      <c r="E3919">
        <v>174.49152451008601</v>
      </c>
      <c r="F3919">
        <v>0.77969226138971404</v>
      </c>
      <c r="G3919">
        <v>0.852639103118769</v>
      </c>
      <c r="H3919" t="str">
        <f t="shared" si="61"/>
        <v>Q3</v>
      </c>
    </row>
    <row r="3920" spans="1:8">
      <c r="A3920">
        <v>793506</v>
      </c>
      <c r="B3920" t="s">
        <v>1015</v>
      </c>
      <c r="C3920">
        <v>73</v>
      </c>
      <c r="D3920">
        <v>2.3895983335447202</v>
      </c>
      <c r="E3920">
        <v>174.440678348765</v>
      </c>
      <c r="F3920">
        <v>0.88111809187013301</v>
      </c>
      <c r="G3920">
        <v>0.85260148226176602</v>
      </c>
      <c r="H3920" t="str">
        <f t="shared" si="61"/>
        <v>Q4</v>
      </c>
    </row>
    <row r="3921" spans="1:8">
      <c r="A3921">
        <v>682848</v>
      </c>
      <c r="B3921" t="s">
        <v>4446</v>
      </c>
      <c r="C3921">
        <v>62</v>
      </c>
      <c r="D3921">
        <v>2.8111809474085598</v>
      </c>
      <c r="E3921">
        <v>174.293218739331</v>
      </c>
      <c r="F3921">
        <v>0.86238290508257798</v>
      </c>
      <c r="G3921">
        <v>0.85256386140476303</v>
      </c>
      <c r="H3921" t="str">
        <f t="shared" si="61"/>
        <v>Q4</v>
      </c>
    </row>
    <row r="3922" spans="1:8">
      <c r="A3922">
        <v>763344</v>
      </c>
      <c r="B3922" t="s">
        <v>4641</v>
      </c>
      <c r="C3922">
        <v>35</v>
      </c>
      <c r="D3922">
        <v>4.9675545947892301</v>
      </c>
      <c r="E3922">
        <v>173.864410817623</v>
      </c>
      <c r="F3922">
        <v>0.78420676423008895</v>
      </c>
      <c r="G3922">
        <v>0.85252624054776005</v>
      </c>
      <c r="H3922" t="str">
        <f t="shared" si="61"/>
        <v>Q3</v>
      </c>
    </row>
    <row r="3923" spans="1:8">
      <c r="A3923">
        <v>789403</v>
      </c>
      <c r="B3923" t="s">
        <v>825</v>
      </c>
      <c r="C3923">
        <v>51</v>
      </c>
      <c r="D3923">
        <v>3.4080093178678998</v>
      </c>
      <c r="E3923">
        <v>173.80847521126299</v>
      </c>
      <c r="F3923">
        <v>0.83762838117452298</v>
      </c>
      <c r="G3923">
        <v>0.85248861969075695</v>
      </c>
      <c r="H3923" t="str">
        <f t="shared" si="61"/>
        <v>Q4</v>
      </c>
    </row>
    <row r="3924" spans="1:8">
      <c r="A3924">
        <v>742124</v>
      </c>
      <c r="B3924" t="s">
        <v>1667</v>
      </c>
      <c r="C3924">
        <v>59</v>
      </c>
      <c r="D3924">
        <v>2.94495828260305</v>
      </c>
      <c r="E3924">
        <v>173.75253867358001</v>
      </c>
      <c r="F3924">
        <v>0.85617546367706299</v>
      </c>
      <c r="G3924">
        <v>0.85245099883375297</v>
      </c>
      <c r="H3924" t="str">
        <f t="shared" si="61"/>
        <v>Q4</v>
      </c>
    </row>
    <row r="3925" spans="1:8">
      <c r="A3925">
        <v>543054</v>
      </c>
      <c r="B3925" t="s">
        <v>1256</v>
      </c>
      <c r="C3925">
        <v>44</v>
      </c>
      <c r="D3925">
        <v>3.9458012420006798</v>
      </c>
      <c r="E3925">
        <v>173.61525464803</v>
      </c>
      <c r="F3925">
        <v>0.817689326962868</v>
      </c>
      <c r="G3925">
        <v>0.85241337797674999</v>
      </c>
      <c r="H3925" t="str">
        <f t="shared" si="61"/>
        <v>Q4</v>
      </c>
    </row>
    <row r="3926" spans="1:8">
      <c r="A3926">
        <v>694321</v>
      </c>
      <c r="B3926" t="s">
        <v>1598</v>
      </c>
      <c r="C3926">
        <v>42</v>
      </c>
      <c r="D3926">
        <v>4.1295803551162997</v>
      </c>
      <c r="E3926">
        <v>173.44237491488499</v>
      </c>
      <c r="F3926">
        <v>0.81103043527331597</v>
      </c>
      <c r="G3926">
        <v>0.852375757119747</v>
      </c>
      <c r="H3926" t="str">
        <f t="shared" si="61"/>
        <v>Q4</v>
      </c>
    </row>
    <row r="3927" spans="1:8">
      <c r="A3927">
        <v>764536</v>
      </c>
      <c r="B3927" t="s">
        <v>2751</v>
      </c>
      <c r="C3927">
        <v>43</v>
      </c>
      <c r="D3927">
        <v>4.0334253203730297</v>
      </c>
      <c r="E3927">
        <v>173.43728877603999</v>
      </c>
      <c r="F3927">
        <v>0.81437869154659304</v>
      </c>
      <c r="G3927">
        <v>0.85233813626274402</v>
      </c>
      <c r="H3927" t="str">
        <f t="shared" si="61"/>
        <v>Q4</v>
      </c>
    </row>
    <row r="3928" spans="1:8">
      <c r="A3928">
        <v>798252</v>
      </c>
      <c r="B3928" t="s">
        <v>1405</v>
      </c>
      <c r="C3928">
        <v>22</v>
      </c>
      <c r="D3928">
        <v>7.8832049938765403</v>
      </c>
      <c r="E3928">
        <v>173.43050986528399</v>
      </c>
      <c r="F3928">
        <v>0.707723561942741</v>
      </c>
      <c r="G3928">
        <v>0.85230051540574103</v>
      </c>
      <c r="H3928" t="str">
        <f t="shared" si="61"/>
        <v>Q3</v>
      </c>
    </row>
    <row r="3929" spans="1:8">
      <c r="A3929">
        <v>718131</v>
      </c>
      <c r="B3929" t="s">
        <v>4418</v>
      </c>
      <c r="C3929">
        <v>42</v>
      </c>
      <c r="D3929">
        <v>4.1292574744494202</v>
      </c>
      <c r="E3929">
        <v>173.42881392687599</v>
      </c>
      <c r="F3929">
        <v>0.81103043527331597</v>
      </c>
      <c r="G3929">
        <v>0.85226289454873805</v>
      </c>
      <c r="H3929" t="str">
        <f t="shared" si="61"/>
        <v>Q4</v>
      </c>
    </row>
    <row r="3930" spans="1:8">
      <c r="A3930">
        <v>724171</v>
      </c>
      <c r="B3930" t="s">
        <v>3303</v>
      </c>
      <c r="C3930">
        <v>35</v>
      </c>
      <c r="D3930">
        <v>4.9535109741347201</v>
      </c>
      <c r="E3930">
        <v>173.372884094715</v>
      </c>
      <c r="F3930">
        <v>0.78420676423008895</v>
      </c>
      <c r="G3930">
        <v>0.85222527369173495</v>
      </c>
      <c r="H3930" t="str">
        <f t="shared" si="61"/>
        <v>Q3</v>
      </c>
    </row>
    <row r="3931" spans="1:8">
      <c r="A3931">
        <v>799069</v>
      </c>
      <c r="B3931" t="s">
        <v>2263</v>
      </c>
      <c r="C3931">
        <v>44</v>
      </c>
      <c r="D3931">
        <v>3.9390215734866501</v>
      </c>
      <c r="E3931">
        <v>173.316949233413</v>
      </c>
      <c r="F3931">
        <v>0.817689326962868</v>
      </c>
      <c r="G3931">
        <v>0.85218765283473197</v>
      </c>
      <c r="H3931" t="str">
        <f t="shared" si="61"/>
        <v>Q4</v>
      </c>
    </row>
    <row r="3932" spans="1:8">
      <c r="A3932">
        <v>698177</v>
      </c>
      <c r="B3932" t="s">
        <v>4754</v>
      </c>
      <c r="C3932">
        <v>74</v>
      </c>
      <c r="D3932">
        <v>2.3415254259079301</v>
      </c>
      <c r="E3932">
        <v>173.27288151718699</v>
      </c>
      <c r="F3932">
        <v>0.88307437643429498</v>
      </c>
      <c r="G3932">
        <v>0.85215003197772798</v>
      </c>
      <c r="H3932" t="str">
        <f t="shared" si="61"/>
        <v>Q4</v>
      </c>
    </row>
    <row r="3933" spans="1:8">
      <c r="A3933">
        <v>754104</v>
      </c>
      <c r="B3933" t="s">
        <v>1516</v>
      </c>
      <c r="C3933">
        <v>37</v>
      </c>
      <c r="D3933">
        <v>4.6828676568898002</v>
      </c>
      <c r="E3933">
        <v>173.26610330492301</v>
      </c>
      <c r="F3933">
        <v>0.79304766562582296</v>
      </c>
      <c r="G3933">
        <v>0.852112411120725</v>
      </c>
      <c r="H3933" t="str">
        <f t="shared" si="61"/>
        <v>Q4</v>
      </c>
    </row>
    <row r="3934" spans="1:8">
      <c r="A3934">
        <v>758286</v>
      </c>
      <c r="B3934" t="s">
        <v>3360</v>
      </c>
      <c r="C3934">
        <v>108</v>
      </c>
      <c r="D3934">
        <v>1.6039704899648599</v>
      </c>
      <c r="E3934">
        <v>173.22881291620399</v>
      </c>
      <c r="F3934">
        <v>0.91866370715924905</v>
      </c>
      <c r="G3934">
        <v>0.85207479026372202</v>
      </c>
      <c r="H3934" t="str">
        <f t="shared" si="61"/>
        <v>Q4</v>
      </c>
    </row>
    <row r="3935" spans="1:8">
      <c r="A3935">
        <v>761947</v>
      </c>
      <c r="B3935" t="s">
        <v>1639</v>
      </c>
      <c r="C3935">
        <v>81</v>
      </c>
      <c r="D3935">
        <v>2.1381041081047401</v>
      </c>
      <c r="E3935">
        <v>173.18643275648401</v>
      </c>
      <c r="F3935">
        <v>0.89293104096911302</v>
      </c>
      <c r="G3935">
        <v>0.85203716940671903</v>
      </c>
      <c r="H3935" t="str">
        <f t="shared" si="61"/>
        <v>Q4</v>
      </c>
    </row>
    <row r="3936" spans="1:8">
      <c r="A3936">
        <v>824194</v>
      </c>
      <c r="B3936" t="s">
        <v>5020</v>
      </c>
      <c r="C3936">
        <v>53</v>
      </c>
      <c r="D3936">
        <v>3.26731685759886</v>
      </c>
      <c r="E3936">
        <v>173.16779345274</v>
      </c>
      <c r="F3936">
        <v>0.84218050487190099</v>
      </c>
      <c r="G3936">
        <v>0.85199954854971605</v>
      </c>
      <c r="H3936" t="str">
        <f t="shared" si="61"/>
        <v>Q4</v>
      </c>
    </row>
    <row r="3937" spans="1:8">
      <c r="A3937">
        <v>784587</v>
      </c>
      <c r="B3937" t="s">
        <v>3645</v>
      </c>
      <c r="C3937">
        <v>93</v>
      </c>
      <c r="D3937">
        <v>1.8617277173826099</v>
      </c>
      <c r="E3937">
        <v>173.14067771658301</v>
      </c>
      <c r="F3937">
        <v>0.90587261577818701</v>
      </c>
      <c r="G3937">
        <v>0.85196192769271295</v>
      </c>
      <c r="H3937" t="str">
        <f t="shared" si="61"/>
        <v>Q4</v>
      </c>
    </row>
    <row r="3938" spans="1:8">
      <c r="A3938">
        <v>820357</v>
      </c>
      <c r="B3938" t="s">
        <v>4656</v>
      </c>
      <c r="C3938">
        <v>40</v>
      </c>
      <c r="D3938">
        <v>4.3275424372404796</v>
      </c>
      <c r="E3938">
        <v>173.101697489619</v>
      </c>
      <c r="F3938">
        <v>0.804522027011775</v>
      </c>
      <c r="G3938">
        <v>0.85192430683570997</v>
      </c>
      <c r="H3938" t="str">
        <f t="shared" si="61"/>
        <v>Q4</v>
      </c>
    </row>
    <row r="3939" spans="1:8">
      <c r="A3939">
        <v>338400</v>
      </c>
      <c r="B3939" t="s">
        <v>2105</v>
      </c>
      <c r="C3939">
        <v>72</v>
      </c>
      <c r="D3939">
        <v>2.4041431335111501</v>
      </c>
      <c r="E3939">
        <v>173.09830561280299</v>
      </c>
      <c r="F3939">
        <v>0.87957563673300498</v>
      </c>
      <c r="G3939">
        <v>0.85188668597870698</v>
      </c>
      <c r="H3939" t="str">
        <f t="shared" si="61"/>
        <v>Q4</v>
      </c>
    </row>
    <row r="3940" spans="1:8">
      <c r="A3940">
        <v>745151</v>
      </c>
      <c r="B3940" t="s">
        <v>4414</v>
      </c>
      <c r="C3940">
        <v>24</v>
      </c>
      <c r="D3940">
        <v>7.2115819746007501</v>
      </c>
      <c r="E3940">
        <v>173.077967390418</v>
      </c>
      <c r="F3940">
        <v>0.72284714645799597</v>
      </c>
      <c r="G3940">
        <v>0.851849065121703</v>
      </c>
      <c r="H3940" t="str">
        <f t="shared" si="61"/>
        <v>Q3</v>
      </c>
    </row>
    <row r="3941" spans="1:8">
      <c r="A3941">
        <v>695301</v>
      </c>
      <c r="B3941" t="s">
        <v>5242</v>
      </c>
      <c r="C3941">
        <v>14</v>
      </c>
      <c r="D3941">
        <v>12.3618647456169</v>
      </c>
      <c r="E3941">
        <v>173.06610643863701</v>
      </c>
      <c r="F3941">
        <v>0.62070651969451895</v>
      </c>
      <c r="G3941">
        <v>0.85181144426470001</v>
      </c>
      <c r="H3941" t="str">
        <f t="shared" si="61"/>
        <v>Q3</v>
      </c>
    </row>
    <row r="3942" spans="1:8">
      <c r="A3942">
        <v>744042</v>
      </c>
      <c r="B3942" t="s">
        <v>866</v>
      </c>
      <c r="C3942">
        <v>16</v>
      </c>
      <c r="D3942">
        <v>10.816313885152301</v>
      </c>
      <c r="E3942">
        <v>173.06102216243701</v>
      </c>
      <c r="F3942">
        <v>0.64756781159474797</v>
      </c>
      <c r="G3942">
        <v>0.85177382340769703</v>
      </c>
      <c r="H3942" t="str">
        <f t="shared" si="61"/>
        <v>Q3</v>
      </c>
    </row>
    <row r="3943" spans="1:8">
      <c r="A3943">
        <v>793443</v>
      </c>
      <c r="B3943" t="s">
        <v>368</v>
      </c>
      <c r="C3943">
        <v>30</v>
      </c>
      <c r="D3943">
        <v>5.7679097354412097</v>
      </c>
      <c r="E3943">
        <v>173.03729206323601</v>
      </c>
      <c r="F3943">
        <v>0.760430382604116</v>
      </c>
      <c r="G3943">
        <v>0.85173620255069404</v>
      </c>
      <c r="H3943" t="str">
        <f t="shared" si="61"/>
        <v>Q3</v>
      </c>
    </row>
    <row r="3944" spans="1:8">
      <c r="A3944">
        <v>784848</v>
      </c>
      <c r="B3944" t="s">
        <v>285</v>
      </c>
      <c r="C3944">
        <v>54</v>
      </c>
      <c r="D3944">
        <v>3.2042372454371701</v>
      </c>
      <c r="E3944">
        <v>173.02881125360699</v>
      </c>
      <c r="F3944">
        <v>0.84515255257514799</v>
      </c>
      <c r="G3944">
        <v>0.85169858169369095</v>
      </c>
      <c r="H3944" t="str">
        <f t="shared" si="61"/>
        <v>Q4</v>
      </c>
    </row>
    <row r="3945" spans="1:8">
      <c r="A3945">
        <v>453358</v>
      </c>
      <c r="B3945" t="s">
        <v>1238</v>
      </c>
      <c r="C3945">
        <v>185</v>
      </c>
      <c r="D3945">
        <v>0.93471367151249896</v>
      </c>
      <c r="E3945">
        <v>172.92202922981201</v>
      </c>
      <c r="F3945">
        <v>0.95515593845227797</v>
      </c>
      <c r="G3945">
        <v>0.85166096083668796</v>
      </c>
      <c r="H3945" t="str">
        <f t="shared" si="61"/>
        <v>Q2</v>
      </c>
    </row>
    <row r="3946" spans="1:8">
      <c r="A3946">
        <v>735600</v>
      </c>
      <c r="B3946" t="s">
        <v>2252</v>
      </c>
      <c r="C3946">
        <v>27</v>
      </c>
      <c r="D3946">
        <v>6.4043314230662798</v>
      </c>
      <c r="E3946">
        <v>172.91694842279</v>
      </c>
      <c r="F3946">
        <v>0.74312478838267904</v>
      </c>
      <c r="G3946">
        <v>0.85162333997968498</v>
      </c>
      <c r="H3946" t="str">
        <f t="shared" si="61"/>
        <v>Q3</v>
      </c>
    </row>
    <row r="3947" spans="1:8">
      <c r="A3947">
        <v>612730</v>
      </c>
      <c r="B3947" t="s">
        <v>2388</v>
      </c>
      <c r="C3947">
        <v>65</v>
      </c>
      <c r="D3947">
        <v>2.6601824551247599</v>
      </c>
      <c r="E3947">
        <v>172.91185958310999</v>
      </c>
      <c r="F3947">
        <v>0.86802603363304598</v>
      </c>
      <c r="G3947">
        <v>0.85158571912268199</v>
      </c>
      <c r="H3947" t="str">
        <f t="shared" si="61"/>
        <v>Q4</v>
      </c>
    </row>
    <row r="3948" spans="1:8">
      <c r="A3948">
        <v>477107</v>
      </c>
      <c r="B3948" t="s">
        <v>1575</v>
      </c>
      <c r="C3948">
        <v>116</v>
      </c>
      <c r="D3948">
        <v>1.49042951294365</v>
      </c>
      <c r="E3948">
        <v>172.88982350146401</v>
      </c>
      <c r="F3948">
        <v>0.924720665136752</v>
      </c>
      <c r="G3948">
        <v>0.85154809826567801</v>
      </c>
      <c r="H3948" t="str">
        <f t="shared" si="61"/>
        <v>Q4</v>
      </c>
    </row>
    <row r="3949" spans="1:8">
      <c r="A3949">
        <v>776742</v>
      </c>
      <c r="B3949" t="s">
        <v>1220</v>
      </c>
      <c r="C3949">
        <v>14</v>
      </c>
      <c r="D3949">
        <v>12.3469737491437</v>
      </c>
      <c r="E3949">
        <v>172.857632488012</v>
      </c>
      <c r="F3949">
        <v>0.62070651969451895</v>
      </c>
      <c r="G3949">
        <v>0.85151047740867503</v>
      </c>
      <c r="H3949" t="str">
        <f t="shared" si="61"/>
        <v>Q3</v>
      </c>
    </row>
    <row r="3950" spans="1:8">
      <c r="A3950">
        <v>747050</v>
      </c>
      <c r="B3950" t="s">
        <v>1498</v>
      </c>
      <c r="C3950">
        <v>53</v>
      </c>
      <c r="D3950">
        <v>3.2588422790450902</v>
      </c>
      <c r="E3950">
        <v>172.71864078939001</v>
      </c>
      <c r="F3950">
        <v>0.84218050487190099</v>
      </c>
      <c r="G3950">
        <v>0.85147285655167204</v>
      </c>
      <c r="H3950" t="str">
        <f t="shared" si="61"/>
        <v>Q4</v>
      </c>
    </row>
    <row r="3951" spans="1:8">
      <c r="A3951">
        <v>757427</v>
      </c>
      <c r="B3951" t="s">
        <v>1486</v>
      </c>
      <c r="C3951">
        <v>72</v>
      </c>
      <c r="D3951">
        <v>2.3981403093784999</v>
      </c>
      <c r="E3951">
        <v>172.666102275252</v>
      </c>
      <c r="F3951">
        <v>0.87957563673300498</v>
      </c>
      <c r="G3951">
        <v>0.85143523569466895</v>
      </c>
      <c r="H3951" t="str">
        <f t="shared" si="61"/>
        <v>Q4</v>
      </c>
    </row>
    <row r="3952" spans="1:8">
      <c r="A3952">
        <v>747204</v>
      </c>
      <c r="B3952" t="s">
        <v>4541</v>
      </c>
      <c r="C3952">
        <v>49</v>
      </c>
      <c r="D3952">
        <v>3.52300240145046</v>
      </c>
      <c r="E3952">
        <v>172.627117671072</v>
      </c>
      <c r="F3952">
        <v>0.83258718633610496</v>
      </c>
      <c r="G3952">
        <v>0.85139761483766596</v>
      </c>
      <c r="H3952" t="str">
        <f t="shared" si="61"/>
        <v>Q4</v>
      </c>
    </row>
    <row r="3953" spans="1:8">
      <c r="A3953">
        <v>444325</v>
      </c>
      <c r="B3953" t="s">
        <v>4870</v>
      </c>
      <c r="C3953">
        <v>75</v>
      </c>
      <c r="D3953">
        <v>2.3006327251593301</v>
      </c>
      <c r="E3953">
        <v>172.54745438694999</v>
      </c>
      <c r="F3953">
        <v>0.88420300214438896</v>
      </c>
      <c r="G3953">
        <v>0.85135999398066298</v>
      </c>
      <c r="H3953" t="str">
        <f t="shared" si="61"/>
        <v>Q4</v>
      </c>
    </row>
    <row r="3954" spans="1:8">
      <c r="A3954">
        <v>787221</v>
      </c>
      <c r="B3954" t="s">
        <v>3480</v>
      </c>
      <c r="C3954">
        <v>26</v>
      </c>
      <c r="D3954">
        <v>6.6320730086702602</v>
      </c>
      <c r="E3954">
        <v>172.43389822542699</v>
      </c>
      <c r="F3954">
        <v>0.73706783040517698</v>
      </c>
      <c r="G3954">
        <v>0.85132237312365999</v>
      </c>
      <c r="H3954" t="str">
        <f t="shared" si="61"/>
        <v>Q3</v>
      </c>
    </row>
    <row r="3955" spans="1:8">
      <c r="A3955">
        <v>805772</v>
      </c>
      <c r="B3955" t="s">
        <v>3113</v>
      </c>
      <c r="C3955">
        <v>75</v>
      </c>
      <c r="D3955">
        <v>2.29835028077165</v>
      </c>
      <c r="E3955">
        <v>172.37627105787399</v>
      </c>
      <c r="F3955">
        <v>0.88420300214438896</v>
      </c>
      <c r="G3955">
        <v>0.85128475226665701</v>
      </c>
      <c r="H3955" t="str">
        <f t="shared" si="61"/>
        <v>Q4</v>
      </c>
    </row>
    <row r="3956" spans="1:8">
      <c r="A3956">
        <v>749395</v>
      </c>
      <c r="B3956" t="s">
        <v>4172</v>
      </c>
      <c r="C3956">
        <v>53</v>
      </c>
      <c r="D3956">
        <v>3.25123124299044</v>
      </c>
      <c r="E3956">
        <v>172.31525587849299</v>
      </c>
      <c r="F3956">
        <v>0.84218050487190099</v>
      </c>
      <c r="G3956">
        <v>0.85124713140965302</v>
      </c>
      <c r="H3956" t="str">
        <f t="shared" si="61"/>
        <v>Q4</v>
      </c>
    </row>
    <row r="3957" spans="1:8">
      <c r="A3957">
        <v>749665</v>
      </c>
      <c r="B3957" t="s">
        <v>122</v>
      </c>
      <c r="C3957">
        <v>35</v>
      </c>
      <c r="D3957">
        <v>4.9226635109101</v>
      </c>
      <c r="E3957">
        <v>172.29322288185401</v>
      </c>
      <c r="F3957">
        <v>0.78420676423008895</v>
      </c>
      <c r="G3957">
        <v>0.85120951055265004</v>
      </c>
      <c r="H3957" t="str">
        <f t="shared" si="61"/>
        <v>Q3</v>
      </c>
    </row>
    <row r="3958" spans="1:8">
      <c r="A3958">
        <v>735499</v>
      </c>
      <c r="B3958" t="s">
        <v>1539</v>
      </c>
      <c r="C3958">
        <v>36</v>
      </c>
      <c r="D3958">
        <v>4.7835217064453497</v>
      </c>
      <c r="E3958">
        <v>172.20678143203301</v>
      </c>
      <c r="F3958">
        <v>0.78890937135547901</v>
      </c>
      <c r="G3958">
        <v>0.85117188969564705</v>
      </c>
      <c r="H3958" t="str">
        <f t="shared" si="61"/>
        <v>Q4</v>
      </c>
    </row>
    <row r="3959" spans="1:8">
      <c r="A3959">
        <v>789872</v>
      </c>
      <c r="B3959" t="s">
        <v>3497</v>
      </c>
      <c r="C3959">
        <v>35</v>
      </c>
      <c r="D3959">
        <v>4.9190315550991501</v>
      </c>
      <c r="E3959">
        <v>172.16610442846999</v>
      </c>
      <c r="F3959">
        <v>0.78420676423008895</v>
      </c>
      <c r="G3959">
        <v>0.85113426883864396</v>
      </c>
      <c r="H3959" t="str">
        <f t="shared" si="61"/>
        <v>Q3</v>
      </c>
    </row>
    <row r="3960" spans="1:8">
      <c r="A3960">
        <v>561797</v>
      </c>
      <c r="B3960" t="s">
        <v>3213</v>
      </c>
      <c r="C3960">
        <v>124</v>
      </c>
      <c r="D3960">
        <v>1.38809454191716</v>
      </c>
      <c r="E3960">
        <v>172.123723197728</v>
      </c>
      <c r="F3960">
        <v>0.92957375569015499</v>
      </c>
      <c r="G3960">
        <v>0.85109664798164097</v>
      </c>
      <c r="H3960" t="str">
        <f t="shared" si="61"/>
        <v>Q4</v>
      </c>
    </row>
    <row r="3961" spans="1:8">
      <c r="A3961">
        <v>729608</v>
      </c>
      <c r="B3961" t="s">
        <v>3939</v>
      </c>
      <c r="C3961">
        <v>17</v>
      </c>
      <c r="D3961">
        <v>10.121336272534201</v>
      </c>
      <c r="E3961">
        <v>172.06271663308101</v>
      </c>
      <c r="F3961">
        <v>0.65926789812271902</v>
      </c>
      <c r="G3961">
        <v>0.85105902712463799</v>
      </c>
      <c r="H3961" t="str">
        <f t="shared" si="61"/>
        <v>Q3</v>
      </c>
    </row>
    <row r="3962" spans="1:8">
      <c r="A3962">
        <v>654593</v>
      </c>
      <c r="B3962" t="s">
        <v>2622</v>
      </c>
      <c r="C3962">
        <v>35</v>
      </c>
      <c r="D3962">
        <v>4.91501220102821</v>
      </c>
      <c r="E3962">
        <v>172.02542703598701</v>
      </c>
      <c r="F3962">
        <v>0.78420676423008895</v>
      </c>
      <c r="G3962">
        <v>0.85102140626763501</v>
      </c>
      <c r="H3962" t="str">
        <f t="shared" si="61"/>
        <v>Q3</v>
      </c>
    </row>
    <row r="3963" spans="1:8">
      <c r="A3963">
        <v>760939</v>
      </c>
      <c r="B3963" t="s">
        <v>3894</v>
      </c>
      <c r="C3963">
        <v>18</v>
      </c>
      <c r="D3963">
        <v>9.5526366598076304</v>
      </c>
      <c r="E3963">
        <v>171.94745987653701</v>
      </c>
      <c r="F3963">
        <v>0.67044129265264696</v>
      </c>
      <c r="G3963">
        <v>0.85098378541063202</v>
      </c>
      <c r="H3963" t="str">
        <f t="shared" si="61"/>
        <v>Q3</v>
      </c>
    </row>
    <row r="3964" spans="1:8">
      <c r="A3964">
        <v>680790</v>
      </c>
      <c r="B3964" t="s">
        <v>934</v>
      </c>
      <c r="C3964">
        <v>47</v>
      </c>
      <c r="D3964">
        <v>3.6578795575398102</v>
      </c>
      <c r="E3964">
        <v>171.920339204371</v>
      </c>
      <c r="F3964">
        <v>0.82641736578759295</v>
      </c>
      <c r="G3964">
        <v>0.85094616455362804</v>
      </c>
      <c r="H3964" t="str">
        <f t="shared" si="61"/>
        <v>Q4</v>
      </c>
    </row>
    <row r="3965" spans="1:8">
      <c r="A3965">
        <v>742191</v>
      </c>
      <c r="B3965" t="s">
        <v>3940</v>
      </c>
      <c r="C3965">
        <v>34</v>
      </c>
      <c r="D3965">
        <v>5.0559821155141398</v>
      </c>
      <c r="E3965">
        <v>171.90339192748101</v>
      </c>
      <c r="F3965">
        <v>0.77969226138971404</v>
      </c>
      <c r="G3965">
        <v>0.85090854369662505</v>
      </c>
      <c r="H3965" t="str">
        <f t="shared" si="61"/>
        <v>Q3</v>
      </c>
    </row>
    <row r="3966" spans="1:8">
      <c r="A3966">
        <v>824997</v>
      </c>
      <c r="B3966" t="s">
        <v>2820</v>
      </c>
      <c r="C3966">
        <v>60</v>
      </c>
      <c r="D3966">
        <v>2.8595480322837799</v>
      </c>
      <c r="E3966">
        <v>171.57288193702701</v>
      </c>
      <c r="F3966">
        <v>0.85805650652721899</v>
      </c>
      <c r="G3966">
        <v>0.85087092283962196</v>
      </c>
      <c r="H3966" t="str">
        <f t="shared" si="61"/>
        <v>Q4</v>
      </c>
    </row>
    <row r="3967" spans="1:8">
      <c r="A3967">
        <v>782128</v>
      </c>
      <c r="B3967" t="s">
        <v>1780</v>
      </c>
      <c r="C3967">
        <v>14</v>
      </c>
      <c r="D3967">
        <v>12.247578906161401</v>
      </c>
      <c r="E3967">
        <v>171.46610468626</v>
      </c>
      <c r="F3967">
        <v>0.62070651969451895</v>
      </c>
      <c r="G3967">
        <v>0.85083330198261897</v>
      </c>
      <c r="H3967" t="str">
        <f t="shared" si="61"/>
        <v>Q3</v>
      </c>
    </row>
    <row r="3968" spans="1:8">
      <c r="A3968">
        <v>702774</v>
      </c>
      <c r="B3968" t="s">
        <v>953</v>
      </c>
      <c r="C3968">
        <v>104</v>
      </c>
      <c r="D3968">
        <v>1.6484842823746699</v>
      </c>
      <c r="E3968">
        <v>171.44236536696599</v>
      </c>
      <c r="F3968">
        <v>0.91524020917196502</v>
      </c>
      <c r="G3968">
        <v>0.85079568112561599</v>
      </c>
      <c r="H3968" t="str">
        <f t="shared" si="61"/>
        <v>Q4</v>
      </c>
    </row>
    <row r="3969" spans="1:8">
      <c r="A3969">
        <v>830016</v>
      </c>
      <c r="B3969" t="s">
        <v>4146</v>
      </c>
      <c r="C3969">
        <v>56</v>
      </c>
      <c r="D3969">
        <v>3.0595641483419702</v>
      </c>
      <c r="E3969">
        <v>171.33559230714999</v>
      </c>
      <c r="F3969">
        <v>0.85004326398555397</v>
      </c>
      <c r="G3969">
        <v>0.850758060268613</v>
      </c>
      <c r="H3969" t="str">
        <f t="shared" si="61"/>
        <v>Q4</v>
      </c>
    </row>
    <row r="3970" spans="1:8">
      <c r="A3970">
        <v>713707</v>
      </c>
      <c r="B3970" t="s">
        <v>3887</v>
      </c>
      <c r="C3970">
        <v>34</v>
      </c>
      <c r="D3970">
        <v>5.0366900422993801</v>
      </c>
      <c r="E3970">
        <v>171.24746143817899</v>
      </c>
      <c r="F3970">
        <v>0.77969226138971404</v>
      </c>
      <c r="G3970">
        <v>0.85072043941161002</v>
      </c>
      <c r="H3970" t="str">
        <f t="shared" si="61"/>
        <v>Q3</v>
      </c>
    </row>
    <row r="3971" spans="1:8">
      <c r="A3971">
        <v>728988</v>
      </c>
      <c r="B3971" t="s">
        <v>1069</v>
      </c>
      <c r="C3971">
        <v>53</v>
      </c>
      <c r="D3971">
        <v>3.2309561335253298</v>
      </c>
      <c r="E3971">
        <v>171.240675076842</v>
      </c>
      <c r="F3971">
        <v>0.84218050487190099</v>
      </c>
      <c r="G3971">
        <v>0.85068281855460703</v>
      </c>
      <c r="H3971" t="str">
        <f t="shared" ref="H3971:H4034" si="62">IF(C3971&gt;$J$2,
   IF(D3971&gt;$J$3,"Q1","Q2"),
   IF(D3971&gt;$J$3,"Q3","Q4"))</f>
        <v>Q4</v>
      </c>
    </row>
    <row r="3972" spans="1:8">
      <c r="A3972">
        <v>789379</v>
      </c>
      <c r="B3972" t="s">
        <v>4293</v>
      </c>
      <c r="C3972">
        <v>17</v>
      </c>
      <c r="D3972">
        <v>10.065304312635901</v>
      </c>
      <c r="E3972">
        <v>171.11017331481</v>
      </c>
      <c r="F3972">
        <v>0.65926789812271902</v>
      </c>
      <c r="G3972">
        <v>0.85064519769760405</v>
      </c>
      <c r="H3972" t="str">
        <f t="shared" si="62"/>
        <v>Q3</v>
      </c>
    </row>
    <row r="3973" spans="1:8">
      <c r="A3973">
        <v>655403</v>
      </c>
      <c r="B3973" t="s">
        <v>4872</v>
      </c>
      <c r="C3973">
        <v>45</v>
      </c>
      <c r="D3973">
        <v>3.8016572925779601</v>
      </c>
      <c r="E3973">
        <v>171.074578166008</v>
      </c>
      <c r="F3973">
        <v>0.82069899552311798</v>
      </c>
      <c r="G3973">
        <v>0.85060757684059995</v>
      </c>
      <c r="H3973" t="str">
        <f t="shared" si="62"/>
        <v>Q4</v>
      </c>
    </row>
    <row r="3974" spans="1:8">
      <c r="A3974">
        <v>779320</v>
      </c>
      <c r="B3974" t="s">
        <v>230</v>
      </c>
      <c r="C3974">
        <v>42</v>
      </c>
      <c r="D3974">
        <v>4.06965294054576</v>
      </c>
      <c r="E3974">
        <v>170.925423502922</v>
      </c>
      <c r="F3974">
        <v>0.81103043527331597</v>
      </c>
      <c r="G3974">
        <v>0.85056995598359697</v>
      </c>
      <c r="H3974" t="str">
        <f t="shared" si="62"/>
        <v>Q4</v>
      </c>
    </row>
    <row r="3975" spans="1:8">
      <c r="A3975">
        <v>803080</v>
      </c>
      <c r="B3975" t="s">
        <v>1147</v>
      </c>
      <c r="C3975">
        <v>54</v>
      </c>
      <c r="D3975">
        <v>3.1652228113401799</v>
      </c>
      <c r="E3975">
        <v>170.92203181236999</v>
      </c>
      <c r="F3975">
        <v>0.84515255257514799</v>
      </c>
      <c r="G3975">
        <v>0.85053233512659399</v>
      </c>
      <c r="H3975" t="str">
        <f t="shared" si="62"/>
        <v>Q4</v>
      </c>
    </row>
    <row r="3976" spans="1:8">
      <c r="A3976">
        <v>772909</v>
      </c>
      <c r="B3976" t="s">
        <v>4610</v>
      </c>
      <c r="C3976">
        <v>41</v>
      </c>
      <c r="D3976">
        <v>4.1680859901556202</v>
      </c>
      <c r="E3976">
        <v>170.89152559638001</v>
      </c>
      <c r="F3976">
        <v>0.80787028328505295</v>
      </c>
      <c r="G3976">
        <v>0.850494714269591</v>
      </c>
      <c r="H3976" t="str">
        <f t="shared" si="62"/>
        <v>Q4</v>
      </c>
    </row>
    <row r="3977" spans="1:8">
      <c r="A3977">
        <v>737098</v>
      </c>
      <c r="B3977" t="s">
        <v>1732</v>
      </c>
      <c r="C3977">
        <v>44</v>
      </c>
      <c r="D3977">
        <v>3.8829352918334998</v>
      </c>
      <c r="E3977">
        <v>170.84915284067401</v>
      </c>
      <c r="F3977">
        <v>0.817689326962868</v>
      </c>
      <c r="G3977">
        <v>0.85045709341258802</v>
      </c>
      <c r="H3977" t="str">
        <f t="shared" si="62"/>
        <v>Q4</v>
      </c>
    </row>
    <row r="3978" spans="1:8">
      <c r="A3978">
        <v>616711</v>
      </c>
      <c r="B3978" t="s">
        <v>1449</v>
      </c>
      <c r="C3978">
        <v>50</v>
      </c>
      <c r="D3978">
        <v>3.4167118500918101</v>
      </c>
      <c r="E3978">
        <v>170.83559250459101</v>
      </c>
      <c r="F3978">
        <v>0.83559685489635405</v>
      </c>
      <c r="G3978">
        <v>0.85041947255558503</v>
      </c>
      <c r="H3978" t="str">
        <f t="shared" si="62"/>
        <v>Q4</v>
      </c>
    </row>
    <row r="3979" spans="1:8">
      <c r="A3979">
        <v>668537</v>
      </c>
      <c r="B3979" t="s">
        <v>1397</v>
      </c>
      <c r="C3979">
        <v>18</v>
      </c>
      <c r="D3979">
        <v>9.4900190416309602</v>
      </c>
      <c r="E3979">
        <v>170.820342749357</v>
      </c>
      <c r="F3979">
        <v>0.67044129265264696</v>
      </c>
      <c r="G3979">
        <v>0.85038185169858205</v>
      </c>
      <c r="H3979" t="str">
        <f t="shared" si="62"/>
        <v>Q3</v>
      </c>
    </row>
    <row r="3980" spans="1:8">
      <c r="A3980">
        <v>709987</v>
      </c>
      <c r="B3980" t="s">
        <v>797</v>
      </c>
      <c r="C3980">
        <v>36</v>
      </c>
      <c r="D3980">
        <v>4.7450094897713901</v>
      </c>
      <c r="E3980">
        <v>170.82034163176999</v>
      </c>
      <c r="F3980">
        <v>0.78890937135547901</v>
      </c>
      <c r="G3980">
        <v>0.85034423084157895</v>
      </c>
      <c r="H3980" t="str">
        <f t="shared" si="62"/>
        <v>Q4</v>
      </c>
    </row>
    <row r="3981" spans="1:8">
      <c r="A3981">
        <v>674059</v>
      </c>
      <c r="B3981" t="s">
        <v>3264</v>
      </c>
      <c r="C3981">
        <v>11</v>
      </c>
      <c r="D3981">
        <v>15.522958473725801</v>
      </c>
      <c r="E3981">
        <v>170.75254321098299</v>
      </c>
      <c r="F3981">
        <v>0.56957977502727497</v>
      </c>
      <c r="G3981">
        <v>0.85030660998457497</v>
      </c>
      <c r="H3981" t="str">
        <f t="shared" si="62"/>
        <v>Q3</v>
      </c>
    </row>
    <row r="3982" spans="1:8">
      <c r="A3982">
        <v>759160</v>
      </c>
      <c r="B3982" t="s">
        <v>1934</v>
      </c>
      <c r="C3982">
        <v>118</v>
      </c>
      <c r="D3982">
        <v>1.44635156680972</v>
      </c>
      <c r="E3982">
        <v>170.669484883547</v>
      </c>
      <c r="F3982">
        <v>0.92592453256085205</v>
      </c>
      <c r="G3982">
        <v>0.85026898912757198</v>
      </c>
      <c r="H3982" t="str">
        <f t="shared" si="62"/>
        <v>Q4</v>
      </c>
    </row>
    <row r="3983" spans="1:8">
      <c r="A3983">
        <v>794321</v>
      </c>
      <c r="B3983" t="s">
        <v>4711</v>
      </c>
      <c r="C3983">
        <v>27</v>
      </c>
      <c r="D3983">
        <v>6.3183301576861597</v>
      </c>
      <c r="E3983">
        <v>170.594914257526</v>
      </c>
      <c r="F3983">
        <v>0.74312478838267904</v>
      </c>
      <c r="G3983">
        <v>0.850231368270569</v>
      </c>
      <c r="H3983" t="str">
        <f t="shared" si="62"/>
        <v>Q3</v>
      </c>
    </row>
    <row r="3984" spans="1:8">
      <c r="A3984">
        <v>762313</v>
      </c>
      <c r="B3984" t="s">
        <v>430</v>
      </c>
      <c r="C3984">
        <v>70</v>
      </c>
      <c r="D3984">
        <v>2.4357627145945999</v>
      </c>
      <c r="E3984">
        <v>170.50339002162201</v>
      </c>
      <c r="F3984">
        <v>0.87555020503367098</v>
      </c>
      <c r="G3984">
        <v>0.85019374741356601</v>
      </c>
      <c r="H3984" t="str">
        <f t="shared" si="62"/>
        <v>Q4</v>
      </c>
    </row>
    <row r="3985" spans="1:8">
      <c r="A3985">
        <v>745147</v>
      </c>
      <c r="B3985" t="s">
        <v>5160</v>
      </c>
      <c r="C3985">
        <v>15</v>
      </c>
      <c r="D3985">
        <v>11.3637286424637</v>
      </c>
      <c r="E3985">
        <v>170.45592963695501</v>
      </c>
      <c r="F3985">
        <v>0.63496482449870195</v>
      </c>
      <c r="G3985">
        <v>0.85015612655656303</v>
      </c>
      <c r="H3985" t="str">
        <f t="shared" si="62"/>
        <v>Q3</v>
      </c>
    </row>
    <row r="3986" spans="1:8">
      <c r="A3986">
        <v>774714</v>
      </c>
      <c r="B3986" t="s">
        <v>3863</v>
      </c>
      <c r="C3986">
        <v>40</v>
      </c>
      <c r="D3986">
        <v>4.2604661546647504</v>
      </c>
      <c r="E3986">
        <v>170.41864618659</v>
      </c>
      <c r="F3986">
        <v>0.804522027011775</v>
      </c>
      <c r="G3986">
        <v>0.85011850569956005</v>
      </c>
      <c r="H3986" t="str">
        <f t="shared" si="62"/>
        <v>Q4</v>
      </c>
    </row>
    <row r="3987" spans="1:8">
      <c r="A3987">
        <v>745073</v>
      </c>
      <c r="B3987" t="s">
        <v>1104</v>
      </c>
      <c r="C3987">
        <v>35</v>
      </c>
      <c r="D3987">
        <v>4.8684746505958696</v>
      </c>
      <c r="E3987">
        <v>170.396612770855</v>
      </c>
      <c r="F3987">
        <v>0.78420676423008895</v>
      </c>
      <c r="G3987">
        <v>0.85008088484255695</v>
      </c>
      <c r="H3987" t="str">
        <f t="shared" si="62"/>
        <v>Q4</v>
      </c>
    </row>
    <row r="3988" spans="1:8">
      <c r="A3988">
        <v>809025</v>
      </c>
      <c r="B3988" t="s">
        <v>3821</v>
      </c>
      <c r="C3988">
        <v>62</v>
      </c>
      <c r="D3988">
        <v>2.7482230291371401</v>
      </c>
      <c r="E3988">
        <v>170.38982780650301</v>
      </c>
      <c r="F3988">
        <v>0.86238290508257798</v>
      </c>
      <c r="G3988">
        <v>0.85004326398555397</v>
      </c>
      <c r="H3988" t="str">
        <f t="shared" si="62"/>
        <v>Q4</v>
      </c>
    </row>
    <row r="3989" spans="1:8">
      <c r="A3989">
        <v>823382</v>
      </c>
      <c r="B3989" t="s">
        <v>3174</v>
      </c>
      <c r="C3989">
        <v>80</v>
      </c>
      <c r="D3989">
        <v>2.1298516134265801</v>
      </c>
      <c r="E3989">
        <v>170.388129074126</v>
      </c>
      <c r="F3989">
        <v>0.89150144840299494</v>
      </c>
      <c r="G3989">
        <v>0.85000564312854998</v>
      </c>
      <c r="H3989" t="str">
        <f t="shared" si="62"/>
        <v>Q4</v>
      </c>
    </row>
    <row r="3990" spans="1:8">
      <c r="A3990">
        <v>749384</v>
      </c>
      <c r="B3990" t="s">
        <v>3684</v>
      </c>
      <c r="C3990">
        <v>92</v>
      </c>
      <c r="D3990">
        <v>1.85105003335554</v>
      </c>
      <c r="E3990">
        <v>170.296603068709</v>
      </c>
      <c r="F3990">
        <v>0.90429253978405599</v>
      </c>
      <c r="G3990">
        <v>0.849968022271547</v>
      </c>
      <c r="H3990" t="str">
        <f t="shared" si="62"/>
        <v>Q4</v>
      </c>
    </row>
    <row r="3991" spans="1:8">
      <c r="A3991">
        <v>711940</v>
      </c>
      <c r="B3991" t="s">
        <v>3074</v>
      </c>
      <c r="C3991">
        <v>59</v>
      </c>
      <c r="D3991">
        <v>2.8855213911225199</v>
      </c>
      <c r="E3991">
        <v>170.245762076229</v>
      </c>
      <c r="F3991">
        <v>0.85617546367706299</v>
      </c>
      <c r="G3991">
        <v>0.84993040141454401</v>
      </c>
      <c r="H3991" t="str">
        <f t="shared" si="62"/>
        <v>Q4</v>
      </c>
    </row>
    <row r="3992" spans="1:8">
      <c r="A3992">
        <v>662644</v>
      </c>
      <c r="B3992" t="s">
        <v>4028</v>
      </c>
      <c r="C3992">
        <v>25</v>
      </c>
      <c r="D3992">
        <v>6.8079999238252604</v>
      </c>
      <c r="E3992">
        <v>170.199998095632</v>
      </c>
      <c r="F3992">
        <v>0.72991986757458305</v>
      </c>
      <c r="G3992">
        <v>0.84989278055754103</v>
      </c>
      <c r="H3992" t="str">
        <f t="shared" si="62"/>
        <v>Q3</v>
      </c>
    </row>
    <row r="3993" spans="1:8">
      <c r="A3993">
        <v>693331</v>
      </c>
      <c r="B3993" t="s">
        <v>2314</v>
      </c>
      <c r="C3993">
        <v>30</v>
      </c>
      <c r="D3993">
        <v>5.6731638746956996</v>
      </c>
      <c r="E3993">
        <v>170.19491624087101</v>
      </c>
      <c r="F3993">
        <v>0.760430382604116</v>
      </c>
      <c r="G3993">
        <v>0.84985515970053804</v>
      </c>
      <c r="H3993" t="str">
        <f t="shared" si="62"/>
        <v>Q3</v>
      </c>
    </row>
    <row r="3994" spans="1:8">
      <c r="A3994">
        <v>734569</v>
      </c>
      <c r="B3994" t="s">
        <v>2769</v>
      </c>
      <c r="C3994">
        <v>51</v>
      </c>
      <c r="D3994">
        <v>3.33649051357426</v>
      </c>
      <c r="E3994">
        <v>170.16101619228701</v>
      </c>
      <c r="F3994">
        <v>0.83762838117452298</v>
      </c>
      <c r="G3994">
        <v>0.84981753884353495</v>
      </c>
      <c r="H3994" t="str">
        <f t="shared" si="62"/>
        <v>Q4</v>
      </c>
    </row>
    <row r="3995" spans="1:8">
      <c r="A3995">
        <v>706363</v>
      </c>
      <c r="B3995" t="s">
        <v>1269</v>
      </c>
      <c r="C3995">
        <v>62</v>
      </c>
      <c r="D3995">
        <v>2.7422634854672401</v>
      </c>
      <c r="E3995">
        <v>170.02033609896901</v>
      </c>
      <c r="F3995">
        <v>0.86238290508257798</v>
      </c>
      <c r="G3995">
        <v>0.84977991798653196</v>
      </c>
      <c r="H3995" t="str">
        <f t="shared" si="62"/>
        <v>Q4</v>
      </c>
    </row>
    <row r="3996" spans="1:8">
      <c r="A3996">
        <v>763159</v>
      </c>
      <c r="B3996" t="s">
        <v>3721</v>
      </c>
      <c r="C3996">
        <v>27</v>
      </c>
      <c r="D3996">
        <v>6.2894538044929504</v>
      </c>
      <c r="E3996">
        <v>169.81525272131</v>
      </c>
      <c r="F3996">
        <v>0.74312478838267904</v>
      </c>
      <c r="G3996">
        <v>0.84974229712952898</v>
      </c>
      <c r="H3996" t="str">
        <f t="shared" si="62"/>
        <v>Q3</v>
      </c>
    </row>
    <row r="3997" spans="1:8">
      <c r="A3997">
        <v>734970</v>
      </c>
      <c r="B3997" t="s">
        <v>5102</v>
      </c>
      <c r="C3997">
        <v>97</v>
      </c>
      <c r="D3997">
        <v>1.74859336855793</v>
      </c>
      <c r="E3997">
        <v>169.61355675011899</v>
      </c>
      <c r="F3997">
        <v>0.909108009480456</v>
      </c>
      <c r="G3997">
        <v>0.84970467627252499</v>
      </c>
      <c r="H3997" t="str">
        <f t="shared" si="62"/>
        <v>Q4</v>
      </c>
    </row>
    <row r="3998" spans="1:8">
      <c r="A3998">
        <v>700294</v>
      </c>
      <c r="B3998" t="s">
        <v>3491</v>
      </c>
      <c r="C3998">
        <v>58</v>
      </c>
      <c r="D3998">
        <v>2.9239333628130901</v>
      </c>
      <c r="E3998">
        <v>169.58813504315901</v>
      </c>
      <c r="F3998">
        <v>0.853993453970881</v>
      </c>
      <c r="G3998">
        <v>0.84966705541552201</v>
      </c>
      <c r="H3998" t="str">
        <f t="shared" si="62"/>
        <v>Q4</v>
      </c>
    </row>
    <row r="3999" spans="1:8">
      <c r="A3999">
        <v>674310</v>
      </c>
      <c r="B3999" t="s">
        <v>1479</v>
      </c>
      <c r="C3999">
        <v>54</v>
      </c>
      <c r="D3999">
        <v>3.13989327082203</v>
      </c>
      <c r="E3999">
        <v>169.55423662439</v>
      </c>
      <c r="F3999">
        <v>0.84515255257514799</v>
      </c>
      <c r="G3999">
        <v>0.84962943455851903</v>
      </c>
      <c r="H3999" t="str">
        <f t="shared" si="62"/>
        <v>Q4</v>
      </c>
    </row>
    <row r="4000" spans="1:8">
      <c r="A4000">
        <v>782096</v>
      </c>
      <c r="B4000" t="s">
        <v>3320</v>
      </c>
      <c r="C4000">
        <v>27</v>
      </c>
      <c r="D4000">
        <v>6.2769616643587796</v>
      </c>
      <c r="E4000">
        <v>169.47796493768701</v>
      </c>
      <c r="F4000">
        <v>0.74312478838267904</v>
      </c>
      <c r="G4000">
        <v>0.84959181370151604</v>
      </c>
      <c r="H4000" t="str">
        <f t="shared" si="62"/>
        <v>Q3</v>
      </c>
    </row>
    <row r="4001" spans="1:8">
      <c r="A4001">
        <v>637268</v>
      </c>
      <c r="B4001" t="s">
        <v>335</v>
      </c>
      <c r="C4001">
        <v>47</v>
      </c>
      <c r="D4001">
        <v>3.6047602250696502</v>
      </c>
      <c r="E4001">
        <v>169.42373057827399</v>
      </c>
      <c r="F4001">
        <v>0.82641736578759295</v>
      </c>
      <c r="G4001">
        <v>0.84955419284451295</v>
      </c>
      <c r="H4001" t="str">
        <f t="shared" si="62"/>
        <v>Q4</v>
      </c>
    </row>
    <row r="4002" spans="1:8">
      <c r="A4002">
        <v>712295</v>
      </c>
      <c r="B4002" t="s">
        <v>2894</v>
      </c>
      <c r="C4002">
        <v>47</v>
      </c>
      <c r="D4002">
        <v>3.6047241511814101</v>
      </c>
      <c r="E4002">
        <v>169.42203510552599</v>
      </c>
      <c r="F4002">
        <v>0.82641736578759295</v>
      </c>
      <c r="G4002">
        <v>0.84951657198750996</v>
      </c>
      <c r="H4002" t="str">
        <f t="shared" si="62"/>
        <v>Q4</v>
      </c>
    </row>
    <row r="4003" spans="1:8">
      <c r="A4003">
        <v>796042</v>
      </c>
      <c r="B4003" t="s">
        <v>2213</v>
      </c>
      <c r="C4003">
        <v>27</v>
      </c>
      <c r="D4003">
        <v>6.2743878612915696</v>
      </c>
      <c r="E4003">
        <v>169.40847225487201</v>
      </c>
      <c r="F4003">
        <v>0.74312478838267904</v>
      </c>
      <c r="G4003">
        <v>0.84947895113050698</v>
      </c>
      <c r="H4003" t="str">
        <f t="shared" si="62"/>
        <v>Q3</v>
      </c>
    </row>
    <row r="4004" spans="1:8">
      <c r="A4004">
        <v>722803</v>
      </c>
      <c r="B4004" t="s">
        <v>272</v>
      </c>
      <c r="C4004">
        <v>53</v>
      </c>
      <c r="D4004">
        <v>3.1956187554828399</v>
      </c>
      <c r="E4004">
        <v>169.36779404059101</v>
      </c>
      <c r="F4004">
        <v>0.84218050487190099</v>
      </c>
      <c r="G4004">
        <v>0.84944133027350399</v>
      </c>
      <c r="H4004" t="str">
        <f t="shared" si="62"/>
        <v>Q4</v>
      </c>
    </row>
    <row r="4005" spans="1:8">
      <c r="A4005">
        <v>307239</v>
      </c>
      <c r="B4005" t="s">
        <v>2101</v>
      </c>
      <c r="C4005">
        <v>70</v>
      </c>
      <c r="D4005">
        <v>2.4194188881665499</v>
      </c>
      <c r="E4005">
        <v>169.35932217165799</v>
      </c>
      <c r="F4005">
        <v>0.87555020503367098</v>
      </c>
      <c r="G4005">
        <v>0.84940370941650101</v>
      </c>
      <c r="H4005" t="str">
        <f t="shared" si="62"/>
        <v>Q4</v>
      </c>
    </row>
    <row r="4006" spans="1:8">
      <c r="A4006">
        <v>638899</v>
      </c>
      <c r="B4006" t="s">
        <v>3835</v>
      </c>
      <c r="C4006">
        <v>54</v>
      </c>
      <c r="D4006">
        <v>3.1361581999118702</v>
      </c>
      <c r="E4006">
        <v>169.35254279524099</v>
      </c>
      <c r="F4006">
        <v>0.84515255257514799</v>
      </c>
      <c r="G4006">
        <v>0.84936608855949702</v>
      </c>
      <c r="H4006" t="str">
        <f t="shared" si="62"/>
        <v>Q4</v>
      </c>
    </row>
    <row r="4007" spans="1:8">
      <c r="A4007">
        <v>785058</v>
      </c>
      <c r="B4007" t="s">
        <v>3670</v>
      </c>
      <c r="C4007">
        <v>37</v>
      </c>
      <c r="D4007">
        <v>4.5746221433620198</v>
      </c>
      <c r="E4007">
        <v>169.26101930439501</v>
      </c>
      <c r="F4007">
        <v>0.79304766562582296</v>
      </c>
      <c r="G4007">
        <v>0.84932846770249404</v>
      </c>
      <c r="H4007" t="str">
        <f t="shared" si="62"/>
        <v>Q4</v>
      </c>
    </row>
    <row r="4008" spans="1:8">
      <c r="A4008">
        <v>824087</v>
      </c>
      <c r="B4008" t="s">
        <v>5161</v>
      </c>
      <c r="C4008">
        <v>21</v>
      </c>
      <c r="D4008">
        <v>8.0516545900276704</v>
      </c>
      <c r="E4008">
        <v>169.08474639058099</v>
      </c>
      <c r="F4008">
        <v>0.70008652797110704</v>
      </c>
      <c r="G4008">
        <v>0.84929084684549105</v>
      </c>
      <c r="H4008" t="str">
        <f t="shared" si="62"/>
        <v>Q3</v>
      </c>
    </row>
    <row r="4009" spans="1:8">
      <c r="A4009">
        <v>189626</v>
      </c>
      <c r="B4009" t="s">
        <v>2363</v>
      </c>
      <c r="C4009">
        <v>103</v>
      </c>
      <c r="D4009">
        <v>1.64135257234272</v>
      </c>
      <c r="E4009">
        <v>169.05931495130099</v>
      </c>
      <c r="F4009">
        <v>0.91433730860388995</v>
      </c>
      <c r="G4009">
        <v>0.84925322598848796</v>
      </c>
      <c r="H4009" t="str">
        <f t="shared" si="62"/>
        <v>Q4</v>
      </c>
    </row>
    <row r="4010" spans="1:8">
      <c r="A4010">
        <v>702368</v>
      </c>
      <c r="B4010" t="s">
        <v>2511</v>
      </c>
      <c r="C4010">
        <v>60</v>
      </c>
      <c r="D4010">
        <v>2.8171186459561199</v>
      </c>
      <c r="E4010">
        <v>169.02711875736699</v>
      </c>
      <c r="F4010">
        <v>0.85805650652721899</v>
      </c>
      <c r="G4010">
        <v>0.84921560513148497</v>
      </c>
      <c r="H4010" t="str">
        <f t="shared" si="62"/>
        <v>Q4</v>
      </c>
    </row>
    <row r="4011" spans="1:8">
      <c r="A4011">
        <v>786998</v>
      </c>
      <c r="B4011" t="s">
        <v>3901</v>
      </c>
      <c r="C4011">
        <v>8</v>
      </c>
      <c r="D4011">
        <v>21.1063558235765</v>
      </c>
      <c r="E4011">
        <v>168.850846588612</v>
      </c>
      <c r="F4011">
        <v>0.49768631729430801</v>
      </c>
      <c r="G4011">
        <v>0.84917798427448199</v>
      </c>
      <c r="H4011" t="str">
        <f t="shared" si="62"/>
        <v>Q3</v>
      </c>
    </row>
    <row r="4012" spans="1:8">
      <c r="A4012">
        <v>599502</v>
      </c>
      <c r="B4012" t="s">
        <v>2547</v>
      </c>
      <c r="C4012">
        <v>56</v>
      </c>
      <c r="D4012">
        <v>3.0142857094428401</v>
      </c>
      <c r="E4012">
        <v>168.79999972879901</v>
      </c>
      <c r="F4012">
        <v>0.85004326398555397</v>
      </c>
      <c r="G4012">
        <v>0.849140363417479</v>
      </c>
      <c r="H4012" t="str">
        <f t="shared" si="62"/>
        <v>Q4</v>
      </c>
    </row>
    <row r="4013" spans="1:8">
      <c r="A4013">
        <v>604655</v>
      </c>
      <c r="B4013" t="s">
        <v>1748</v>
      </c>
      <c r="C4013">
        <v>54</v>
      </c>
      <c r="D4013">
        <v>3.12589448531745</v>
      </c>
      <c r="E4013">
        <v>168.798302207142</v>
      </c>
      <c r="F4013">
        <v>0.84515255257514799</v>
      </c>
      <c r="G4013">
        <v>0.84910274256047602</v>
      </c>
      <c r="H4013" t="str">
        <f t="shared" si="62"/>
        <v>Q4</v>
      </c>
    </row>
    <row r="4014" spans="1:8">
      <c r="A4014">
        <v>771005</v>
      </c>
      <c r="B4014" t="s">
        <v>3573</v>
      </c>
      <c r="C4014">
        <v>180</v>
      </c>
      <c r="D4014">
        <v>0.93728811518910005</v>
      </c>
      <c r="E4014">
        <v>168.711860734038</v>
      </c>
      <c r="F4014">
        <v>0.95346299988713701</v>
      </c>
      <c r="G4014">
        <v>0.84906512170347204</v>
      </c>
      <c r="H4014" t="str">
        <f t="shared" si="62"/>
        <v>Q2</v>
      </c>
    </row>
    <row r="4015" spans="1:8">
      <c r="A4015">
        <v>783422</v>
      </c>
      <c r="B4015" t="s">
        <v>4160</v>
      </c>
      <c r="C4015">
        <v>34</v>
      </c>
      <c r="D4015">
        <v>4.9586740705896801</v>
      </c>
      <c r="E4015">
        <v>168.59491840004901</v>
      </c>
      <c r="F4015">
        <v>0.77969226138971404</v>
      </c>
      <c r="G4015">
        <v>0.84902750084646905</v>
      </c>
      <c r="H4015" t="str">
        <f t="shared" si="62"/>
        <v>Q3</v>
      </c>
    </row>
    <row r="4016" spans="1:8">
      <c r="A4016">
        <v>780636</v>
      </c>
      <c r="B4016" t="s">
        <v>4181</v>
      </c>
      <c r="C4016">
        <v>109</v>
      </c>
      <c r="D4016">
        <v>1.54644689872998</v>
      </c>
      <c r="E4016">
        <v>168.562711961567</v>
      </c>
      <c r="F4016">
        <v>0.91922802001429604</v>
      </c>
      <c r="G4016">
        <v>0.84898987998946596</v>
      </c>
      <c r="H4016" t="str">
        <f t="shared" si="62"/>
        <v>Q4</v>
      </c>
    </row>
    <row r="4017" spans="1:8">
      <c r="A4017">
        <v>659462</v>
      </c>
      <c r="B4017" t="s">
        <v>859</v>
      </c>
      <c r="C4017">
        <v>24</v>
      </c>
      <c r="D4017">
        <v>7.0182909102489504</v>
      </c>
      <c r="E4017">
        <v>168.43898184597501</v>
      </c>
      <c r="F4017">
        <v>0.72284714645799597</v>
      </c>
      <c r="G4017">
        <v>0.84895225913246297</v>
      </c>
      <c r="H4017" t="str">
        <f t="shared" si="62"/>
        <v>Q3</v>
      </c>
    </row>
    <row r="4018" spans="1:8">
      <c r="A4018">
        <v>606395</v>
      </c>
      <c r="B4018" t="s">
        <v>347</v>
      </c>
      <c r="C4018">
        <v>30</v>
      </c>
      <c r="D4018">
        <v>5.6128814754386704</v>
      </c>
      <c r="E4018">
        <v>168.38644426316</v>
      </c>
      <c r="F4018">
        <v>0.760430382604116</v>
      </c>
      <c r="G4018">
        <v>0.84891463827545999</v>
      </c>
      <c r="H4018" t="str">
        <f t="shared" si="62"/>
        <v>Q3</v>
      </c>
    </row>
    <row r="4019" spans="1:8">
      <c r="A4019">
        <v>832841</v>
      </c>
      <c r="B4019" t="s">
        <v>3035</v>
      </c>
      <c r="C4019">
        <v>54</v>
      </c>
      <c r="D4019">
        <v>3.1171060684654401</v>
      </c>
      <c r="E4019">
        <v>168.32372769713399</v>
      </c>
      <c r="F4019">
        <v>0.84515255257514799</v>
      </c>
      <c r="G4019">
        <v>0.848877017418457</v>
      </c>
      <c r="H4019" t="str">
        <f t="shared" si="62"/>
        <v>Q4</v>
      </c>
    </row>
    <row r="4020" spans="1:8">
      <c r="A4020">
        <v>761596</v>
      </c>
      <c r="B4020" t="s">
        <v>364</v>
      </c>
      <c r="C4020">
        <v>41</v>
      </c>
      <c r="D4020">
        <v>4.1036378910265299</v>
      </c>
      <c r="E4020">
        <v>168.249153532088</v>
      </c>
      <c r="F4020">
        <v>0.80787028328505295</v>
      </c>
      <c r="G4020">
        <v>0.84883939656145402</v>
      </c>
      <c r="H4020" t="str">
        <f t="shared" si="62"/>
        <v>Q4</v>
      </c>
    </row>
    <row r="4021" spans="1:8">
      <c r="A4021">
        <v>700926</v>
      </c>
      <c r="B4021" t="s">
        <v>2296</v>
      </c>
      <c r="C4021">
        <v>100</v>
      </c>
      <c r="D4021">
        <v>1.68237287597731</v>
      </c>
      <c r="E4021">
        <v>168.23728759773101</v>
      </c>
      <c r="F4021">
        <v>0.91155336518565899</v>
      </c>
      <c r="G4021">
        <v>0.84880177570445103</v>
      </c>
      <c r="H4021" t="str">
        <f t="shared" si="62"/>
        <v>Q4</v>
      </c>
    </row>
    <row r="4022" spans="1:8">
      <c r="A4022">
        <v>690621</v>
      </c>
      <c r="B4022" t="s">
        <v>3407</v>
      </c>
      <c r="C4022">
        <v>96</v>
      </c>
      <c r="D4022">
        <v>1.7522598844758901</v>
      </c>
      <c r="E4022">
        <v>168.21694890968499</v>
      </c>
      <c r="F4022">
        <v>0.90812986719837496</v>
      </c>
      <c r="G4022">
        <v>0.84876415484744705</v>
      </c>
      <c r="H4022" t="str">
        <f t="shared" si="62"/>
        <v>Q4</v>
      </c>
    </row>
    <row r="4023" spans="1:8">
      <c r="A4023">
        <v>745968</v>
      </c>
      <c r="B4023" t="s">
        <v>2889</v>
      </c>
      <c r="C4023">
        <v>20</v>
      </c>
      <c r="D4023">
        <v>8.4105933085083997</v>
      </c>
      <c r="E4023">
        <v>168.21186617016801</v>
      </c>
      <c r="F4023">
        <v>0.69196042285843296</v>
      </c>
      <c r="G4023">
        <v>0.84872653399044395</v>
      </c>
      <c r="H4023" t="str">
        <f t="shared" si="62"/>
        <v>Q3</v>
      </c>
    </row>
    <row r="4024" spans="1:8">
      <c r="A4024">
        <v>679494</v>
      </c>
      <c r="B4024" t="s">
        <v>3205</v>
      </c>
      <c r="C4024">
        <v>48</v>
      </c>
      <c r="D4024">
        <v>3.50353105459362</v>
      </c>
      <c r="E4024">
        <v>168.169490620494</v>
      </c>
      <c r="F4024">
        <v>0.82957751777585498</v>
      </c>
      <c r="G4024">
        <v>0.84868891313344097</v>
      </c>
      <c r="H4024" t="str">
        <f t="shared" si="62"/>
        <v>Q4</v>
      </c>
    </row>
    <row r="4025" spans="1:8">
      <c r="A4025">
        <v>752072</v>
      </c>
      <c r="B4025" t="s">
        <v>5239</v>
      </c>
      <c r="C4025">
        <v>52</v>
      </c>
      <c r="D4025">
        <v>3.2339960372505301</v>
      </c>
      <c r="E4025">
        <v>168.167793937027</v>
      </c>
      <c r="F4025">
        <v>0.84003611602272299</v>
      </c>
      <c r="G4025">
        <v>0.84865129227643799</v>
      </c>
      <c r="H4025" t="str">
        <f t="shared" si="62"/>
        <v>Q4</v>
      </c>
    </row>
    <row r="4026" spans="1:8">
      <c r="A4026">
        <v>737599</v>
      </c>
      <c r="B4026" t="s">
        <v>917</v>
      </c>
      <c r="C4026">
        <v>5</v>
      </c>
      <c r="D4026">
        <v>33.624746203422497</v>
      </c>
      <c r="E4026">
        <v>168.12373101711299</v>
      </c>
      <c r="F4026">
        <v>0.385989992852037</v>
      </c>
      <c r="G4026">
        <v>0.848613671419435</v>
      </c>
      <c r="H4026" t="str">
        <f t="shared" si="62"/>
        <v>Q3</v>
      </c>
    </row>
    <row r="4027" spans="1:8">
      <c r="A4027">
        <v>629897</v>
      </c>
      <c r="B4027" t="s">
        <v>3502</v>
      </c>
      <c r="C4027">
        <v>44</v>
      </c>
      <c r="D4027">
        <v>3.8189522583376299</v>
      </c>
      <c r="E4027">
        <v>168.03389936685599</v>
      </c>
      <c r="F4027">
        <v>0.817689326962868</v>
      </c>
      <c r="G4027">
        <v>0.84857605056243202</v>
      </c>
      <c r="H4027" t="str">
        <f t="shared" si="62"/>
        <v>Q4</v>
      </c>
    </row>
    <row r="4028" spans="1:8">
      <c r="A4028">
        <v>715610</v>
      </c>
      <c r="B4028" t="s">
        <v>3667</v>
      </c>
      <c r="C4028">
        <v>75</v>
      </c>
      <c r="D4028">
        <v>2.2390960392852599</v>
      </c>
      <c r="E4028">
        <v>167.93220294639499</v>
      </c>
      <c r="F4028">
        <v>0.88420300214438896</v>
      </c>
      <c r="G4028">
        <v>0.84853842970542903</v>
      </c>
      <c r="H4028" t="str">
        <f t="shared" si="62"/>
        <v>Q4</v>
      </c>
    </row>
    <row r="4029" spans="1:8">
      <c r="A4029">
        <v>700974</v>
      </c>
      <c r="B4029" t="s">
        <v>467</v>
      </c>
      <c r="C4029">
        <v>85</v>
      </c>
      <c r="D4029">
        <v>1.97545355405001</v>
      </c>
      <c r="E4029">
        <v>167.913552094251</v>
      </c>
      <c r="F4029">
        <v>0.89721981866746903</v>
      </c>
      <c r="G4029">
        <v>0.84850080884842605</v>
      </c>
      <c r="H4029" t="str">
        <f t="shared" si="62"/>
        <v>Q4</v>
      </c>
    </row>
    <row r="4030" spans="1:8">
      <c r="A4030">
        <v>760961</v>
      </c>
      <c r="B4030" t="s">
        <v>1810</v>
      </c>
      <c r="C4030">
        <v>17</v>
      </c>
      <c r="D4030">
        <v>9.8764707060421202</v>
      </c>
      <c r="E4030">
        <v>167.90000200271601</v>
      </c>
      <c r="F4030">
        <v>0.65926789812271902</v>
      </c>
      <c r="G4030">
        <v>0.84846318799142195</v>
      </c>
      <c r="H4030" t="str">
        <f t="shared" si="62"/>
        <v>Q3</v>
      </c>
    </row>
    <row r="4031" spans="1:8">
      <c r="A4031">
        <v>697179</v>
      </c>
      <c r="B4031" t="s">
        <v>2532</v>
      </c>
      <c r="C4031">
        <v>34</v>
      </c>
      <c r="D4031">
        <v>4.9376371700097499</v>
      </c>
      <c r="E4031">
        <v>167.87966378033201</v>
      </c>
      <c r="F4031">
        <v>0.77969226138971404</v>
      </c>
      <c r="G4031">
        <v>0.84842556713441897</v>
      </c>
      <c r="H4031" t="str">
        <f t="shared" si="62"/>
        <v>Q3</v>
      </c>
    </row>
    <row r="4032" spans="1:8">
      <c r="A4032">
        <v>547752</v>
      </c>
      <c r="B4032" t="s">
        <v>4528</v>
      </c>
      <c r="C4032">
        <v>63</v>
      </c>
      <c r="D4032">
        <v>2.6646489144436001</v>
      </c>
      <c r="E4032">
        <v>167.87288160994601</v>
      </c>
      <c r="F4032">
        <v>0.86445205221775001</v>
      </c>
      <c r="G4032">
        <v>0.84838794627741598</v>
      </c>
      <c r="H4032" t="str">
        <f t="shared" si="62"/>
        <v>Q4</v>
      </c>
    </row>
    <row r="4033" spans="1:8">
      <c r="A4033">
        <v>715231</v>
      </c>
      <c r="B4033" t="s">
        <v>3559</v>
      </c>
      <c r="C4033">
        <v>33</v>
      </c>
      <c r="D4033">
        <v>5.0836158182584903</v>
      </c>
      <c r="E4033">
        <v>167.75932200253001</v>
      </c>
      <c r="F4033">
        <v>0.77551634626236798</v>
      </c>
      <c r="G4033">
        <v>0.848350325420413</v>
      </c>
      <c r="H4033" t="str">
        <f t="shared" si="62"/>
        <v>Q3</v>
      </c>
    </row>
    <row r="4034" spans="1:8">
      <c r="A4034">
        <v>687426</v>
      </c>
      <c r="B4034" t="s">
        <v>3860</v>
      </c>
      <c r="C4034">
        <v>103</v>
      </c>
      <c r="D4034">
        <v>1.6286489363868299</v>
      </c>
      <c r="E4034">
        <v>167.75084044784299</v>
      </c>
      <c r="F4034">
        <v>0.91433730860388995</v>
      </c>
      <c r="G4034">
        <v>0.84831270456341001</v>
      </c>
      <c r="H4034" t="str">
        <f t="shared" si="62"/>
        <v>Q4</v>
      </c>
    </row>
    <row r="4035" spans="1:8">
      <c r="A4035">
        <v>764542</v>
      </c>
      <c r="B4035" t="s">
        <v>2989</v>
      </c>
      <c r="C4035">
        <v>95</v>
      </c>
      <c r="D4035">
        <v>1.7656734874962201</v>
      </c>
      <c r="E4035">
        <v>167.73898131214099</v>
      </c>
      <c r="F4035">
        <v>0.90760317520033096</v>
      </c>
      <c r="G4035">
        <v>0.84827508370640703</v>
      </c>
      <c r="H4035" t="str">
        <f t="shared" ref="H4035:H4098" si="63">IF(C4035&gt;$J$2,
   IF(D4035&gt;$J$3,"Q1","Q2"),
   IF(D4035&gt;$J$3,"Q3","Q4"))</f>
        <v>Q4</v>
      </c>
    </row>
    <row r="4036" spans="1:8">
      <c r="A4036">
        <v>796934</v>
      </c>
      <c r="B4036" t="s">
        <v>4107</v>
      </c>
      <c r="C4036">
        <v>31</v>
      </c>
      <c r="D4036">
        <v>5.4091306944047304</v>
      </c>
      <c r="E4036">
        <v>167.683051526546</v>
      </c>
      <c r="F4036">
        <v>0.766073511154584</v>
      </c>
      <c r="G4036">
        <v>0.84823746284940404</v>
      </c>
      <c r="H4036" t="str">
        <f t="shared" si="63"/>
        <v>Q3</v>
      </c>
    </row>
    <row r="4037" spans="1:8">
      <c r="A4037">
        <v>696802</v>
      </c>
      <c r="B4037" t="s">
        <v>268</v>
      </c>
      <c r="C4037">
        <v>63</v>
      </c>
      <c r="D4037">
        <v>2.66018289451798</v>
      </c>
      <c r="E4037">
        <v>167.59152235463301</v>
      </c>
      <c r="F4037">
        <v>0.86445205221775001</v>
      </c>
      <c r="G4037">
        <v>0.84819984199240095</v>
      </c>
      <c r="H4037" t="str">
        <f t="shared" si="63"/>
        <v>Q4</v>
      </c>
    </row>
    <row r="4038" spans="1:8">
      <c r="A4038">
        <v>696429</v>
      </c>
      <c r="B4038" t="s">
        <v>533</v>
      </c>
      <c r="C4038">
        <v>130</v>
      </c>
      <c r="D4038">
        <v>1.2891264506973901</v>
      </c>
      <c r="E4038">
        <v>167.586438590661</v>
      </c>
      <c r="F4038">
        <v>0.93307249539144499</v>
      </c>
      <c r="G4038">
        <v>0.84816222113539697</v>
      </c>
      <c r="H4038" t="str">
        <f t="shared" si="63"/>
        <v>Q4</v>
      </c>
    </row>
    <row r="4039" spans="1:8">
      <c r="A4039">
        <v>722970</v>
      </c>
      <c r="B4039" t="s">
        <v>2383</v>
      </c>
      <c r="C4039">
        <v>102</v>
      </c>
      <c r="D4039">
        <v>1.6418078421231601</v>
      </c>
      <c r="E4039">
        <v>167.46439989656201</v>
      </c>
      <c r="F4039">
        <v>0.91332154546480604</v>
      </c>
      <c r="G4039">
        <v>0.84812460027839398</v>
      </c>
      <c r="H4039" t="str">
        <f t="shared" si="63"/>
        <v>Q4</v>
      </c>
    </row>
    <row r="4040" spans="1:8">
      <c r="A4040">
        <v>549253</v>
      </c>
      <c r="B4040" t="s">
        <v>4481</v>
      </c>
      <c r="C4040">
        <v>53</v>
      </c>
      <c r="D4040">
        <v>3.1574032673577102</v>
      </c>
      <c r="E4040">
        <v>167.34237316995899</v>
      </c>
      <c r="F4040">
        <v>0.84218050487190099</v>
      </c>
      <c r="G4040">
        <v>0.848086979421391</v>
      </c>
      <c r="H4040" t="str">
        <f t="shared" si="63"/>
        <v>Q4</v>
      </c>
    </row>
    <row r="4041" spans="1:8">
      <c r="A4041">
        <v>700953</v>
      </c>
      <c r="B4041" t="s">
        <v>980</v>
      </c>
      <c r="C4041">
        <v>42</v>
      </c>
      <c r="D4041">
        <v>3.9842614970569099</v>
      </c>
      <c r="E4041">
        <v>167.33898287638999</v>
      </c>
      <c r="F4041">
        <v>0.81103043527331597</v>
      </c>
      <c r="G4041">
        <v>0.84804935856438801</v>
      </c>
      <c r="H4041" t="str">
        <f t="shared" si="63"/>
        <v>Q4</v>
      </c>
    </row>
    <row r="4042" spans="1:8">
      <c r="A4042">
        <v>559607</v>
      </c>
      <c r="B4042" t="s">
        <v>414</v>
      </c>
      <c r="C4042">
        <v>91</v>
      </c>
      <c r="D4042">
        <v>1.83888990022651</v>
      </c>
      <c r="E4042">
        <v>167.33898092061301</v>
      </c>
      <c r="F4042">
        <v>0.90350250178699099</v>
      </c>
      <c r="G4042">
        <v>0.84801173770738503</v>
      </c>
      <c r="H4042" t="str">
        <f t="shared" si="63"/>
        <v>Q4</v>
      </c>
    </row>
    <row r="4043" spans="1:8">
      <c r="A4043">
        <v>186372</v>
      </c>
      <c r="B4043" t="s">
        <v>2032</v>
      </c>
      <c r="C4043">
        <v>103</v>
      </c>
      <c r="D4043">
        <v>1.6240579184614901</v>
      </c>
      <c r="E4043">
        <v>167.27796560153399</v>
      </c>
      <c r="F4043">
        <v>0.91433730860388995</v>
      </c>
      <c r="G4043">
        <v>0.84797411685038204</v>
      </c>
      <c r="H4043" t="str">
        <f t="shared" si="63"/>
        <v>Q4</v>
      </c>
    </row>
    <row r="4044" spans="1:8">
      <c r="A4044">
        <v>751214</v>
      </c>
      <c r="B4044" t="s">
        <v>760</v>
      </c>
      <c r="C4044">
        <v>43</v>
      </c>
      <c r="D4044">
        <v>3.8898305361007499</v>
      </c>
      <c r="E4044">
        <v>167.262713052332</v>
      </c>
      <c r="F4044">
        <v>0.81437869154659304</v>
      </c>
      <c r="G4044">
        <v>0.84793649599337895</v>
      </c>
      <c r="H4044" t="str">
        <f t="shared" si="63"/>
        <v>Q4</v>
      </c>
    </row>
    <row r="4045" spans="1:8">
      <c r="A4045">
        <v>824310</v>
      </c>
      <c r="B4045" t="s">
        <v>517</v>
      </c>
      <c r="C4045">
        <v>55</v>
      </c>
      <c r="D4045">
        <v>3.0401848730715799</v>
      </c>
      <c r="E4045">
        <v>167.210168018937</v>
      </c>
      <c r="F4045">
        <v>0.84763552913735396</v>
      </c>
      <c r="G4045">
        <v>0.84789887513637596</v>
      </c>
      <c r="H4045" t="str">
        <f t="shared" si="63"/>
        <v>Q4</v>
      </c>
    </row>
    <row r="4046" spans="1:8">
      <c r="A4046">
        <v>663970</v>
      </c>
      <c r="B4046" t="s">
        <v>3868</v>
      </c>
      <c r="C4046">
        <v>45</v>
      </c>
      <c r="D4046">
        <v>3.7153672385546899</v>
      </c>
      <c r="E4046">
        <v>167.191525734961</v>
      </c>
      <c r="F4046">
        <v>0.82069899552311798</v>
      </c>
      <c r="G4046">
        <v>0.84786125427937298</v>
      </c>
      <c r="H4046" t="str">
        <f t="shared" si="63"/>
        <v>Q4</v>
      </c>
    </row>
    <row r="4047" spans="1:8">
      <c r="A4047">
        <v>755144</v>
      </c>
      <c r="B4047" t="s">
        <v>4382</v>
      </c>
      <c r="C4047">
        <v>26</v>
      </c>
      <c r="D4047">
        <v>6.42920463131024</v>
      </c>
      <c r="E4047">
        <v>167.159320414066</v>
      </c>
      <c r="F4047">
        <v>0.73706783040517698</v>
      </c>
      <c r="G4047">
        <v>0.84782363342236899</v>
      </c>
      <c r="H4047" t="str">
        <f t="shared" si="63"/>
        <v>Q3</v>
      </c>
    </row>
    <row r="4048" spans="1:8">
      <c r="A4048">
        <v>547058</v>
      </c>
      <c r="B4048" t="s">
        <v>3499</v>
      </c>
      <c r="C4048">
        <v>28</v>
      </c>
      <c r="D4048">
        <v>5.9685231585587797</v>
      </c>
      <c r="E4048">
        <v>167.11864843964599</v>
      </c>
      <c r="F4048">
        <v>0.74974605921522897</v>
      </c>
      <c r="G4048">
        <v>0.84778601256536601</v>
      </c>
      <c r="H4048" t="str">
        <f t="shared" si="63"/>
        <v>Q3</v>
      </c>
    </row>
    <row r="4049" spans="1:8">
      <c r="A4049">
        <v>812784</v>
      </c>
      <c r="B4049" t="s">
        <v>4615</v>
      </c>
      <c r="C4049">
        <v>21</v>
      </c>
      <c r="D4049">
        <v>7.95738498369853</v>
      </c>
      <c r="E4049">
        <v>167.10508465766901</v>
      </c>
      <c r="F4049">
        <v>0.70008652797110704</v>
      </c>
      <c r="G4049">
        <v>0.84774839170836302</v>
      </c>
      <c r="H4049" t="str">
        <f t="shared" si="63"/>
        <v>Q3</v>
      </c>
    </row>
    <row r="4050" spans="1:8">
      <c r="A4050">
        <v>709177</v>
      </c>
      <c r="B4050" t="s">
        <v>4778</v>
      </c>
      <c r="C4050">
        <v>36</v>
      </c>
      <c r="D4050">
        <v>4.6416667600472801</v>
      </c>
      <c r="E4050">
        <v>167.10000336170199</v>
      </c>
      <c r="F4050">
        <v>0.78890937135547901</v>
      </c>
      <c r="G4050">
        <v>0.84771077085136004</v>
      </c>
      <c r="H4050" t="str">
        <f t="shared" si="63"/>
        <v>Q4</v>
      </c>
    </row>
    <row r="4051" spans="1:8">
      <c r="A4051">
        <v>735829</v>
      </c>
      <c r="B4051" t="s">
        <v>221</v>
      </c>
      <c r="C4051">
        <v>64</v>
      </c>
      <c r="D4051">
        <v>2.6108844846021402</v>
      </c>
      <c r="E4051">
        <v>167.096607014537</v>
      </c>
      <c r="F4051">
        <v>0.86633309506790601</v>
      </c>
      <c r="G4051">
        <v>0.84767314999435694</v>
      </c>
      <c r="H4051" t="str">
        <f t="shared" si="63"/>
        <v>Q4</v>
      </c>
    </row>
    <row r="4052" spans="1:8">
      <c r="A4052">
        <v>654590</v>
      </c>
      <c r="B4052" t="s">
        <v>2115</v>
      </c>
      <c r="C4052">
        <v>57</v>
      </c>
      <c r="D4052">
        <v>2.9304489950861798</v>
      </c>
      <c r="E4052">
        <v>167.03559271991301</v>
      </c>
      <c r="F4052">
        <v>0.851849065121703</v>
      </c>
      <c r="G4052">
        <v>0.84763552913735396</v>
      </c>
      <c r="H4052" t="str">
        <f t="shared" si="63"/>
        <v>Q4</v>
      </c>
    </row>
    <row r="4053" spans="1:8">
      <c r="A4053">
        <v>787976</v>
      </c>
      <c r="B4053" t="s">
        <v>3923</v>
      </c>
      <c r="C4053">
        <v>8</v>
      </c>
      <c r="D4053">
        <v>20.8750003948808</v>
      </c>
      <c r="E4053">
        <v>167.000003159046</v>
      </c>
      <c r="F4053">
        <v>0.49768631729430801</v>
      </c>
      <c r="G4053">
        <v>0.84759790828035098</v>
      </c>
      <c r="H4053" t="str">
        <f t="shared" si="63"/>
        <v>Q3</v>
      </c>
    </row>
    <row r="4054" spans="1:8">
      <c r="A4054">
        <v>653145</v>
      </c>
      <c r="B4054" t="s">
        <v>134</v>
      </c>
      <c r="C4054">
        <v>46</v>
      </c>
      <c r="D4054">
        <v>3.6282609014407399</v>
      </c>
      <c r="E4054">
        <v>166.90000146627401</v>
      </c>
      <c r="F4054">
        <v>0.82378390579737404</v>
      </c>
      <c r="G4054">
        <v>0.84756028742334799</v>
      </c>
      <c r="H4054" t="str">
        <f t="shared" si="63"/>
        <v>Q4</v>
      </c>
    </row>
    <row r="4055" spans="1:8">
      <c r="A4055">
        <v>651222</v>
      </c>
      <c r="B4055" t="s">
        <v>627</v>
      </c>
      <c r="C4055">
        <v>76</v>
      </c>
      <c r="D4055">
        <v>2.1953835323648998</v>
      </c>
      <c r="E4055">
        <v>166.84914845973299</v>
      </c>
      <c r="F4055">
        <v>0.88612166585154795</v>
      </c>
      <c r="G4055">
        <v>0.84752266656634401</v>
      </c>
      <c r="H4055" t="str">
        <f t="shared" si="63"/>
        <v>Q4</v>
      </c>
    </row>
    <row r="4056" spans="1:8">
      <c r="A4056">
        <v>747152</v>
      </c>
      <c r="B4056" t="s">
        <v>3850</v>
      </c>
      <c r="C4056">
        <v>16</v>
      </c>
      <c r="D4056">
        <v>10.4193854145706</v>
      </c>
      <c r="E4056">
        <v>166.71016663312901</v>
      </c>
      <c r="F4056">
        <v>0.64756781159474797</v>
      </c>
      <c r="G4056">
        <v>0.84748504570934102</v>
      </c>
      <c r="H4056" t="str">
        <f t="shared" si="63"/>
        <v>Q3</v>
      </c>
    </row>
    <row r="4057" spans="1:8">
      <c r="A4057">
        <v>711714</v>
      </c>
      <c r="B4057" t="s">
        <v>3318</v>
      </c>
      <c r="C4057">
        <v>44</v>
      </c>
      <c r="D4057">
        <v>3.7877889434722301</v>
      </c>
      <c r="E4057">
        <v>166.662713512778</v>
      </c>
      <c r="F4057">
        <v>0.817689326962868</v>
      </c>
      <c r="G4057">
        <v>0.84744742485233804</v>
      </c>
      <c r="H4057" t="str">
        <f t="shared" si="63"/>
        <v>Q4</v>
      </c>
    </row>
    <row r="4058" spans="1:8">
      <c r="A4058">
        <v>630542</v>
      </c>
      <c r="B4058" t="s">
        <v>977</v>
      </c>
      <c r="C4058">
        <v>38</v>
      </c>
      <c r="D4058">
        <v>4.3854594769838604</v>
      </c>
      <c r="E4058">
        <v>166.647460125387</v>
      </c>
      <c r="F4058">
        <v>0.79696023475414801</v>
      </c>
      <c r="G4058">
        <v>0.84740980399533505</v>
      </c>
      <c r="H4058" t="str">
        <f t="shared" si="63"/>
        <v>Q4</v>
      </c>
    </row>
    <row r="4059" spans="1:8">
      <c r="A4059">
        <v>721008</v>
      </c>
      <c r="B4059" t="s">
        <v>3810</v>
      </c>
      <c r="C4059">
        <v>69</v>
      </c>
      <c r="D4059">
        <v>2.4149349134793301</v>
      </c>
      <c r="E4059">
        <v>166.63050903007399</v>
      </c>
      <c r="F4059">
        <v>0.87393250818253598</v>
      </c>
      <c r="G4059">
        <v>0.84737218313833196</v>
      </c>
      <c r="H4059" t="str">
        <f t="shared" si="63"/>
        <v>Q4</v>
      </c>
    </row>
    <row r="4060" spans="1:8">
      <c r="A4060">
        <v>752091</v>
      </c>
      <c r="B4060" t="s">
        <v>4515</v>
      </c>
      <c r="C4060">
        <v>25</v>
      </c>
      <c r="D4060">
        <v>6.6577626317739496</v>
      </c>
      <c r="E4060">
        <v>166.444065794349</v>
      </c>
      <c r="F4060">
        <v>0.72991986757458305</v>
      </c>
      <c r="G4060">
        <v>0.84733456228132897</v>
      </c>
      <c r="H4060" t="str">
        <f t="shared" si="63"/>
        <v>Q3</v>
      </c>
    </row>
    <row r="4061" spans="1:8">
      <c r="A4061">
        <v>711649</v>
      </c>
      <c r="B4061" t="s">
        <v>181</v>
      </c>
      <c r="C4061">
        <v>70</v>
      </c>
      <c r="D4061">
        <v>2.3771428516400701</v>
      </c>
      <c r="E4061">
        <v>166.39999961480501</v>
      </c>
      <c r="F4061">
        <v>0.87555020503367098</v>
      </c>
      <c r="G4061">
        <v>0.84729694142432599</v>
      </c>
      <c r="H4061" t="str">
        <f t="shared" si="63"/>
        <v>Q4</v>
      </c>
    </row>
    <row r="4062" spans="1:8">
      <c r="A4062">
        <v>790644</v>
      </c>
      <c r="B4062" t="s">
        <v>5196</v>
      </c>
      <c r="C4062">
        <v>79</v>
      </c>
      <c r="D4062">
        <v>2.1060072864063901</v>
      </c>
      <c r="E4062">
        <v>166.37457562610501</v>
      </c>
      <c r="F4062">
        <v>0.89022233926488803</v>
      </c>
      <c r="G4062">
        <v>0.847259320567323</v>
      </c>
      <c r="H4062" t="str">
        <f t="shared" si="63"/>
        <v>Q4</v>
      </c>
    </row>
    <row r="4063" spans="1:8">
      <c r="A4063">
        <v>745321</v>
      </c>
      <c r="B4063" t="s">
        <v>1532</v>
      </c>
      <c r="C4063">
        <v>51</v>
      </c>
      <c r="D4063">
        <v>3.2592555142793</v>
      </c>
      <c r="E4063">
        <v>166.22203122824399</v>
      </c>
      <c r="F4063">
        <v>0.83762838117452298</v>
      </c>
      <c r="G4063">
        <v>0.84722169971031902</v>
      </c>
      <c r="H4063" t="str">
        <f t="shared" si="63"/>
        <v>Q4</v>
      </c>
    </row>
    <row r="4064" spans="1:8">
      <c r="A4064">
        <v>753475</v>
      </c>
      <c r="B4064" t="s">
        <v>3240</v>
      </c>
      <c r="C4064">
        <v>53</v>
      </c>
      <c r="D4064">
        <v>3.1361688192020001</v>
      </c>
      <c r="E4064">
        <v>166.216947417706</v>
      </c>
      <c r="F4064">
        <v>0.84218050487190099</v>
      </c>
      <c r="G4064">
        <v>0.84718407885331604</v>
      </c>
      <c r="H4064" t="str">
        <f t="shared" si="63"/>
        <v>Q4</v>
      </c>
    </row>
    <row r="4065" spans="1:8">
      <c r="A4065">
        <v>758282</v>
      </c>
      <c r="B4065" t="s">
        <v>2412</v>
      </c>
      <c r="C4065">
        <v>77</v>
      </c>
      <c r="D4065">
        <v>2.1584415161232302</v>
      </c>
      <c r="E4065">
        <v>166.199996741489</v>
      </c>
      <c r="F4065">
        <v>0.88740077498965397</v>
      </c>
      <c r="G4065">
        <v>0.84714645799631305</v>
      </c>
      <c r="H4065" t="str">
        <f t="shared" si="63"/>
        <v>Q4</v>
      </c>
    </row>
    <row r="4066" spans="1:8">
      <c r="A4066">
        <v>630084</v>
      </c>
      <c r="B4066" t="s">
        <v>4672</v>
      </c>
      <c r="C4066">
        <v>41</v>
      </c>
      <c r="D4066">
        <v>4.0499380539830101</v>
      </c>
      <c r="E4066">
        <v>166.04746021330399</v>
      </c>
      <c r="F4066">
        <v>0.80787028328505295</v>
      </c>
      <c r="G4066">
        <v>0.84710883713930996</v>
      </c>
      <c r="H4066" t="str">
        <f t="shared" si="63"/>
        <v>Q4</v>
      </c>
    </row>
    <row r="4067" spans="1:8">
      <c r="A4067">
        <v>632516</v>
      </c>
      <c r="B4067" t="s">
        <v>858</v>
      </c>
      <c r="C4067">
        <v>47</v>
      </c>
      <c r="D4067">
        <v>3.5325639901009001</v>
      </c>
      <c r="E4067">
        <v>166.03050753474199</v>
      </c>
      <c r="F4067">
        <v>0.82641736578759295</v>
      </c>
      <c r="G4067">
        <v>0.84707121628230697</v>
      </c>
      <c r="H4067" t="str">
        <f t="shared" si="63"/>
        <v>Q4</v>
      </c>
    </row>
    <row r="4068" spans="1:8">
      <c r="A4068">
        <v>713783</v>
      </c>
      <c r="B4068" t="s">
        <v>3029</v>
      </c>
      <c r="C4068">
        <v>76</v>
      </c>
      <c r="D4068">
        <v>2.18456734805123</v>
      </c>
      <c r="E4068">
        <v>166.02711845189299</v>
      </c>
      <c r="F4068">
        <v>0.88612166585154795</v>
      </c>
      <c r="G4068">
        <v>0.84703359542530399</v>
      </c>
      <c r="H4068" t="str">
        <f t="shared" si="63"/>
        <v>Q4</v>
      </c>
    </row>
    <row r="4069" spans="1:8">
      <c r="A4069">
        <v>724821</v>
      </c>
      <c r="B4069" t="s">
        <v>3771</v>
      </c>
      <c r="C4069">
        <v>75</v>
      </c>
      <c r="D4069">
        <v>2.2123841792344998</v>
      </c>
      <c r="E4069">
        <v>165.92881344258799</v>
      </c>
      <c r="F4069">
        <v>0.88420300214438896</v>
      </c>
      <c r="G4069">
        <v>0.846995974568301</v>
      </c>
      <c r="H4069" t="str">
        <f t="shared" si="63"/>
        <v>Q4</v>
      </c>
    </row>
    <row r="4070" spans="1:8">
      <c r="A4070">
        <v>671607</v>
      </c>
      <c r="B4070" t="s">
        <v>2423</v>
      </c>
      <c r="C4070">
        <v>137</v>
      </c>
      <c r="D4070">
        <v>1.2109489108768901</v>
      </c>
      <c r="E4070">
        <v>165.90000079013399</v>
      </c>
      <c r="F4070">
        <v>0.93687220194875998</v>
      </c>
      <c r="G4070">
        <v>0.84695835371129802</v>
      </c>
      <c r="H4070" t="str">
        <f t="shared" si="63"/>
        <v>Q4</v>
      </c>
    </row>
    <row r="4071" spans="1:8">
      <c r="A4071">
        <v>698465</v>
      </c>
      <c r="B4071" t="s">
        <v>2275</v>
      </c>
      <c r="C4071">
        <v>52</v>
      </c>
      <c r="D4071">
        <v>3.1900260113896102</v>
      </c>
      <c r="E4071">
        <v>165.88135259225999</v>
      </c>
      <c r="F4071">
        <v>0.84003611602272299</v>
      </c>
      <c r="G4071">
        <v>0.84692073285429403</v>
      </c>
      <c r="H4071" t="str">
        <f t="shared" si="63"/>
        <v>Q4</v>
      </c>
    </row>
    <row r="4072" spans="1:8">
      <c r="A4072">
        <v>747771</v>
      </c>
      <c r="B4072" t="s">
        <v>975</v>
      </c>
      <c r="C4072">
        <v>11</v>
      </c>
      <c r="D4072">
        <v>15.0745763020082</v>
      </c>
      <c r="E4072">
        <v>165.82033932209001</v>
      </c>
      <c r="F4072">
        <v>0.56957977502727497</v>
      </c>
      <c r="G4072">
        <v>0.84688311199729105</v>
      </c>
      <c r="H4072" t="str">
        <f t="shared" si="63"/>
        <v>Q3</v>
      </c>
    </row>
    <row r="4073" spans="1:8">
      <c r="A4073">
        <v>728592</v>
      </c>
      <c r="B4073" t="s">
        <v>3408</v>
      </c>
      <c r="C4073">
        <v>109</v>
      </c>
      <c r="D4073">
        <v>1.5204633154624401</v>
      </c>
      <c r="E4073">
        <v>165.730501385406</v>
      </c>
      <c r="F4073">
        <v>0.91922802001429604</v>
      </c>
      <c r="G4073">
        <v>0.84684549114028795</v>
      </c>
      <c r="H4073" t="str">
        <f t="shared" si="63"/>
        <v>Q4</v>
      </c>
    </row>
    <row r="4074" spans="1:8">
      <c r="A4074">
        <v>777892</v>
      </c>
      <c r="B4074" t="s">
        <v>1983</v>
      </c>
      <c r="C4074">
        <v>53</v>
      </c>
      <c r="D4074">
        <v>3.1257114988171799</v>
      </c>
      <c r="E4074">
        <v>165.66270943731101</v>
      </c>
      <c r="F4074">
        <v>0.84218050487190099</v>
      </c>
      <c r="G4074">
        <v>0.84680787028328497</v>
      </c>
      <c r="H4074" t="str">
        <f t="shared" si="63"/>
        <v>Q4</v>
      </c>
    </row>
    <row r="4075" spans="1:8">
      <c r="A4075">
        <v>770359</v>
      </c>
      <c r="B4075" t="s">
        <v>3442</v>
      </c>
      <c r="C4075">
        <v>36</v>
      </c>
      <c r="D4075">
        <v>4.6014125148455296</v>
      </c>
      <c r="E4075">
        <v>165.650850534439</v>
      </c>
      <c r="F4075">
        <v>0.78890937135547901</v>
      </c>
      <c r="G4075">
        <v>0.84677024942628198</v>
      </c>
      <c r="H4075" t="str">
        <f t="shared" si="63"/>
        <v>Q4</v>
      </c>
    </row>
    <row r="4076" spans="1:8">
      <c r="A4076">
        <v>573651</v>
      </c>
      <c r="B4076" t="s">
        <v>3355</v>
      </c>
      <c r="C4076">
        <v>56</v>
      </c>
      <c r="D4076">
        <v>2.95693098700472</v>
      </c>
      <c r="E4076">
        <v>165.588135272264</v>
      </c>
      <c r="F4076">
        <v>0.85004326398555397</v>
      </c>
      <c r="G4076">
        <v>0.846732628569279</v>
      </c>
      <c r="H4076" t="str">
        <f t="shared" si="63"/>
        <v>Q4</v>
      </c>
    </row>
    <row r="4077" spans="1:8">
      <c r="A4077">
        <v>653275</v>
      </c>
      <c r="B4077" t="s">
        <v>1138</v>
      </c>
      <c r="C4077">
        <v>102</v>
      </c>
      <c r="D4077">
        <v>1.6234130292729101</v>
      </c>
      <c r="E4077">
        <v>165.58812898583699</v>
      </c>
      <c r="F4077">
        <v>0.91332154546480604</v>
      </c>
      <c r="G4077">
        <v>0.84669500771227602</v>
      </c>
      <c r="H4077" t="str">
        <f t="shared" si="63"/>
        <v>Q4</v>
      </c>
    </row>
    <row r="4078" spans="1:8">
      <c r="A4078">
        <v>653551</v>
      </c>
      <c r="B4078" t="s">
        <v>538</v>
      </c>
      <c r="C4078">
        <v>6</v>
      </c>
      <c r="D4078">
        <v>27.597740292549101</v>
      </c>
      <c r="E4078">
        <v>165.586441755295</v>
      </c>
      <c r="F4078">
        <v>0.428463940408563</v>
      </c>
      <c r="G4078">
        <v>0.84665738685527303</v>
      </c>
      <c r="H4078" t="str">
        <f t="shared" si="63"/>
        <v>Q3</v>
      </c>
    </row>
    <row r="4079" spans="1:8">
      <c r="A4079">
        <v>722138</v>
      </c>
      <c r="B4079" t="s">
        <v>5056</v>
      </c>
      <c r="C4079">
        <v>29</v>
      </c>
      <c r="D4079">
        <v>5.7094683035694302</v>
      </c>
      <c r="E4079">
        <v>165.57458080351401</v>
      </c>
      <c r="F4079">
        <v>0.75501297919566601</v>
      </c>
      <c r="G4079">
        <v>0.84661976599826905</v>
      </c>
      <c r="H4079" t="str">
        <f t="shared" si="63"/>
        <v>Q3</v>
      </c>
    </row>
    <row r="4080" spans="1:8">
      <c r="A4080">
        <v>722828</v>
      </c>
      <c r="B4080" t="s">
        <v>960</v>
      </c>
      <c r="C4080">
        <v>70</v>
      </c>
      <c r="D4080">
        <v>2.3649636602827502</v>
      </c>
      <c r="E4080">
        <v>165.547456219792</v>
      </c>
      <c r="F4080">
        <v>0.87555020503367098</v>
      </c>
      <c r="G4080">
        <v>0.84658214514126595</v>
      </c>
      <c r="H4080" t="str">
        <f t="shared" si="63"/>
        <v>Q4</v>
      </c>
    </row>
    <row r="4081" spans="1:8">
      <c r="A4081">
        <v>703589</v>
      </c>
      <c r="B4081" t="s">
        <v>547</v>
      </c>
      <c r="C4081">
        <v>36</v>
      </c>
      <c r="D4081">
        <v>4.5965160967575196</v>
      </c>
      <c r="E4081">
        <v>165.47457948327099</v>
      </c>
      <c r="F4081">
        <v>0.78890937135547901</v>
      </c>
      <c r="G4081">
        <v>0.84654452428426297</v>
      </c>
      <c r="H4081" t="str">
        <f t="shared" si="63"/>
        <v>Q4</v>
      </c>
    </row>
    <row r="4082" spans="1:8">
      <c r="A4082">
        <v>623632</v>
      </c>
      <c r="B4082" t="s">
        <v>3447</v>
      </c>
      <c r="C4082">
        <v>58</v>
      </c>
      <c r="D4082">
        <v>2.85222095051973</v>
      </c>
      <c r="E4082">
        <v>165.42881513014399</v>
      </c>
      <c r="F4082">
        <v>0.853993453970881</v>
      </c>
      <c r="G4082">
        <v>0.84650690342725998</v>
      </c>
      <c r="H4082" t="str">
        <f t="shared" si="63"/>
        <v>Q4</v>
      </c>
    </row>
    <row r="4083" spans="1:8">
      <c r="A4083">
        <v>475791</v>
      </c>
      <c r="B4083" t="s">
        <v>3872</v>
      </c>
      <c r="C4083">
        <v>108</v>
      </c>
      <c r="D4083">
        <v>1.5317325751918101</v>
      </c>
      <c r="E4083">
        <v>165.42711812071499</v>
      </c>
      <c r="F4083">
        <v>0.91866370715924905</v>
      </c>
      <c r="G4083">
        <v>0.846469282570257</v>
      </c>
      <c r="H4083" t="str">
        <f t="shared" si="63"/>
        <v>Q4</v>
      </c>
    </row>
    <row r="4084" spans="1:8">
      <c r="A4084">
        <v>737614</v>
      </c>
      <c r="B4084" t="s">
        <v>921</v>
      </c>
      <c r="C4084">
        <v>13</v>
      </c>
      <c r="D4084">
        <v>12.7207301557064</v>
      </c>
      <c r="E4084">
        <v>165.36949202418299</v>
      </c>
      <c r="F4084">
        <v>0.60539483089424795</v>
      </c>
      <c r="G4084">
        <v>0.84643166171325401</v>
      </c>
      <c r="H4084" t="str">
        <f t="shared" si="63"/>
        <v>Q3</v>
      </c>
    </row>
    <row r="4085" spans="1:8">
      <c r="A4085">
        <v>653394</v>
      </c>
      <c r="B4085" t="s">
        <v>3039</v>
      </c>
      <c r="C4085">
        <v>24</v>
      </c>
      <c r="D4085">
        <v>6.8876411610593404</v>
      </c>
      <c r="E4085">
        <v>165.30338786542401</v>
      </c>
      <c r="F4085">
        <v>0.72284714645799597</v>
      </c>
      <c r="G4085">
        <v>0.84639404085625103</v>
      </c>
      <c r="H4085" t="str">
        <f t="shared" si="63"/>
        <v>Q3</v>
      </c>
    </row>
    <row r="4086" spans="1:8">
      <c r="A4086">
        <v>762666</v>
      </c>
      <c r="B4086" t="s">
        <v>1146</v>
      </c>
      <c r="C4086">
        <v>42</v>
      </c>
      <c r="D4086">
        <v>3.9350686328751698</v>
      </c>
      <c r="E4086">
        <v>165.272882580757</v>
      </c>
      <c r="F4086">
        <v>0.81103043527331597</v>
      </c>
      <c r="G4086">
        <v>0.84635641999924804</v>
      </c>
      <c r="H4086" t="str">
        <f t="shared" si="63"/>
        <v>Q4</v>
      </c>
    </row>
    <row r="4087" spans="1:8">
      <c r="A4087">
        <v>641843</v>
      </c>
      <c r="B4087" t="s">
        <v>3671</v>
      </c>
      <c r="C4087">
        <v>17</v>
      </c>
      <c r="D4087">
        <v>9.7196410684024599</v>
      </c>
      <c r="E4087">
        <v>165.233898162842</v>
      </c>
      <c r="F4087">
        <v>0.65926789812271902</v>
      </c>
      <c r="G4087">
        <v>0.84631879914224495</v>
      </c>
      <c r="H4087" t="str">
        <f t="shared" si="63"/>
        <v>Q3</v>
      </c>
    </row>
    <row r="4088" spans="1:8">
      <c r="A4088">
        <v>726876</v>
      </c>
      <c r="B4088" t="s">
        <v>4232</v>
      </c>
      <c r="C4088">
        <v>68</v>
      </c>
      <c r="D4088">
        <v>2.42801595835344</v>
      </c>
      <c r="E4088">
        <v>165.10508516803401</v>
      </c>
      <c r="F4088">
        <v>0.87223956961739602</v>
      </c>
      <c r="G4088">
        <v>0.84628117828524096</v>
      </c>
      <c r="H4088" t="str">
        <f t="shared" si="63"/>
        <v>Q4</v>
      </c>
    </row>
    <row r="4089" spans="1:8">
      <c r="A4089">
        <v>747634</v>
      </c>
      <c r="B4089" t="s">
        <v>3289</v>
      </c>
      <c r="C4089">
        <v>38</v>
      </c>
      <c r="D4089">
        <v>4.3427297502364004</v>
      </c>
      <c r="E4089">
        <v>165.02373050898299</v>
      </c>
      <c r="F4089">
        <v>0.79696023475414801</v>
      </c>
      <c r="G4089">
        <v>0.84624355742823798</v>
      </c>
      <c r="H4089" t="str">
        <f t="shared" si="63"/>
        <v>Q4</v>
      </c>
    </row>
    <row r="4090" spans="1:8">
      <c r="A4090">
        <v>781467</v>
      </c>
      <c r="B4090" t="s">
        <v>3992</v>
      </c>
      <c r="C4090">
        <v>20</v>
      </c>
      <c r="D4090">
        <v>8.2509322464466095</v>
      </c>
      <c r="E4090">
        <v>165.01864492893199</v>
      </c>
      <c r="F4090">
        <v>0.69196042285843296</v>
      </c>
      <c r="G4090">
        <v>0.846205936571235</v>
      </c>
      <c r="H4090" t="str">
        <f t="shared" si="63"/>
        <v>Q3</v>
      </c>
    </row>
    <row r="4091" spans="1:8">
      <c r="A4091">
        <v>772771</v>
      </c>
      <c r="B4091" t="s">
        <v>2852</v>
      </c>
      <c r="C4091">
        <v>67</v>
      </c>
      <c r="D4091">
        <v>2.4624335996584201</v>
      </c>
      <c r="E4091">
        <v>164.98305117711399</v>
      </c>
      <c r="F4091">
        <v>0.87118618562130801</v>
      </c>
      <c r="G4091">
        <v>0.84616831571423201</v>
      </c>
      <c r="H4091" t="str">
        <f t="shared" si="63"/>
        <v>Q4</v>
      </c>
    </row>
    <row r="4092" spans="1:8">
      <c r="A4092">
        <v>502522</v>
      </c>
      <c r="B4092" t="s">
        <v>3040</v>
      </c>
      <c r="C4092">
        <v>83</v>
      </c>
      <c r="D4092">
        <v>1.98735960433821</v>
      </c>
      <c r="E4092">
        <v>164.95084716007099</v>
      </c>
      <c r="F4092">
        <v>0.89530115496031004</v>
      </c>
      <c r="G4092">
        <v>0.84613069485722903</v>
      </c>
      <c r="H4092" t="str">
        <f t="shared" si="63"/>
        <v>Q4</v>
      </c>
    </row>
    <row r="4093" spans="1:8">
      <c r="A4093">
        <v>790450</v>
      </c>
      <c r="B4093" t="s">
        <v>5260</v>
      </c>
      <c r="C4093">
        <v>36</v>
      </c>
      <c r="D4093">
        <v>4.5743880172570499</v>
      </c>
      <c r="E4093">
        <v>164.677968621254</v>
      </c>
      <c r="F4093">
        <v>0.78890937135547901</v>
      </c>
      <c r="G4093">
        <v>0.84609307400022604</v>
      </c>
      <c r="H4093" t="str">
        <f t="shared" si="63"/>
        <v>Q4</v>
      </c>
    </row>
    <row r="4094" spans="1:8">
      <c r="A4094">
        <v>701348</v>
      </c>
      <c r="B4094" t="s">
        <v>2187</v>
      </c>
      <c r="C4094">
        <v>56</v>
      </c>
      <c r="D4094">
        <v>2.94034501670727</v>
      </c>
      <c r="E4094">
        <v>164.65932093560701</v>
      </c>
      <c r="F4094">
        <v>0.85004326398555397</v>
      </c>
      <c r="G4094">
        <v>0.84605545314322295</v>
      </c>
      <c r="H4094" t="str">
        <f t="shared" si="63"/>
        <v>Q4</v>
      </c>
    </row>
    <row r="4095" spans="1:8">
      <c r="A4095">
        <v>718767</v>
      </c>
      <c r="B4095" t="s">
        <v>3642</v>
      </c>
      <c r="C4095">
        <v>51</v>
      </c>
      <c r="D4095">
        <v>3.22595550450405</v>
      </c>
      <c r="E4095">
        <v>164.52373072970701</v>
      </c>
      <c r="F4095">
        <v>0.83762838117452298</v>
      </c>
      <c r="G4095">
        <v>0.84601783228621996</v>
      </c>
      <c r="H4095" t="str">
        <f t="shared" si="63"/>
        <v>Q4</v>
      </c>
    </row>
    <row r="4096" spans="1:8">
      <c r="A4096">
        <v>738044</v>
      </c>
      <c r="B4096" t="s">
        <v>2308</v>
      </c>
      <c r="C4096">
        <v>40</v>
      </c>
      <c r="D4096">
        <v>4.1113559342920798</v>
      </c>
      <c r="E4096">
        <v>164.45423737168301</v>
      </c>
      <c r="F4096">
        <v>0.804522027011775</v>
      </c>
      <c r="G4096">
        <v>0.84598021142921598</v>
      </c>
      <c r="H4096" t="str">
        <f t="shared" si="63"/>
        <v>Q4</v>
      </c>
    </row>
    <row r="4097" spans="1:8">
      <c r="A4097">
        <v>779871</v>
      </c>
      <c r="B4097" t="s">
        <v>1102</v>
      </c>
      <c r="C4097">
        <v>37</v>
      </c>
      <c r="D4097">
        <v>4.4444801260692</v>
      </c>
      <c r="E4097">
        <v>164.44576466456101</v>
      </c>
      <c r="F4097">
        <v>0.79304766562582296</v>
      </c>
      <c r="G4097">
        <v>0.84594259057221299</v>
      </c>
      <c r="H4097" t="str">
        <f t="shared" si="63"/>
        <v>Q4</v>
      </c>
    </row>
    <row r="4098" spans="1:8">
      <c r="A4098">
        <v>797739</v>
      </c>
      <c r="B4098" t="s">
        <v>338</v>
      </c>
      <c r="C4098">
        <v>44</v>
      </c>
      <c r="D4098">
        <v>3.7368644494563301</v>
      </c>
      <c r="E4098">
        <v>164.42203577607901</v>
      </c>
      <c r="F4098">
        <v>0.817689326962868</v>
      </c>
      <c r="G4098">
        <v>0.84590496971521001</v>
      </c>
      <c r="H4098" t="str">
        <f t="shared" si="63"/>
        <v>Q4</v>
      </c>
    </row>
    <row r="4099" spans="1:8">
      <c r="A4099">
        <v>762286</v>
      </c>
      <c r="B4099" t="s">
        <v>1100</v>
      </c>
      <c r="C4099">
        <v>59</v>
      </c>
      <c r="D4099">
        <v>2.7859810281986901</v>
      </c>
      <c r="E4099">
        <v>164.37288066372301</v>
      </c>
      <c r="F4099">
        <v>0.85617546367706299</v>
      </c>
      <c r="G4099">
        <v>0.84586734885820702</v>
      </c>
      <c r="H4099" t="str">
        <f t="shared" ref="H4099:H4162" si="64">IF(C4099&gt;$J$2,
   IF(D4099&gt;$J$3,"Q1","Q2"),
   IF(D4099&gt;$J$3,"Q3","Q4"))</f>
        <v>Q4</v>
      </c>
    </row>
    <row r="4100" spans="1:8">
      <c r="A4100">
        <v>573856</v>
      </c>
      <c r="B4100" t="s">
        <v>4538</v>
      </c>
      <c r="C4100">
        <v>111</v>
      </c>
      <c r="D4100">
        <v>1.4806993238560799</v>
      </c>
      <c r="E4100">
        <v>164.35762494802501</v>
      </c>
      <c r="F4100">
        <v>0.92084571686543004</v>
      </c>
      <c r="G4100">
        <v>0.84582972800120404</v>
      </c>
      <c r="H4100" t="str">
        <f t="shared" si="64"/>
        <v>Q4</v>
      </c>
    </row>
    <row r="4101" spans="1:8">
      <c r="A4101">
        <v>762647</v>
      </c>
      <c r="B4101" t="s">
        <v>706</v>
      </c>
      <c r="C4101">
        <v>34</v>
      </c>
      <c r="D4101">
        <v>4.8335494035307098</v>
      </c>
      <c r="E4101">
        <v>164.34067972004399</v>
      </c>
      <c r="F4101">
        <v>0.77969226138971404</v>
      </c>
      <c r="G4101">
        <v>0.84579210714420106</v>
      </c>
      <c r="H4101" t="str">
        <f t="shared" si="64"/>
        <v>Q4</v>
      </c>
    </row>
    <row r="4102" spans="1:8">
      <c r="A4102">
        <v>722137</v>
      </c>
      <c r="B4102" t="s">
        <v>1512</v>
      </c>
      <c r="C4102">
        <v>51</v>
      </c>
      <c r="D4102">
        <v>3.22166826649039</v>
      </c>
      <c r="E4102">
        <v>164.30508159101001</v>
      </c>
      <c r="F4102">
        <v>0.83762838117452298</v>
      </c>
      <c r="G4102">
        <v>0.84575448628719796</v>
      </c>
      <c r="H4102" t="str">
        <f t="shared" si="64"/>
        <v>Q4</v>
      </c>
    </row>
    <row r="4103" spans="1:8">
      <c r="A4103">
        <v>716959</v>
      </c>
      <c r="B4103" t="s">
        <v>3512</v>
      </c>
      <c r="C4103">
        <v>14</v>
      </c>
      <c r="D4103">
        <v>11.7355929953711</v>
      </c>
      <c r="E4103">
        <v>164.29830193519601</v>
      </c>
      <c r="F4103">
        <v>0.62070651969451895</v>
      </c>
      <c r="G4103">
        <v>0.84571686543019498</v>
      </c>
      <c r="H4103" t="str">
        <f t="shared" si="64"/>
        <v>Q3</v>
      </c>
    </row>
    <row r="4104" spans="1:8">
      <c r="A4104">
        <v>803014</v>
      </c>
      <c r="B4104" t="s">
        <v>4642</v>
      </c>
      <c r="C4104">
        <v>33</v>
      </c>
      <c r="D4104">
        <v>4.97575763782317</v>
      </c>
      <c r="E4104">
        <v>164.200002048165</v>
      </c>
      <c r="F4104">
        <v>0.77551634626236798</v>
      </c>
      <c r="G4104">
        <v>0.84567924457319099</v>
      </c>
      <c r="H4104" t="str">
        <f t="shared" si="64"/>
        <v>Q3</v>
      </c>
    </row>
    <row r="4105" spans="1:8">
      <c r="A4105">
        <v>733839</v>
      </c>
      <c r="B4105" t="s">
        <v>4284</v>
      </c>
      <c r="C4105">
        <v>20</v>
      </c>
      <c r="D4105">
        <v>8.2094914466142708</v>
      </c>
      <c r="E4105">
        <v>164.189828932285</v>
      </c>
      <c r="F4105">
        <v>0.69196042285843296</v>
      </c>
      <c r="G4105">
        <v>0.84564162371618801</v>
      </c>
      <c r="H4105" t="str">
        <f t="shared" si="64"/>
        <v>Q3</v>
      </c>
    </row>
    <row r="4106" spans="1:8">
      <c r="A4106">
        <v>607704</v>
      </c>
      <c r="B4106" t="s">
        <v>2330</v>
      </c>
      <c r="C4106">
        <v>33</v>
      </c>
      <c r="D4106">
        <v>4.9734977666627298</v>
      </c>
      <c r="E4106">
        <v>164.12542629987001</v>
      </c>
      <c r="F4106">
        <v>0.77551634626236798</v>
      </c>
      <c r="G4106">
        <v>0.84560400285918502</v>
      </c>
      <c r="H4106" t="str">
        <f t="shared" si="64"/>
        <v>Q3</v>
      </c>
    </row>
    <row r="4107" spans="1:8">
      <c r="A4107">
        <v>666006</v>
      </c>
      <c r="B4107" t="s">
        <v>3224</v>
      </c>
      <c r="C4107">
        <v>18</v>
      </c>
      <c r="D4107">
        <v>9.1121467037333392</v>
      </c>
      <c r="E4107">
        <v>164.0186406672</v>
      </c>
      <c r="F4107">
        <v>0.67044129265264696</v>
      </c>
      <c r="G4107">
        <v>0.84556638200218204</v>
      </c>
      <c r="H4107" t="str">
        <f t="shared" si="64"/>
        <v>Q3</v>
      </c>
    </row>
    <row r="4108" spans="1:8">
      <c r="A4108">
        <v>640622</v>
      </c>
      <c r="B4108" t="s">
        <v>2126</v>
      </c>
      <c r="C4108">
        <v>48</v>
      </c>
      <c r="D4108">
        <v>3.41550142038614</v>
      </c>
      <c r="E4108">
        <v>163.94406817853499</v>
      </c>
      <c r="F4108">
        <v>0.82957751777585498</v>
      </c>
      <c r="G4108">
        <v>0.84552876114517905</v>
      </c>
      <c r="H4108" t="str">
        <f t="shared" si="64"/>
        <v>Q4</v>
      </c>
    </row>
    <row r="4109" spans="1:8">
      <c r="A4109">
        <v>746505</v>
      </c>
      <c r="B4109" t="s">
        <v>5229</v>
      </c>
      <c r="C4109">
        <v>17</v>
      </c>
      <c r="D4109">
        <v>9.6359921947998206</v>
      </c>
      <c r="E4109">
        <v>163.81186731159701</v>
      </c>
      <c r="F4109">
        <v>0.65926789812271902</v>
      </c>
      <c r="G4109">
        <v>0.84549114028817596</v>
      </c>
      <c r="H4109" t="str">
        <f t="shared" si="64"/>
        <v>Q3</v>
      </c>
    </row>
    <row r="4110" spans="1:8">
      <c r="A4110">
        <v>736691</v>
      </c>
      <c r="B4110" t="s">
        <v>2850</v>
      </c>
      <c r="C4110">
        <v>129</v>
      </c>
      <c r="D4110">
        <v>1.2697805394238</v>
      </c>
      <c r="E4110">
        <v>163.801689585671</v>
      </c>
      <c r="F4110">
        <v>0.93247056167939502</v>
      </c>
      <c r="G4110">
        <v>0.84545351943117297</v>
      </c>
      <c r="H4110" t="str">
        <f t="shared" si="64"/>
        <v>Q4</v>
      </c>
    </row>
    <row r="4111" spans="1:8">
      <c r="A4111">
        <v>651584</v>
      </c>
      <c r="B4111" t="s">
        <v>2545</v>
      </c>
      <c r="C4111">
        <v>42</v>
      </c>
      <c r="D4111">
        <v>3.89887007795984</v>
      </c>
      <c r="E4111">
        <v>163.75254327431301</v>
      </c>
      <c r="F4111">
        <v>0.81103043527331597</v>
      </c>
      <c r="G4111">
        <v>0.84541589857416999</v>
      </c>
      <c r="H4111" t="str">
        <f t="shared" si="64"/>
        <v>Q4</v>
      </c>
    </row>
    <row r="4112" spans="1:8">
      <c r="A4112">
        <v>765036</v>
      </c>
      <c r="B4112" t="s">
        <v>258</v>
      </c>
      <c r="C4112">
        <v>76</v>
      </c>
      <c r="D4112">
        <v>2.1542371998197898</v>
      </c>
      <c r="E4112">
        <v>163.72202718630399</v>
      </c>
      <c r="F4112">
        <v>0.88612166585154795</v>
      </c>
      <c r="G4112">
        <v>0.845378277717166</v>
      </c>
      <c r="H4112" t="str">
        <f t="shared" si="64"/>
        <v>Q4</v>
      </c>
    </row>
    <row r="4113" spans="1:8">
      <c r="A4113">
        <v>774005</v>
      </c>
      <c r="B4113" t="s">
        <v>435</v>
      </c>
      <c r="C4113">
        <v>85</v>
      </c>
      <c r="D4113">
        <v>1.9255831706173301</v>
      </c>
      <c r="E4113">
        <v>163.67456950247299</v>
      </c>
      <c r="F4113">
        <v>0.89721981866746903</v>
      </c>
      <c r="G4113">
        <v>0.84534065686016302</v>
      </c>
      <c r="H4113" t="str">
        <f t="shared" si="64"/>
        <v>Q4</v>
      </c>
    </row>
    <row r="4114" spans="1:8">
      <c r="A4114">
        <v>812818</v>
      </c>
      <c r="B4114" t="s">
        <v>537</v>
      </c>
      <c r="C4114">
        <v>21</v>
      </c>
      <c r="D4114">
        <v>7.7849879151298902</v>
      </c>
      <c r="E4114">
        <v>163.484746217728</v>
      </c>
      <c r="F4114">
        <v>0.70008652797110704</v>
      </c>
      <c r="G4114">
        <v>0.84530303600316004</v>
      </c>
      <c r="H4114" t="str">
        <f t="shared" si="64"/>
        <v>Q3</v>
      </c>
    </row>
    <row r="4115" spans="1:8">
      <c r="A4115">
        <v>625939</v>
      </c>
      <c r="B4115" t="s">
        <v>905</v>
      </c>
      <c r="C4115">
        <v>288</v>
      </c>
      <c r="D4115">
        <v>0.56754944709811905</v>
      </c>
      <c r="E4115">
        <v>163.454240764258</v>
      </c>
      <c r="F4115">
        <v>0.97426733380986397</v>
      </c>
      <c r="G4115">
        <v>0.84526541514615705</v>
      </c>
      <c r="H4115" t="str">
        <f t="shared" si="64"/>
        <v>Q2</v>
      </c>
    </row>
    <row r="4116" spans="1:8">
      <c r="A4116">
        <v>702932</v>
      </c>
      <c r="B4116" t="s">
        <v>4089</v>
      </c>
      <c r="C4116">
        <v>68</v>
      </c>
      <c r="D4116">
        <v>2.4032402824719998</v>
      </c>
      <c r="E4116">
        <v>163.42033920809601</v>
      </c>
      <c r="F4116">
        <v>0.87223956961739602</v>
      </c>
      <c r="G4116">
        <v>0.84522779428915396</v>
      </c>
      <c r="H4116" t="str">
        <f t="shared" si="64"/>
        <v>Q4</v>
      </c>
    </row>
    <row r="4117" spans="1:8">
      <c r="A4117">
        <v>710401</v>
      </c>
      <c r="B4117" t="s">
        <v>3231</v>
      </c>
      <c r="C4117">
        <v>25</v>
      </c>
      <c r="D4117">
        <v>6.5364745110273397</v>
      </c>
      <c r="E4117">
        <v>163.41186277568301</v>
      </c>
      <c r="F4117">
        <v>0.72991986757458305</v>
      </c>
      <c r="G4117">
        <v>0.84519017343215097</v>
      </c>
      <c r="H4117" t="str">
        <f t="shared" si="64"/>
        <v>Q3</v>
      </c>
    </row>
    <row r="4118" spans="1:8">
      <c r="A4118">
        <v>814634</v>
      </c>
      <c r="B4118" t="s">
        <v>516</v>
      </c>
      <c r="C4118">
        <v>60</v>
      </c>
      <c r="D4118">
        <v>2.7224293444305698</v>
      </c>
      <c r="E4118">
        <v>163.34576066583401</v>
      </c>
      <c r="F4118">
        <v>0.85805650652721899</v>
      </c>
      <c r="G4118">
        <v>0.84515255257514799</v>
      </c>
      <c r="H4118" t="str">
        <f t="shared" si="64"/>
        <v>Q4</v>
      </c>
    </row>
    <row r="4119" spans="1:8">
      <c r="A4119">
        <v>802598</v>
      </c>
      <c r="B4119" t="s">
        <v>3913</v>
      </c>
      <c r="C4119">
        <v>13</v>
      </c>
      <c r="D4119">
        <v>12.5601045214213</v>
      </c>
      <c r="E4119">
        <v>163.281358778477</v>
      </c>
      <c r="F4119">
        <v>0.60539483089424795</v>
      </c>
      <c r="G4119">
        <v>0.845114931718145</v>
      </c>
      <c r="H4119" t="str">
        <f t="shared" si="64"/>
        <v>Q3</v>
      </c>
    </row>
    <row r="4120" spans="1:8">
      <c r="A4120">
        <v>709833</v>
      </c>
      <c r="B4120" t="s">
        <v>1142</v>
      </c>
      <c r="C4120">
        <v>73</v>
      </c>
      <c r="D4120">
        <v>2.2351985070089002</v>
      </c>
      <c r="E4120">
        <v>163.169491011649</v>
      </c>
      <c r="F4120">
        <v>0.88111809187013301</v>
      </c>
      <c r="G4120">
        <v>0.84507731086114102</v>
      </c>
      <c r="H4120" t="str">
        <f t="shared" si="64"/>
        <v>Q4</v>
      </c>
    </row>
    <row r="4121" spans="1:8">
      <c r="A4121">
        <v>571436</v>
      </c>
      <c r="B4121" t="s">
        <v>4840</v>
      </c>
      <c r="C4121">
        <v>165</v>
      </c>
      <c r="D4121">
        <v>0.988710831399217</v>
      </c>
      <c r="E4121">
        <v>163.137287180871</v>
      </c>
      <c r="F4121">
        <v>0.948384184191716</v>
      </c>
      <c r="G4121">
        <v>0.84503969000413803</v>
      </c>
      <c r="H4121" t="str">
        <f t="shared" si="64"/>
        <v>Q4</v>
      </c>
    </row>
    <row r="4122" spans="1:8">
      <c r="A4122">
        <v>806687</v>
      </c>
      <c r="B4122" t="s">
        <v>4097</v>
      </c>
      <c r="C4122">
        <v>26</v>
      </c>
      <c r="D4122">
        <v>6.2734679820445898</v>
      </c>
      <c r="E4122">
        <v>163.110167533159</v>
      </c>
      <c r="F4122">
        <v>0.73706783040517698</v>
      </c>
      <c r="G4122">
        <v>0.84500206914713505</v>
      </c>
      <c r="H4122" t="str">
        <f t="shared" si="64"/>
        <v>Q3</v>
      </c>
    </row>
    <row r="4123" spans="1:8">
      <c r="A4123">
        <v>816336</v>
      </c>
      <c r="B4123" t="s">
        <v>4723</v>
      </c>
      <c r="C4123">
        <v>45</v>
      </c>
      <c r="D4123">
        <v>3.6244821548461901</v>
      </c>
      <c r="E4123">
        <v>163.10169696807901</v>
      </c>
      <c r="F4123">
        <v>0.82069899552311798</v>
      </c>
      <c r="G4123">
        <v>0.84496444829013195</v>
      </c>
      <c r="H4123" t="str">
        <f t="shared" si="64"/>
        <v>Q4</v>
      </c>
    </row>
    <row r="4124" spans="1:8">
      <c r="A4124">
        <v>755737</v>
      </c>
      <c r="B4124" t="s">
        <v>3216</v>
      </c>
      <c r="C4124">
        <v>20</v>
      </c>
      <c r="D4124">
        <v>8.1510169804096204</v>
      </c>
      <c r="E4124">
        <v>163.02033960819199</v>
      </c>
      <c r="F4124">
        <v>0.69196042285843296</v>
      </c>
      <c r="G4124">
        <v>0.84492682743312897</v>
      </c>
      <c r="H4124" t="str">
        <f t="shared" si="64"/>
        <v>Q3</v>
      </c>
    </row>
    <row r="4125" spans="1:8">
      <c r="A4125">
        <v>640745</v>
      </c>
      <c r="B4125" t="s">
        <v>4783</v>
      </c>
      <c r="C4125">
        <v>33</v>
      </c>
      <c r="D4125">
        <v>4.93836681443182</v>
      </c>
      <c r="E4125">
        <v>162.96610487625</v>
      </c>
      <c r="F4125">
        <v>0.77551634626236798</v>
      </c>
      <c r="G4125">
        <v>0.84488920657612598</v>
      </c>
      <c r="H4125" t="str">
        <f t="shared" si="64"/>
        <v>Q3</v>
      </c>
    </row>
    <row r="4126" spans="1:8">
      <c r="A4126">
        <v>779864</v>
      </c>
      <c r="B4126" t="s">
        <v>974</v>
      </c>
      <c r="C4126">
        <v>47</v>
      </c>
      <c r="D4126">
        <v>3.4669671782312199</v>
      </c>
      <c r="E4126">
        <v>162.94745737686799</v>
      </c>
      <c r="F4126">
        <v>0.82641736578759295</v>
      </c>
      <c r="G4126">
        <v>0.844851585719123</v>
      </c>
      <c r="H4126" t="str">
        <f t="shared" si="64"/>
        <v>Q4</v>
      </c>
    </row>
    <row r="4127" spans="1:8">
      <c r="A4127">
        <v>784274</v>
      </c>
      <c r="B4127" t="s">
        <v>1165</v>
      </c>
      <c r="C4127">
        <v>29</v>
      </c>
      <c r="D4127">
        <v>5.6181766349693802</v>
      </c>
      <c r="E4127">
        <v>162.92712241411201</v>
      </c>
      <c r="F4127">
        <v>0.75501297919566601</v>
      </c>
      <c r="G4127">
        <v>0.84481396486212001</v>
      </c>
      <c r="H4127" t="str">
        <f t="shared" si="64"/>
        <v>Q3</v>
      </c>
    </row>
    <row r="4128" spans="1:8">
      <c r="A4128">
        <v>794455</v>
      </c>
      <c r="B4128" t="s">
        <v>172</v>
      </c>
      <c r="C4128">
        <v>50</v>
      </c>
      <c r="D4128">
        <v>3.2570169009268302</v>
      </c>
      <c r="E4128">
        <v>162.85084504634099</v>
      </c>
      <c r="F4128">
        <v>0.83559685489635405</v>
      </c>
      <c r="G4128">
        <v>0.84477634400511603</v>
      </c>
      <c r="H4128" t="str">
        <f t="shared" si="64"/>
        <v>Q4</v>
      </c>
    </row>
    <row r="4129" spans="1:8">
      <c r="A4129">
        <v>685813</v>
      </c>
      <c r="B4129" t="s">
        <v>3762</v>
      </c>
      <c r="C4129">
        <v>107</v>
      </c>
      <c r="D4129">
        <v>1.5216853526185901</v>
      </c>
      <c r="E4129">
        <v>162.82033273018899</v>
      </c>
      <c r="F4129">
        <v>0.91791129001918703</v>
      </c>
      <c r="G4129">
        <v>0.84473872314811305</v>
      </c>
      <c r="H4129" t="str">
        <f t="shared" si="64"/>
        <v>Q4</v>
      </c>
    </row>
    <row r="4130" spans="1:8">
      <c r="A4130">
        <v>801322</v>
      </c>
      <c r="B4130" t="s">
        <v>4434</v>
      </c>
      <c r="C4130">
        <v>90</v>
      </c>
      <c r="D4130">
        <v>1.8086628884904901</v>
      </c>
      <c r="E4130">
        <v>162.779659964144</v>
      </c>
      <c r="F4130">
        <v>0.90267484293292199</v>
      </c>
      <c r="G4130">
        <v>0.84470110229110995</v>
      </c>
      <c r="H4130" t="str">
        <f t="shared" si="64"/>
        <v>Q4</v>
      </c>
    </row>
    <row r="4131" spans="1:8">
      <c r="A4131">
        <v>720907</v>
      </c>
      <c r="B4131" t="s">
        <v>4377</v>
      </c>
      <c r="C4131">
        <v>43</v>
      </c>
      <c r="D4131">
        <v>3.7852975973036398</v>
      </c>
      <c r="E4131">
        <v>162.767796684057</v>
      </c>
      <c r="F4131">
        <v>0.81437869154659304</v>
      </c>
      <c r="G4131">
        <v>0.84466348143410697</v>
      </c>
      <c r="H4131" t="str">
        <f t="shared" si="64"/>
        <v>Q4</v>
      </c>
    </row>
    <row r="4132" spans="1:8">
      <c r="A4132">
        <v>684186</v>
      </c>
      <c r="B4132" t="s">
        <v>3475</v>
      </c>
      <c r="C4132">
        <v>82</v>
      </c>
      <c r="D4132">
        <v>1.9846837206675501</v>
      </c>
      <c r="E4132">
        <v>162.744065094739</v>
      </c>
      <c r="F4132">
        <v>0.894323012678229</v>
      </c>
      <c r="G4132">
        <v>0.84462586057710398</v>
      </c>
      <c r="H4132" t="str">
        <f t="shared" si="64"/>
        <v>Q4</v>
      </c>
    </row>
    <row r="4133" spans="1:8">
      <c r="A4133">
        <v>806605</v>
      </c>
      <c r="B4133" t="s">
        <v>153</v>
      </c>
      <c r="C4133">
        <v>146</v>
      </c>
      <c r="D4133">
        <v>1.11438354703738</v>
      </c>
      <c r="E4133">
        <v>162.69999786745799</v>
      </c>
      <c r="F4133">
        <v>0.94127384221812604</v>
      </c>
      <c r="G4133">
        <v>0.844588239720101</v>
      </c>
      <c r="H4133" t="str">
        <f t="shared" si="64"/>
        <v>Q4</v>
      </c>
    </row>
    <row r="4134" spans="1:8">
      <c r="A4134">
        <v>641748</v>
      </c>
      <c r="B4134" t="s">
        <v>1024</v>
      </c>
      <c r="C4134">
        <v>66</v>
      </c>
      <c r="D4134">
        <v>2.4647662571320899</v>
      </c>
      <c r="E4134">
        <v>162.674572970718</v>
      </c>
      <c r="F4134">
        <v>0.86968135134118396</v>
      </c>
      <c r="G4134">
        <v>0.84455061886309801</v>
      </c>
      <c r="H4134" t="str">
        <f t="shared" si="64"/>
        <v>Q4</v>
      </c>
    </row>
    <row r="4135" spans="1:8">
      <c r="A4135">
        <v>577513</v>
      </c>
      <c r="B4135" t="s">
        <v>5166</v>
      </c>
      <c r="C4135">
        <v>46</v>
      </c>
      <c r="D4135">
        <v>3.5358143241509099</v>
      </c>
      <c r="E4135">
        <v>162.64745891094199</v>
      </c>
      <c r="F4135">
        <v>0.82378390579737404</v>
      </c>
      <c r="G4135">
        <v>0.84451299800609503</v>
      </c>
      <c r="H4135" t="str">
        <f t="shared" si="64"/>
        <v>Q4</v>
      </c>
    </row>
    <row r="4136" spans="1:8">
      <c r="A4136">
        <v>695956</v>
      </c>
      <c r="B4136" t="s">
        <v>3704</v>
      </c>
      <c r="C4136">
        <v>21</v>
      </c>
      <c r="D4136">
        <v>7.7444711079200097</v>
      </c>
      <c r="E4136">
        <v>162.63389326632</v>
      </c>
      <c r="F4136">
        <v>0.70008652797110704</v>
      </c>
      <c r="G4136">
        <v>0.84447537714909104</v>
      </c>
      <c r="H4136" t="str">
        <f t="shared" si="64"/>
        <v>Q3</v>
      </c>
    </row>
    <row r="4137" spans="1:8">
      <c r="A4137">
        <v>649098</v>
      </c>
      <c r="B4137" t="s">
        <v>1625</v>
      </c>
      <c r="C4137">
        <v>99</v>
      </c>
      <c r="D4137">
        <v>1.64235569630759</v>
      </c>
      <c r="E4137">
        <v>162.593213934451</v>
      </c>
      <c r="F4137">
        <v>0.91076332718859299</v>
      </c>
      <c r="G4137">
        <v>0.84443775629208795</v>
      </c>
      <c r="H4137" t="str">
        <f t="shared" si="64"/>
        <v>Q4</v>
      </c>
    </row>
    <row r="4138" spans="1:8">
      <c r="A4138">
        <v>717341</v>
      </c>
      <c r="B4138" t="s">
        <v>3441</v>
      </c>
      <c r="C4138">
        <v>31</v>
      </c>
      <c r="D4138">
        <v>5.24488788458609</v>
      </c>
      <c r="E4138">
        <v>162.59152442216899</v>
      </c>
      <c r="F4138">
        <v>0.766073511154584</v>
      </c>
      <c r="G4138">
        <v>0.84440013543508496</v>
      </c>
      <c r="H4138" t="str">
        <f t="shared" si="64"/>
        <v>Q3</v>
      </c>
    </row>
    <row r="4139" spans="1:8">
      <c r="A4139">
        <v>652956</v>
      </c>
      <c r="B4139" t="s">
        <v>3973</v>
      </c>
      <c r="C4139">
        <v>105</v>
      </c>
      <c r="D4139">
        <v>1.54837766573543</v>
      </c>
      <c r="E4139">
        <v>162.57965490222</v>
      </c>
      <c r="F4139">
        <v>0.91618073059704297</v>
      </c>
      <c r="G4139">
        <v>0.84436251457808198</v>
      </c>
      <c r="H4139" t="str">
        <f t="shared" si="64"/>
        <v>Q4</v>
      </c>
    </row>
    <row r="4140" spans="1:8">
      <c r="A4140">
        <v>713699</v>
      </c>
      <c r="B4140" t="s">
        <v>3297</v>
      </c>
      <c r="C4140">
        <v>85</v>
      </c>
      <c r="D4140">
        <v>1.9126021746984301</v>
      </c>
      <c r="E4140">
        <v>162.571184849367</v>
      </c>
      <c r="F4140">
        <v>0.89721981866746903</v>
      </c>
      <c r="G4140">
        <v>0.844324893721079</v>
      </c>
      <c r="H4140" t="str">
        <f t="shared" si="64"/>
        <v>Q4</v>
      </c>
    </row>
    <row r="4141" spans="1:8">
      <c r="A4141">
        <v>795020</v>
      </c>
      <c r="B4141" t="s">
        <v>1873</v>
      </c>
      <c r="C4141">
        <v>10</v>
      </c>
      <c r="D4141">
        <v>16.2527118623257</v>
      </c>
      <c r="E4141">
        <v>162.527118623257</v>
      </c>
      <c r="F4141">
        <v>0.54821112824950202</v>
      </c>
      <c r="G4141">
        <v>0.84428727286407601</v>
      </c>
      <c r="H4141" t="str">
        <f t="shared" si="64"/>
        <v>Q3</v>
      </c>
    </row>
    <row r="4142" spans="1:8">
      <c r="A4142">
        <v>634332</v>
      </c>
      <c r="B4142" t="s">
        <v>4685</v>
      </c>
      <c r="C4142">
        <v>72</v>
      </c>
      <c r="D4142">
        <v>2.2558615736973802</v>
      </c>
      <c r="E4142">
        <v>162.42203330621101</v>
      </c>
      <c r="F4142">
        <v>0.87957563673300498</v>
      </c>
      <c r="G4142">
        <v>0.84424965200707303</v>
      </c>
      <c r="H4142" t="str">
        <f t="shared" si="64"/>
        <v>Q4</v>
      </c>
    </row>
    <row r="4143" spans="1:8">
      <c r="A4143">
        <v>762896</v>
      </c>
      <c r="B4143" t="s">
        <v>4661</v>
      </c>
      <c r="C4143">
        <v>75</v>
      </c>
      <c r="D4143">
        <v>2.1639322061091701</v>
      </c>
      <c r="E4143">
        <v>162.29491545818701</v>
      </c>
      <c r="F4143">
        <v>0.88420300214438896</v>
      </c>
      <c r="G4143">
        <v>0.84421203115007004</v>
      </c>
      <c r="H4143" t="str">
        <f t="shared" si="64"/>
        <v>Q4</v>
      </c>
    </row>
    <row r="4144" spans="1:8">
      <c r="A4144">
        <v>589722</v>
      </c>
      <c r="B4144" t="s">
        <v>4932</v>
      </c>
      <c r="C4144">
        <v>102</v>
      </c>
      <c r="D4144">
        <v>1.5911099386821499</v>
      </c>
      <c r="E4144">
        <v>162.29321374557901</v>
      </c>
      <c r="F4144">
        <v>0.91332154546480604</v>
      </c>
      <c r="G4144">
        <v>0.84417441029306695</v>
      </c>
      <c r="H4144" t="str">
        <f t="shared" si="64"/>
        <v>Q4</v>
      </c>
    </row>
    <row r="4145" spans="1:8">
      <c r="A4145">
        <v>485176</v>
      </c>
      <c r="B4145" t="s">
        <v>4876</v>
      </c>
      <c r="C4145">
        <v>78</v>
      </c>
      <c r="D4145">
        <v>2.0802910941151498</v>
      </c>
      <c r="E4145">
        <v>162.262705340981</v>
      </c>
      <c r="F4145">
        <v>0.88867988412776</v>
      </c>
      <c r="G4145">
        <v>0.84413678943606296</v>
      </c>
      <c r="H4145" t="str">
        <f t="shared" si="64"/>
        <v>Q4</v>
      </c>
    </row>
    <row r="4146" spans="1:8">
      <c r="A4146">
        <v>803892</v>
      </c>
      <c r="B4146" t="s">
        <v>4133</v>
      </c>
      <c r="C4146">
        <v>78</v>
      </c>
      <c r="D4146">
        <v>2.07955227711071</v>
      </c>
      <c r="E4146">
        <v>162.205077614635</v>
      </c>
      <c r="F4146">
        <v>0.88867988412776</v>
      </c>
      <c r="G4146">
        <v>0.84409916857905998</v>
      </c>
      <c r="H4146" t="str">
        <f t="shared" si="64"/>
        <v>Q4</v>
      </c>
    </row>
    <row r="4147" spans="1:8">
      <c r="A4147">
        <v>772727</v>
      </c>
      <c r="B4147" t="s">
        <v>3635</v>
      </c>
      <c r="C4147">
        <v>17</v>
      </c>
      <c r="D4147">
        <v>9.5413759789046093</v>
      </c>
      <c r="E4147">
        <v>162.203391641378</v>
      </c>
      <c r="F4147">
        <v>0.65926789812271902</v>
      </c>
      <c r="G4147">
        <v>0.84406154772205699</v>
      </c>
      <c r="H4147" t="str">
        <f t="shared" si="64"/>
        <v>Q3</v>
      </c>
    </row>
    <row r="4148" spans="1:8">
      <c r="A4148">
        <v>730356</v>
      </c>
      <c r="B4148" t="s">
        <v>3488</v>
      </c>
      <c r="C4148">
        <v>25</v>
      </c>
      <c r="D4148">
        <v>6.4858982339501399</v>
      </c>
      <c r="E4148">
        <v>162.147455848753</v>
      </c>
      <c r="F4148">
        <v>0.72991986757458305</v>
      </c>
      <c r="G4148">
        <v>0.84402392686505401</v>
      </c>
      <c r="H4148" t="str">
        <f t="shared" si="64"/>
        <v>Q3</v>
      </c>
    </row>
    <row r="4149" spans="1:8">
      <c r="A4149">
        <v>735516</v>
      </c>
      <c r="B4149" t="s">
        <v>3878</v>
      </c>
      <c r="C4149">
        <v>38</v>
      </c>
      <c r="D4149">
        <v>4.2652989149485796</v>
      </c>
      <c r="E4149">
        <v>162.08135876804599</v>
      </c>
      <c r="F4149">
        <v>0.79696023475414801</v>
      </c>
      <c r="G4149">
        <v>0.84398630600805102</v>
      </c>
      <c r="H4149" t="str">
        <f t="shared" si="64"/>
        <v>Q4</v>
      </c>
    </row>
    <row r="4150" spans="1:8">
      <c r="A4150">
        <v>748582</v>
      </c>
      <c r="B4150" t="s">
        <v>395</v>
      </c>
      <c r="C4150">
        <v>25</v>
      </c>
      <c r="D4150">
        <v>6.4804745018482199</v>
      </c>
      <c r="E4150">
        <v>162.011862546206</v>
      </c>
      <c r="F4150">
        <v>0.72991986757458305</v>
      </c>
      <c r="G4150">
        <v>0.84394868515104804</v>
      </c>
      <c r="H4150" t="str">
        <f t="shared" si="64"/>
        <v>Q3</v>
      </c>
    </row>
    <row r="4151" spans="1:8">
      <c r="A4151">
        <v>790786</v>
      </c>
      <c r="B4151" t="s">
        <v>4933</v>
      </c>
      <c r="C4151">
        <v>40</v>
      </c>
      <c r="D4151">
        <v>4.0497033996507499</v>
      </c>
      <c r="E4151">
        <v>161.98813598602999</v>
      </c>
      <c r="F4151">
        <v>0.804522027011775</v>
      </c>
      <c r="G4151">
        <v>0.84391106429404505</v>
      </c>
      <c r="H4151" t="str">
        <f t="shared" si="64"/>
        <v>Q4</v>
      </c>
    </row>
    <row r="4152" spans="1:8">
      <c r="A4152">
        <v>723049</v>
      </c>
      <c r="B4152" t="s">
        <v>966</v>
      </c>
      <c r="C4152">
        <v>34</v>
      </c>
      <c r="D4152">
        <v>4.7637588180163304</v>
      </c>
      <c r="E4152">
        <v>161.967799812555</v>
      </c>
      <c r="F4152">
        <v>0.77969226138971404</v>
      </c>
      <c r="G4152">
        <v>0.84387344343704196</v>
      </c>
      <c r="H4152" t="str">
        <f t="shared" si="64"/>
        <v>Q4</v>
      </c>
    </row>
    <row r="4153" spans="1:8">
      <c r="A4153">
        <v>721269</v>
      </c>
      <c r="B4153" t="s">
        <v>1335</v>
      </c>
      <c r="C4153">
        <v>42</v>
      </c>
      <c r="D4153">
        <v>3.8557707975130699</v>
      </c>
      <c r="E4153">
        <v>161.94237349554899</v>
      </c>
      <c r="F4153">
        <v>0.81103043527331597</v>
      </c>
      <c r="G4153">
        <v>0.84383582258003798</v>
      </c>
      <c r="H4153" t="str">
        <f t="shared" si="64"/>
        <v>Q4</v>
      </c>
    </row>
    <row r="4154" spans="1:8">
      <c r="A4154">
        <v>723882</v>
      </c>
      <c r="B4154" t="s">
        <v>1050</v>
      </c>
      <c r="C4154">
        <v>41</v>
      </c>
      <c r="D4154">
        <v>3.94944191069865</v>
      </c>
      <c r="E4154">
        <v>161.92711833864499</v>
      </c>
      <c r="F4154">
        <v>0.80787028328505295</v>
      </c>
      <c r="G4154">
        <v>0.84379820172303499</v>
      </c>
      <c r="H4154" t="str">
        <f t="shared" si="64"/>
        <v>Q4</v>
      </c>
    </row>
    <row r="4155" spans="1:8">
      <c r="A4155">
        <v>777045</v>
      </c>
      <c r="B4155" t="s">
        <v>2057</v>
      </c>
      <c r="C4155">
        <v>21</v>
      </c>
      <c r="D4155">
        <v>7.7101696814809504</v>
      </c>
      <c r="E4155">
        <v>161.91356331110001</v>
      </c>
      <c r="F4155">
        <v>0.70008652797110704</v>
      </c>
      <c r="G4155">
        <v>0.84376058086603201</v>
      </c>
      <c r="H4155" t="str">
        <f t="shared" si="64"/>
        <v>Q3</v>
      </c>
    </row>
    <row r="4156" spans="1:8">
      <c r="A4156">
        <v>355569</v>
      </c>
      <c r="B4156" t="s">
        <v>3420</v>
      </c>
      <c r="C4156">
        <v>315</v>
      </c>
      <c r="D4156">
        <v>0.51401130326594902</v>
      </c>
      <c r="E4156">
        <v>161.91356052877401</v>
      </c>
      <c r="F4156">
        <v>0.97754034836913595</v>
      </c>
      <c r="G4156">
        <v>0.84372296000902902</v>
      </c>
      <c r="H4156" t="str">
        <f t="shared" si="64"/>
        <v>Q2</v>
      </c>
    </row>
    <row r="4157" spans="1:8">
      <c r="A4157">
        <v>657497</v>
      </c>
      <c r="B4157" t="s">
        <v>528</v>
      </c>
      <c r="C4157">
        <v>92</v>
      </c>
      <c r="D4157">
        <v>1.75952467480269</v>
      </c>
      <c r="E4157">
        <v>161.87627008184799</v>
      </c>
      <c r="F4157">
        <v>0.90429253978405599</v>
      </c>
      <c r="G4157">
        <v>0.84368533915202604</v>
      </c>
      <c r="H4157" t="str">
        <f t="shared" si="64"/>
        <v>Q4</v>
      </c>
    </row>
    <row r="4158" spans="1:8">
      <c r="A4158">
        <v>777019</v>
      </c>
      <c r="B4158" t="s">
        <v>4346</v>
      </c>
      <c r="C4158">
        <v>25</v>
      </c>
      <c r="D4158">
        <v>6.4743728190660503</v>
      </c>
      <c r="E4158">
        <v>161.85932047665099</v>
      </c>
      <c r="F4158">
        <v>0.72991986757458305</v>
      </c>
      <c r="G4158">
        <v>0.84364771829502305</v>
      </c>
      <c r="H4158" t="str">
        <f t="shared" si="64"/>
        <v>Q3</v>
      </c>
    </row>
    <row r="4159" spans="1:8">
      <c r="A4159">
        <v>707229</v>
      </c>
      <c r="B4159" t="s">
        <v>3521</v>
      </c>
      <c r="C4159">
        <v>30</v>
      </c>
      <c r="D4159">
        <v>5.39418090134859</v>
      </c>
      <c r="E4159">
        <v>161.82542704045801</v>
      </c>
      <c r="F4159">
        <v>0.760430382604116</v>
      </c>
      <c r="G4159">
        <v>0.84361009743801996</v>
      </c>
      <c r="H4159" t="str">
        <f t="shared" si="64"/>
        <v>Q3</v>
      </c>
    </row>
    <row r="4160" spans="1:8">
      <c r="A4160">
        <v>602673</v>
      </c>
      <c r="B4160" t="s">
        <v>577</v>
      </c>
      <c r="C4160">
        <v>33</v>
      </c>
      <c r="D4160">
        <v>4.9037494329792102</v>
      </c>
      <c r="E4160">
        <v>161.82373128831401</v>
      </c>
      <c r="F4160">
        <v>0.77551634626236798</v>
      </c>
      <c r="G4160">
        <v>0.84357247658101697</v>
      </c>
      <c r="H4160" t="str">
        <f t="shared" si="64"/>
        <v>Q3</v>
      </c>
    </row>
    <row r="4161" spans="1:8">
      <c r="A4161">
        <v>737049</v>
      </c>
      <c r="B4161" t="s">
        <v>2309</v>
      </c>
      <c r="C4161">
        <v>41</v>
      </c>
      <c r="D4161">
        <v>3.9464654809818001</v>
      </c>
      <c r="E4161">
        <v>161.805084720254</v>
      </c>
      <c r="F4161">
        <v>0.80787028328505295</v>
      </c>
      <c r="G4161">
        <v>0.84353485572401299</v>
      </c>
      <c r="H4161" t="str">
        <f t="shared" si="64"/>
        <v>Q4</v>
      </c>
    </row>
    <row r="4162" spans="1:8">
      <c r="A4162">
        <v>783264</v>
      </c>
      <c r="B4162" t="s">
        <v>5230</v>
      </c>
      <c r="C4162">
        <v>16</v>
      </c>
      <c r="D4162">
        <v>10.110381571575999</v>
      </c>
      <c r="E4162">
        <v>161.76610514521599</v>
      </c>
      <c r="F4162">
        <v>0.64756781159474797</v>
      </c>
      <c r="G4162">
        <v>0.84349723486701</v>
      </c>
      <c r="H4162" t="str">
        <f t="shared" si="64"/>
        <v>Q3</v>
      </c>
    </row>
    <row r="4163" spans="1:8">
      <c r="A4163">
        <v>845614</v>
      </c>
      <c r="B4163" t="s">
        <v>4043</v>
      </c>
      <c r="C4163">
        <v>50</v>
      </c>
      <c r="D4163">
        <v>3.2343728244304701</v>
      </c>
      <c r="E4163">
        <v>161.718641221523</v>
      </c>
      <c r="F4163">
        <v>0.83559685489635405</v>
      </c>
      <c r="G4163">
        <v>0.84345961401000702</v>
      </c>
      <c r="H4163" t="str">
        <f t="shared" ref="H4163:H4226" si="65">IF(C4163&gt;$J$2,
   IF(D4163&gt;$J$3,"Q1","Q2"),
   IF(D4163&gt;$J$3,"Q3","Q4"))</f>
        <v>Q4</v>
      </c>
    </row>
    <row r="4164" spans="1:8">
      <c r="A4164">
        <v>754413</v>
      </c>
      <c r="B4164" t="s">
        <v>551</v>
      </c>
      <c r="C4164">
        <v>146</v>
      </c>
      <c r="D4164">
        <v>1.10755745602185</v>
      </c>
      <c r="E4164">
        <v>161.70338857919</v>
      </c>
      <c r="F4164">
        <v>0.94127384221812604</v>
      </c>
      <c r="G4164">
        <v>0.84342199315300403</v>
      </c>
      <c r="H4164" t="str">
        <f t="shared" si="65"/>
        <v>Q4</v>
      </c>
    </row>
    <row r="4165" spans="1:8">
      <c r="A4165">
        <v>618329</v>
      </c>
      <c r="B4165" t="s">
        <v>3275</v>
      </c>
      <c r="C4165">
        <v>55</v>
      </c>
      <c r="D4165">
        <v>2.93996911834587</v>
      </c>
      <c r="E4165">
        <v>161.698301509023</v>
      </c>
      <c r="F4165">
        <v>0.84763552913735396</v>
      </c>
      <c r="G4165">
        <v>0.84338437229600105</v>
      </c>
      <c r="H4165" t="str">
        <f t="shared" si="65"/>
        <v>Q4</v>
      </c>
    </row>
    <row r="4166" spans="1:8">
      <c r="A4166">
        <v>810471</v>
      </c>
      <c r="B4166" t="s">
        <v>380</v>
      </c>
      <c r="C4166">
        <v>25</v>
      </c>
      <c r="D4166">
        <v>6.46406769752502</v>
      </c>
      <c r="E4166">
        <v>161.60169243812601</v>
      </c>
      <c r="F4166">
        <v>0.72991986757458305</v>
      </c>
      <c r="G4166">
        <v>0.84334675143899795</v>
      </c>
      <c r="H4166" t="str">
        <f t="shared" si="65"/>
        <v>Q3</v>
      </c>
    </row>
    <row r="4167" spans="1:8">
      <c r="A4167">
        <v>734663</v>
      </c>
      <c r="B4167" t="s">
        <v>3661</v>
      </c>
      <c r="C4167">
        <v>34</v>
      </c>
      <c r="D4167">
        <v>4.7483550220289699</v>
      </c>
      <c r="E4167">
        <v>161.44407074898501</v>
      </c>
      <c r="F4167">
        <v>0.77969226138971404</v>
      </c>
      <c r="G4167">
        <v>0.84330913058199497</v>
      </c>
      <c r="H4167" t="str">
        <f t="shared" si="65"/>
        <v>Q4</v>
      </c>
    </row>
    <row r="4168" spans="1:8">
      <c r="A4168">
        <v>842061</v>
      </c>
      <c r="B4168" t="s">
        <v>187</v>
      </c>
      <c r="C4168">
        <v>25</v>
      </c>
      <c r="D4168">
        <v>6.4431863874196997</v>
      </c>
      <c r="E4168">
        <v>161.079659685493</v>
      </c>
      <c r="F4168">
        <v>0.72991986757458305</v>
      </c>
      <c r="G4168">
        <v>0.84327150972499199</v>
      </c>
      <c r="H4168" t="str">
        <f t="shared" si="65"/>
        <v>Q3</v>
      </c>
    </row>
    <row r="4169" spans="1:8">
      <c r="A4169">
        <v>767820</v>
      </c>
      <c r="B4169" t="s">
        <v>1871</v>
      </c>
      <c r="C4169">
        <v>40</v>
      </c>
      <c r="D4169">
        <v>4.0265254722908104</v>
      </c>
      <c r="E4169">
        <v>161.06101889163301</v>
      </c>
      <c r="F4169">
        <v>0.804522027011775</v>
      </c>
      <c r="G4169">
        <v>0.843233888867988</v>
      </c>
      <c r="H4169" t="str">
        <f t="shared" si="65"/>
        <v>Q4</v>
      </c>
    </row>
    <row r="4170" spans="1:8">
      <c r="A4170">
        <v>701657</v>
      </c>
      <c r="B4170" t="s">
        <v>1037</v>
      </c>
      <c r="C4170">
        <v>70</v>
      </c>
      <c r="D4170">
        <v>2.2994915249624399</v>
      </c>
      <c r="E4170">
        <v>160.96440674737099</v>
      </c>
      <c r="F4170">
        <v>0.87555020503367098</v>
      </c>
      <c r="G4170">
        <v>0.84319626801098502</v>
      </c>
      <c r="H4170" t="str">
        <f t="shared" si="65"/>
        <v>Q4</v>
      </c>
    </row>
    <row r="4171" spans="1:8">
      <c r="A4171">
        <v>757395</v>
      </c>
      <c r="B4171" t="s">
        <v>2112</v>
      </c>
      <c r="C4171">
        <v>51</v>
      </c>
      <c r="D4171">
        <v>3.1560318581029501</v>
      </c>
      <c r="E4171">
        <v>160.95762476325001</v>
      </c>
      <c r="F4171">
        <v>0.83762838117452298</v>
      </c>
      <c r="G4171">
        <v>0.84315864715398203</v>
      </c>
      <c r="H4171" t="str">
        <f t="shared" si="65"/>
        <v>Q4</v>
      </c>
    </row>
    <row r="4172" spans="1:8">
      <c r="A4172">
        <v>783333</v>
      </c>
      <c r="B4172" t="s">
        <v>1294</v>
      </c>
      <c r="C4172">
        <v>68</v>
      </c>
      <c r="D4172">
        <v>2.3669740842545699</v>
      </c>
      <c r="E4172">
        <v>160.95423772931099</v>
      </c>
      <c r="F4172">
        <v>0.87223956961739602</v>
      </c>
      <c r="G4172">
        <v>0.84312102629697905</v>
      </c>
      <c r="H4172" t="str">
        <f t="shared" si="65"/>
        <v>Q4</v>
      </c>
    </row>
    <row r="4173" spans="1:8">
      <c r="A4173">
        <v>686631</v>
      </c>
      <c r="B4173" t="s">
        <v>2963</v>
      </c>
      <c r="C4173">
        <v>85</v>
      </c>
      <c r="D4173">
        <v>1.8933399679029701</v>
      </c>
      <c r="E4173">
        <v>160.93389727175199</v>
      </c>
      <c r="F4173">
        <v>0.89721981866746903</v>
      </c>
      <c r="G4173">
        <v>0.84308340543997595</v>
      </c>
      <c r="H4173" t="str">
        <f t="shared" si="65"/>
        <v>Q4</v>
      </c>
    </row>
    <row r="4174" spans="1:8">
      <c r="A4174">
        <v>739590</v>
      </c>
      <c r="B4174" t="s">
        <v>4886</v>
      </c>
      <c r="C4174">
        <v>107</v>
      </c>
      <c r="D4174">
        <v>1.5040392395561499</v>
      </c>
      <c r="E4174">
        <v>160.932198632509</v>
      </c>
      <c r="F4174">
        <v>0.91791129001918703</v>
      </c>
      <c r="G4174">
        <v>0.84304578458297297</v>
      </c>
      <c r="H4174" t="str">
        <f t="shared" si="65"/>
        <v>Q4</v>
      </c>
    </row>
    <row r="4175" spans="1:8">
      <c r="A4175">
        <v>818024</v>
      </c>
      <c r="B4175" t="s">
        <v>4945</v>
      </c>
      <c r="C4175">
        <v>69</v>
      </c>
      <c r="D4175">
        <v>2.3313682175416899</v>
      </c>
      <c r="E4175">
        <v>160.864407010376</v>
      </c>
      <c r="F4175">
        <v>0.87393250818253598</v>
      </c>
      <c r="G4175">
        <v>0.84300816372596998</v>
      </c>
      <c r="H4175" t="str">
        <f t="shared" si="65"/>
        <v>Q4</v>
      </c>
    </row>
    <row r="4176" spans="1:8">
      <c r="A4176">
        <v>759391</v>
      </c>
      <c r="B4176" t="s">
        <v>2280</v>
      </c>
      <c r="C4176">
        <v>65</v>
      </c>
      <c r="D4176">
        <v>2.4740286500981199</v>
      </c>
      <c r="E4176">
        <v>160.81186225637799</v>
      </c>
      <c r="F4176">
        <v>0.86802603363304598</v>
      </c>
      <c r="G4176">
        <v>0.842970542868967</v>
      </c>
      <c r="H4176" t="str">
        <f t="shared" si="65"/>
        <v>Q4</v>
      </c>
    </row>
    <row r="4177" spans="1:8">
      <c r="A4177">
        <v>632832</v>
      </c>
      <c r="B4177" t="s">
        <v>3089</v>
      </c>
      <c r="C4177">
        <v>69</v>
      </c>
      <c r="D4177">
        <v>2.3285678830807601</v>
      </c>
      <c r="E4177">
        <v>160.671183932573</v>
      </c>
      <c r="F4177">
        <v>0.87393250818253598</v>
      </c>
      <c r="G4177">
        <v>0.84293292201196302</v>
      </c>
      <c r="H4177" t="str">
        <f t="shared" si="65"/>
        <v>Q4</v>
      </c>
    </row>
    <row r="4178" spans="1:8">
      <c r="A4178">
        <v>713717</v>
      </c>
      <c r="B4178" t="s">
        <v>2790</v>
      </c>
      <c r="C4178">
        <v>33</v>
      </c>
      <c r="D4178">
        <v>4.8686184722817298</v>
      </c>
      <c r="E4178">
        <v>160.66440958529699</v>
      </c>
      <c r="F4178">
        <v>0.77551634626236798</v>
      </c>
      <c r="G4178">
        <v>0.84289530115496003</v>
      </c>
      <c r="H4178" t="str">
        <f t="shared" si="65"/>
        <v>Q4</v>
      </c>
    </row>
    <row r="4179" spans="1:8">
      <c r="A4179">
        <v>717523</v>
      </c>
      <c r="B4179" t="s">
        <v>5124</v>
      </c>
      <c r="C4179">
        <v>64</v>
      </c>
      <c r="D4179">
        <v>2.5103813561145198</v>
      </c>
      <c r="E4179">
        <v>160.66440679132899</v>
      </c>
      <c r="F4179">
        <v>0.86633309506790601</v>
      </c>
      <c r="G4179">
        <v>0.84285768029795705</v>
      </c>
      <c r="H4179" t="str">
        <f t="shared" si="65"/>
        <v>Q4</v>
      </c>
    </row>
    <row r="4180" spans="1:8">
      <c r="A4180">
        <v>786395</v>
      </c>
      <c r="B4180" t="s">
        <v>2485</v>
      </c>
      <c r="C4180">
        <v>39</v>
      </c>
      <c r="D4180">
        <v>4.1174272218575796</v>
      </c>
      <c r="E4180">
        <v>160.57966165244599</v>
      </c>
      <c r="F4180">
        <v>0.80087280388247195</v>
      </c>
      <c r="G4180">
        <v>0.84282005944095395</v>
      </c>
      <c r="H4180" t="str">
        <f t="shared" si="65"/>
        <v>Q4</v>
      </c>
    </row>
    <row r="4181" spans="1:8">
      <c r="A4181">
        <v>733838</v>
      </c>
      <c r="B4181" t="s">
        <v>4300</v>
      </c>
      <c r="C4181">
        <v>15</v>
      </c>
      <c r="D4181">
        <v>10.7047456502914</v>
      </c>
      <c r="E4181">
        <v>160.57118475437201</v>
      </c>
      <c r="F4181">
        <v>0.63496482449870195</v>
      </c>
      <c r="G4181">
        <v>0.84278243858395097</v>
      </c>
      <c r="H4181" t="str">
        <f t="shared" si="65"/>
        <v>Q3</v>
      </c>
    </row>
    <row r="4182" spans="1:8">
      <c r="A4182">
        <v>723370</v>
      </c>
      <c r="B4182" t="s">
        <v>4761</v>
      </c>
      <c r="C4182">
        <v>75</v>
      </c>
      <c r="D4182">
        <v>2.1400903003911198</v>
      </c>
      <c r="E4182">
        <v>160.506772529334</v>
      </c>
      <c r="F4182">
        <v>0.88420300214438896</v>
      </c>
      <c r="G4182">
        <v>0.84274481772694798</v>
      </c>
      <c r="H4182" t="str">
        <f t="shared" si="65"/>
        <v>Q4</v>
      </c>
    </row>
    <row r="4183" spans="1:8">
      <c r="A4183">
        <v>734729</v>
      </c>
      <c r="B4183" t="s">
        <v>5083</v>
      </c>
      <c r="C4183">
        <v>49</v>
      </c>
      <c r="D4183">
        <v>3.2755101555768298</v>
      </c>
      <c r="E4183">
        <v>160.49999762326499</v>
      </c>
      <c r="F4183">
        <v>0.83258718633610496</v>
      </c>
      <c r="G4183">
        <v>0.842707196869945</v>
      </c>
      <c r="H4183" t="str">
        <f t="shared" si="65"/>
        <v>Q4</v>
      </c>
    </row>
    <row r="4184" spans="1:8">
      <c r="A4184">
        <v>691750</v>
      </c>
      <c r="B4184" t="s">
        <v>1149</v>
      </c>
      <c r="C4184">
        <v>64</v>
      </c>
      <c r="D4184">
        <v>2.5074152421439102</v>
      </c>
      <c r="E4184">
        <v>160.47457549721</v>
      </c>
      <c r="F4184">
        <v>0.86633309506790601</v>
      </c>
      <c r="G4184">
        <v>0.84266957601294201</v>
      </c>
      <c r="H4184" t="str">
        <f t="shared" si="65"/>
        <v>Q4</v>
      </c>
    </row>
    <row r="4185" spans="1:8">
      <c r="A4185">
        <v>815456</v>
      </c>
      <c r="B4185" t="s">
        <v>2951</v>
      </c>
      <c r="C4185">
        <v>41</v>
      </c>
      <c r="D4185">
        <v>3.9138900343237899</v>
      </c>
      <c r="E4185">
        <v>160.469491407275</v>
      </c>
      <c r="F4185">
        <v>0.80787028328505295</v>
      </c>
      <c r="G4185">
        <v>0.84263195515593803</v>
      </c>
      <c r="H4185" t="str">
        <f t="shared" si="65"/>
        <v>Q4</v>
      </c>
    </row>
    <row r="4186" spans="1:8">
      <c r="A4186">
        <v>717943</v>
      </c>
      <c r="B4186" t="s">
        <v>2887</v>
      </c>
      <c r="C4186">
        <v>51</v>
      </c>
      <c r="D4186">
        <v>3.1455964982217401</v>
      </c>
      <c r="E4186">
        <v>160.425421409309</v>
      </c>
      <c r="F4186">
        <v>0.83762838117452298</v>
      </c>
      <c r="G4186">
        <v>0.84259433429893504</v>
      </c>
      <c r="H4186" t="str">
        <f t="shared" si="65"/>
        <v>Q4</v>
      </c>
    </row>
    <row r="4187" spans="1:8">
      <c r="A4187">
        <v>737697</v>
      </c>
      <c r="B4187" t="s">
        <v>554</v>
      </c>
      <c r="C4187">
        <v>51</v>
      </c>
      <c r="D4187">
        <v>3.1452309303716102</v>
      </c>
      <c r="E4187">
        <v>160.406777448952</v>
      </c>
      <c r="F4187">
        <v>0.83762838117452298</v>
      </c>
      <c r="G4187">
        <v>0.84255671344193195</v>
      </c>
      <c r="H4187" t="str">
        <f t="shared" si="65"/>
        <v>Q4</v>
      </c>
    </row>
    <row r="4188" spans="1:8">
      <c r="A4188">
        <v>784273</v>
      </c>
      <c r="B4188" t="s">
        <v>1876</v>
      </c>
      <c r="C4188">
        <v>10</v>
      </c>
      <c r="D4188">
        <v>16.0245764255524</v>
      </c>
      <c r="E4188">
        <v>160.24576425552399</v>
      </c>
      <c r="F4188">
        <v>0.54821112824950202</v>
      </c>
      <c r="G4188">
        <v>0.84251909258492896</v>
      </c>
      <c r="H4188" t="str">
        <f t="shared" si="65"/>
        <v>Q3</v>
      </c>
    </row>
    <row r="4189" spans="1:8">
      <c r="A4189">
        <v>567657</v>
      </c>
      <c r="B4189" t="s">
        <v>4471</v>
      </c>
      <c r="C4189">
        <v>50</v>
      </c>
      <c r="D4189">
        <v>3.2035592570900899</v>
      </c>
      <c r="E4189">
        <v>160.17796285450501</v>
      </c>
      <c r="F4189">
        <v>0.83559685489635405</v>
      </c>
      <c r="G4189">
        <v>0.84248147172792598</v>
      </c>
      <c r="H4189" t="str">
        <f t="shared" si="65"/>
        <v>Q4</v>
      </c>
    </row>
    <row r="4190" spans="1:8">
      <c r="A4190">
        <v>733100</v>
      </c>
      <c r="B4190" t="s">
        <v>1894</v>
      </c>
      <c r="C4190">
        <v>113</v>
      </c>
      <c r="D4190">
        <v>1.41750408163443</v>
      </c>
      <c r="E4190">
        <v>160.17796122468999</v>
      </c>
      <c r="F4190">
        <v>0.92257627628757399</v>
      </c>
      <c r="G4190">
        <v>0.84244385087092299</v>
      </c>
      <c r="H4190" t="str">
        <f t="shared" si="65"/>
        <v>Q4</v>
      </c>
    </row>
    <row r="4191" spans="1:8">
      <c r="A4191">
        <v>717171</v>
      </c>
      <c r="B4191" t="s">
        <v>2633</v>
      </c>
      <c r="C4191">
        <v>64</v>
      </c>
      <c r="D4191">
        <v>2.5018007872858998</v>
      </c>
      <c r="E4191">
        <v>160.11525038629799</v>
      </c>
      <c r="F4191">
        <v>0.86633309506790601</v>
      </c>
      <c r="G4191">
        <v>0.84240623001392001</v>
      </c>
      <c r="H4191" t="str">
        <f t="shared" si="65"/>
        <v>Q4</v>
      </c>
    </row>
    <row r="4192" spans="1:8">
      <c r="A4192">
        <v>540277</v>
      </c>
      <c r="B4192" t="s">
        <v>2604</v>
      </c>
      <c r="C4192">
        <v>77</v>
      </c>
      <c r="D4192">
        <v>2.0779880973232299</v>
      </c>
      <c r="E4192">
        <v>160.00508349388801</v>
      </c>
      <c r="F4192">
        <v>0.88740077498965397</v>
      </c>
      <c r="G4192">
        <v>0.84236860915691703</v>
      </c>
      <c r="H4192" t="str">
        <f t="shared" si="65"/>
        <v>Q4</v>
      </c>
    </row>
    <row r="4193" spans="1:8">
      <c r="A4193">
        <v>713713</v>
      </c>
      <c r="B4193" t="s">
        <v>127</v>
      </c>
      <c r="C4193">
        <v>33</v>
      </c>
      <c r="D4193">
        <v>4.8476631499149603</v>
      </c>
      <c r="E4193">
        <v>159.97288394719399</v>
      </c>
      <c r="F4193">
        <v>0.77551634626236798</v>
      </c>
      <c r="G4193">
        <v>0.84233098829991304</v>
      </c>
      <c r="H4193" t="str">
        <f t="shared" si="65"/>
        <v>Q4</v>
      </c>
    </row>
    <row r="4194" spans="1:8">
      <c r="A4194">
        <v>799382</v>
      </c>
      <c r="B4194" t="s">
        <v>1451</v>
      </c>
      <c r="C4194">
        <v>33</v>
      </c>
      <c r="D4194">
        <v>4.8467386513948396</v>
      </c>
      <c r="E4194">
        <v>159.94237549603</v>
      </c>
      <c r="F4194">
        <v>0.77551634626236798</v>
      </c>
      <c r="G4194">
        <v>0.84229336744290995</v>
      </c>
      <c r="H4194" t="str">
        <f t="shared" si="65"/>
        <v>Q4</v>
      </c>
    </row>
    <row r="4195" spans="1:8">
      <c r="A4195">
        <v>720651</v>
      </c>
      <c r="B4195" t="s">
        <v>2729</v>
      </c>
      <c r="C4195">
        <v>16</v>
      </c>
      <c r="D4195">
        <v>9.9955510813742894</v>
      </c>
      <c r="E4195">
        <v>159.928817301989</v>
      </c>
      <c r="F4195">
        <v>0.64756781159474797</v>
      </c>
      <c r="G4195">
        <v>0.84225574658590696</v>
      </c>
      <c r="H4195" t="str">
        <f t="shared" si="65"/>
        <v>Q3</v>
      </c>
    </row>
    <row r="4196" spans="1:8">
      <c r="A4196">
        <v>701265</v>
      </c>
      <c r="B4196" t="s">
        <v>233</v>
      </c>
      <c r="C4196">
        <v>77</v>
      </c>
      <c r="D4196">
        <v>2.0757208336386599</v>
      </c>
      <c r="E4196">
        <v>159.83050419017701</v>
      </c>
      <c r="F4196">
        <v>0.88740077498965397</v>
      </c>
      <c r="G4196">
        <v>0.84221812572890398</v>
      </c>
      <c r="H4196" t="str">
        <f t="shared" si="65"/>
        <v>Q4</v>
      </c>
    </row>
    <row r="4197" spans="1:8">
      <c r="A4197">
        <v>727951</v>
      </c>
      <c r="B4197" t="s">
        <v>4145</v>
      </c>
      <c r="C4197">
        <v>24</v>
      </c>
      <c r="D4197">
        <v>6.6531072836369303</v>
      </c>
      <c r="E4197">
        <v>159.67457480728601</v>
      </c>
      <c r="F4197">
        <v>0.72284714645799597</v>
      </c>
      <c r="G4197">
        <v>0.84218050487190099</v>
      </c>
      <c r="H4197" t="str">
        <f t="shared" si="65"/>
        <v>Q3</v>
      </c>
    </row>
    <row r="4198" spans="1:8">
      <c r="A4198">
        <v>824995</v>
      </c>
      <c r="B4198" t="s">
        <v>1843</v>
      </c>
      <c r="C4198">
        <v>66</v>
      </c>
      <c r="D4198">
        <v>2.41833590817722</v>
      </c>
      <c r="E4198">
        <v>159.61016993969699</v>
      </c>
      <c r="F4198">
        <v>0.86968135134118396</v>
      </c>
      <c r="G4198">
        <v>0.84214288401489801</v>
      </c>
      <c r="H4198" t="str">
        <f t="shared" si="65"/>
        <v>Q4</v>
      </c>
    </row>
    <row r="4199" spans="1:8">
      <c r="A4199">
        <v>796461</v>
      </c>
      <c r="B4199" t="s">
        <v>2185</v>
      </c>
      <c r="C4199">
        <v>32</v>
      </c>
      <c r="D4199">
        <v>4.9859111197292796</v>
      </c>
      <c r="E4199">
        <v>159.549155831337</v>
      </c>
      <c r="F4199">
        <v>0.77096422256498998</v>
      </c>
      <c r="G4199">
        <v>0.84210526315789502</v>
      </c>
      <c r="H4199" t="str">
        <f t="shared" si="65"/>
        <v>Q3</v>
      </c>
    </row>
    <row r="4200" spans="1:8">
      <c r="A4200">
        <v>766624</v>
      </c>
      <c r="B4200" t="s">
        <v>1044</v>
      </c>
      <c r="C4200">
        <v>67</v>
      </c>
      <c r="D4200">
        <v>2.3810776562165898</v>
      </c>
      <c r="E4200">
        <v>159.53220296651099</v>
      </c>
      <c r="F4200">
        <v>0.87118618562130801</v>
      </c>
      <c r="G4200">
        <v>0.84206764230089204</v>
      </c>
      <c r="H4200" t="str">
        <f t="shared" si="65"/>
        <v>Q4</v>
      </c>
    </row>
    <row r="4201" spans="1:8">
      <c r="A4201">
        <v>110065</v>
      </c>
      <c r="B4201" t="s">
        <v>3567</v>
      </c>
      <c r="C4201">
        <v>90</v>
      </c>
      <c r="D4201">
        <v>1.77067795457939</v>
      </c>
      <c r="E4201">
        <v>159.36101591214501</v>
      </c>
      <c r="F4201">
        <v>0.90267484293292199</v>
      </c>
      <c r="G4201">
        <v>0.84203002144388805</v>
      </c>
      <c r="H4201" t="str">
        <f t="shared" si="65"/>
        <v>Q4</v>
      </c>
    </row>
    <row r="4202" spans="1:8">
      <c r="A4202">
        <v>690483</v>
      </c>
      <c r="B4202" t="s">
        <v>681</v>
      </c>
      <c r="C4202">
        <v>11</v>
      </c>
      <c r="D4202">
        <v>14.486594904552801</v>
      </c>
      <c r="E4202">
        <v>159.35254395008101</v>
      </c>
      <c r="F4202">
        <v>0.56957977502727497</v>
      </c>
      <c r="G4202">
        <v>0.84199240058688496</v>
      </c>
      <c r="H4202" t="str">
        <f t="shared" si="65"/>
        <v>Q3</v>
      </c>
    </row>
    <row r="4203" spans="1:8">
      <c r="A4203">
        <v>772907</v>
      </c>
      <c r="B4203" t="s">
        <v>3724</v>
      </c>
      <c r="C4203">
        <v>19</v>
      </c>
      <c r="D4203">
        <v>8.38260485937721</v>
      </c>
      <c r="E4203">
        <v>159.26949232816699</v>
      </c>
      <c r="F4203">
        <v>0.68195327489560198</v>
      </c>
      <c r="G4203">
        <v>0.84195477972988197</v>
      </c>
      <c r="H4203" t="str">
        <f t="shared" si="65"/>
        <v>Q3</v>
      </c>
    </row>
    <row r="4204" spans="1:8">
      <c r="A4204">
        <v>739373</v>
      </c>
      <c r="B4204" t="s">
        <v>1362</v>
      </c>
      <c r="C4204">
        <v>75</v>
      </c>
      <c r="D4204">
        <v>2.1224858723580802</v>
      </c>
      <c r="E4204">
        <v>159.186440426856</v>
      </c>
      <c r="F4204">
        <v>0.88420300214438896</v>
      </c>
      <c r="G4204">
        <v>0.84191715887287899</v>
      </c>
      <c r="H4204" t="str">
        <f t="shared" si="65"/>
        <v>Q4</v>
      </c>
    </row>
    <row r="4205" spans="1:8">
      <c r="A4205">
        <v>730946</v>
      </c>
      <c r="B4205" t="s">
        <v>586</v>
      </c>
      <c r="C4205">
        <v>202</v>
      </c>
      <c r="D4205">
        <v>0.78795939132958503</v>
      </c>
      <c r="E4205">
        <v>159.16779704857601</v>
      </c>
      <c r="F4205">
        <v>0.95951995786463995</v>
      </c>
      <c r="G4205">
        <v>0.84187953801587601</v>
      </c>
      <c r="H4205" t="str">
        <f t="shared" si="65"/>
        <v>Q2</v>
      </c>
    </row>
    <row r="4206" spans="1:8">
      <c r="A4206">
        <v>772570</v>
      </c>
      <c r="B4206" t="s">
        <v>900</v>
      </c>
      <c r="C4206">
        <v>35</v>
      </c>
      <c r="D4206">
        <v>4.5472639852336503</v>
      </c>
      <c r="E4206">
        <v>159.154239483178</v>
      </c>
      <c r="F4206">
        <v>0.78420676423008895</v>
      </c>
      <c r="G4206">
        <v>0.84184191715887302</v>
      </c>
      <c r="H4206" t="str">
        <f t="shared" si="65"/>
        <v>Q4</v>
      </c>
    </row>
    <row r="4207" spans="1:8">
      <c r="A4207">
        <v>612295</v>
      </c>
      <c r="B4207" t="s">
        <v>3608</v>
      </c>
      <c r="C4207">
        <v>43</v>
      </c>
      <c r="D4207">
        <v>3.7011036779298299</v>
      </c>
      <c r="E4207">
        <v>159.147458150983</v>
      </c>
      <c r="F4207">
        <v>0.81437869154659304</v>
      </c>
      <c r="G4207">
        <v>0.84180429630187004</v>
      </c>
      <c r="H4207" t="str">
        <f t="shared" si="65"/>
        <v>Q4</v>
      </c>
    </row>
    <row r="4208" spans="1:8">
      <c r="A4208">
        <v>799067</v>
      </c>
      <c r="B4208" t="s">
        <v>1423</v>
      </c>
      <c r="C4208">
        <v>36</v>
      </c>
      <c r="D4208">
        <v>4.4202449033036801</v>
      </c>
      <c r="E4208">
        <v>159.12881651893301</v>
      </c>
      <c r="F4208">
        <v>0.78890937135547901</v>
      </c>
      <c r="G4208">
        <v>0.84176667544486705</v>
      </c>
      <c r="H4208" t="str">
        <f t="shared" si="65"/>
        <v>Q4</v>
      </c>
    </row>
    <row r="4209" spans="1:8">
      <c r="A4209">
        <v>721033</v>
      </c>
      <c r="B4209" t="s">
        <v>4110</v>
      </c>
      <c r="C4209">
        <v>48</v>
      </c>
      <c r="D4209">
        <v>3.3143714070320098</v>
      </c>
      <c r="E4209">
        <v>159.08982753753699</v>
      </c>
      <c r="F4209">
        <v>0.82957751777585498</v>
      </c>
      <c r="G4209">
        <v>0.84172905458786396</v>
      </c>
      <c r="H4209" t="str">
        <f t="shared" si="65"/>
        <v>Q4</v>
      </c>
    </row>
    <row r="4210" spans="1:8">
      <c r="A4210">
        <v>578474</v>
      </c>
      <c r="B4210" t="s">
        <v>1281</v>
      </c>
      <c r="C4210">
        <v>49</v>
      </c>
      <c r="D4210">
        <v>3.2461085565844399</v>
      </c>
      <c r="E4210">
        <v>159.059319272637</v>
      </c>
      <c r="F4210">
        <v>0.83258718633610496</v>
      </c>
      <c r="G4210">
        <v>0.84169143373085997</v>
      </c>
      <c r="H4210" t="str">
        <f t="shared" si="65"/>
        <v>Q4</v>
      </c>
    </row>
    <row r="4211" spans="1:8">
      <c r="A4211">
        <v>719106</v>
      </c>
      <c r="B4211" t="s">
        <v>3321</v>
      </c>
      <c r="C4211">
        <v>98</v>
      </c>
      <c r="D4211">
        <v>1.6228985899052</v>
      </c>
      <c r="E4211">
        <v>159.04406181070999</v>
      </c>
      <c r="F4211">
        <v>0.90997328919152798</v>
      </c>
      <c r="G4211">
        <v>0.84165381287385699</v>
      </c>
      <c r="H4211" t="str">
        <f t="shared" si="65"/>
        <v>Q4</v>
      </c>
    </row>
    <row r="4212" spans="1:8">
      <c r="A4212">
        <v>660599</v>
      </c>
      <c r="B4212" t="s">
        <v>457</v>
      </c>
      <c r="C4212">
        <v>62</v>
      </c>
      <c r="D4212">
        <v>2.5647894929974302</v>
      </c>
      <c r="E4212">
        <v>159.01694856584101</v>
      </c>
      <c r="F4212">
        <v>0.86238290508257798</v>
      </c>
      <c r="G4212">
        <v>0.841616192016854</v>
      </c>
      <c r="H4212" t="str">
        <f t="shared" si="65"/>
        <v>Q4</v>
      </c>
    </row>
    <row r="4213" spans="1:8">
      <c r="A4213">
        <v>755729</v>
      </c>
      <c r="B4213" t="s">
        <v>703</v>
      </c>
      <c r="C4213">
        <v>19</v>
      </c>
      <c r="D4213">
        <v>8.3665477994241204</v>
      </c>
      <c r="E4213">
        <v>158.96440818905799</v>
      </c>
      <c r="F4213">
        <v>0.68195327489560198</v>
      </c>
      <c r="G4213">
        <v>0.84157857115985102</v>
      </c>
      <c r="H4213" t="str">
        <f t="shared" si="65"/>
        <v>Q3</v>
      </c>
    </row>
    <row r="4214" spans="1:8">
      <c r="A4214">
        <v>802842</v>
      </c>
      <c r="B4214" t="s">
        <v>3330</v>
      </c>
      <c r="C4214">
        <v>38</v>
      </c>
      <c r="D4214">
        <v>4.1827386441199401</v>
      </c>
      <c r="E4214">
        <v>158.94406847655799</v>
      </c>
      <c r="F4214">
        <v>0.79696023475414801</v>
      </c>
      <c r="G4214">
        <v>0.84154095030284803</v>
      </c>
      <c r="H4214" t="str">
        <f t="shared" si="65"/>
        <v>Q4</v>
      </c>
    </row>
    <row r="4215" spans="1:8">
      <c r="A4215">
        <v>859232</v>
      </c>
      <c r="B4215" t="s">
        <v>334</v>
      </c>
      <c r="C4215">
        <v>32</v>
      </c>
      <c r="D4215">
        <v>4.9667903454974303</v>
      </c>
      <c r="E4215">
        <v>158.937291055918</v>
      </c>
      <c r="F4215">
        <v>0.77096422256498998</v>
      </c>
      <c r="G4215">
        <v>0.84150332944584505</v>
      </c>
      <c r="H4215" t="str">
        <f t="shared" si="65"/>
        <v>Q3</v>
      </c>
    </row>
    <row r="4216" spans="1:8">
      <c r="A4216">
        <v>449263</v>
      </c>
      <c r="B4216" t="s">
        <v>5256</v>
      </c>
      <c r="C4216">
        <v>115</v>
      </c>
      <c r="D4216">
        <v>1.3812527181985601</v>
      </c>
      <c r="E4216">
        <v>158.84406259283401</v>
      </c>
      <c r="F4216">
        <v>0.92370490199766797</v>
      </c>
      <c r="G4216">
        <v>0.84146570858884195</v>
      </c>
      <c r="H4216" t="str">
        <f t="shared" si="65"/>
        <v>Q4</v>
      </c>
    </row>
    <row r="4217" spans="1:8">
      <c r="A4217">
        <v>754005</v>
      </c>
      <c r="B4217" t="s">
        <v>3271</v>
      </c>
      <c r="C4217">
        <v>66</v>
      </c>
      <c r="D4217">
        <v>2.4065485421681001</v>
      </c>
      <c r="E4217">
        <v>158.832203783095</v>
      </c>
      <c r="F4217">
        <v>0.86968135134118396</v>
      </c>
      <c r="G4217">
        <v>0.84142808773183897</v>
      </c>
      <c r="H4217" t="str">
        <f t="shared" si="65"/>
        <v>Q4</v>
      </c>
    </row>
    <row r="4218" spans="1:8">
      <c r="A4218">
        <v>763171</v>
      </c>
      <c r="B4218" t="s">
        <v>4729</v>
      </c>
      <c r="C4218">
        <v>69</v>
      </c>
      <c r="D4218">
        <v>2.3010561836586501</v>
      </c>
      <c r="E4218">
        <v>158.77287667244701</v>
      </c>
      <c r="F4218">
        <v>0.87393250818253598</v>
      </c>
      <c r="G4218">
        <v>0.84139046687483499</v>
      </c>
      <c r="H4218" t="str">
        <f t="shared" si="65"/>
        <v>Q4</v>
      </c>
    </row>
    <row r="4219" spans="1:8">
      <c r="A4219">
        <v>646490</v>
      </c>
      <c r="B4219" t="s">
        <v>3765</v>
      </c>
      <c r="C4219">
        <v>34</v>
      </c>
      <c r="D4219">
        <v>4.6694915960816799</v>
      </c>
      <c r="E4219">
        <v>158.76271426677701</v>
      </c>
      <c r="F4219">
        <v>0.77969226138971404</v>
      </c>
      <c r="G4219">
        <v>0.841352846017832</v>
      </c>
      <c r="H4219" t="str">
        <f t="shared" si="65"/>
        <v>Q4</v>
      </c>
    </row>
    <row r="4220" spans="1:8">
      <c r="A4220">
        <v>790820</v>
      </c>
      <c r="B4220" t="s">
        <v>3348</v>
      </c>
      <c r="C4220">
        <v>26</v>
      </c>
      <c r="D4220">
        <v>6.1054106228626699</v>
      </c>
      <c r="E4220">
        <v>158.740676194429</v>
      </c>
      <c r="F4220">
        <v>0.73706783040517698</v>
      </c>
      <c r="G4220">
        <v>0.84131522516082902</v>
      </c>
      <c r="H4220" t="str">
        <f t="shared" si="65"/>
        <v>Q3</v>
      </c>
    </row>
    <row r="4221" spans="1:8">
      <c r="A4221">
        <v>663396</v>
      </c>
      <c r="B4221" t="s">
        <v>3014</v>
      </c>
      <c r="C4221">
        <v>45</v>
      </c>
      <c r="D4221">
        <v>3.5259887203574198</v>
      </c>
      <c r="E4221">
        <v>158.66949241608401</v>
      </c>
      <c r="F4221">
        <v>0.82069899552311798</v>
      </c>
      <c r="G4221">
        <v>0.84127760430382603</v>
      </c>
      <c r="H4221" t="str">
        <f t="shared" si="65"/>
        <v>Q4</v>
      </c>
    </row>
    <row r="4222" spans="1:8">
      <c r="A4222">
        <v>793154</v>
      </c>
      <c r="B4222" t="s">
        <v>4422</v>
      </c>
      <c r="C4222">
        <v>31</v>
      </c>
      <c r="D4222">
        <v>5.1179333620013701</v>
      </c>
      <c r="E4222">
        <v>158.65593422204299</v>
      </c>
      <c r="F4222">
        <v>0.766073511154584</v>
      </c>
      <c r="G4222">
        <v>0.84123998344682305</v>
      </c>
      <c r="H4222" t="str">
        <f t="shared" si="65"/>
        <v>Q3</v>
      </c>
    </row>
    <row r="4223" spans="1:8">
      <c r="A4223">
        <v>733833</v>
      </c>
      <c r="B4223" t="s">
        <v>4290</v>
      </c>
      <c r="C4223">
        <v>12</v>
      </c>
      <c r="D4223">
        <v>13.218785884479701</v>
      </c>
      <c r="E4223">
        <v>158.62543061375601</v>
      </c>
      <c r="F4223">
        <v>0.58748730296076102</v>
      </c>
      <c r="G4223">
        <v>0.84120236258981995</v>
      </c>
      <c r="H4223" t="str">
        <f t="shared" si="65"/>
        <v>Q3</v>
      </c>
    </row>
    <row r="4224" spans="1:8">
      <c r="A4224">
        <v>743126</v>
      </c>
      <c r="B4224" t="s">
        <v>4598</v>
      </c>
      <c r="C4224">
        <v>36</v>
      </c>
      <c r="D4224">
        <v>4.4054614755118102</v>
      </c>
      <c r="E4224">
        <v>158.59661311842501</v>
      </c>
      <c r="F4224">
        <v>0.78890937135547901</v>
      </c>
      <c r="G4224">
        <v>0.84116474173281697</v>
      </c>
      <c r="H4224" t="str">
        <f t="shared" si="65"/>
        <v>Q4</v>
      </c>
    </row>
    <row r="4225" spans="1:8">
      <c r="A4225">
        <v>686720</v>
      </c>
      <c r="B4225" t="s">
        <v>488</v>
      </c>
      <c r="C4225">
        <v>25</v>
      </c>
      <c r="D4225">
        <v>6.34372878074646</v>
      </c>
      <c r="E4225">
        <v>158.59321951866099</v>
      </c>
      <c r="F4225">
        <v>0.72991986757458305</v>
      </c>
      <c r="G4225">
        <v>0.84112712087581398</v>
      </c>
      <c r="H4225" t="str">
        <f t="shared" si="65"/>
        <v>Q3</v>
      </c>
    </row>
    <row r="4226" spans="1:8">
      <c r="A4226">
        <v>642105</v>
      </c>
      <c r="B4226" t="s">
        <v>655</v>
      </c>
      <c r="C4226">
        <v>98</v>
      </c>
      <c r="D4226">
        <v>1.61693182450776</v>
      </c>
      <c r="E4226">
        <v>158.45931880176099</v>
      </c>
      <c r="F4226">
        <v>0.90997328919152798</v>
      </c>
      <c r="G4226">
        <v>0.84108950001881</v>
      </c>
      <c r="H4226" t="str">
        <f t="shared" si="65"/>
        <v>Q4</v>
      </c>
    </row>
    <row r="4227" spans="1:8">
      <c r="A4227">
        <v>800801</v>
      </c>
      <c r="B4227" t="s">
        <v>3582</v>
      </c>
      <c r="C4227">
        <v>24</v>
      </c>
      <c r="D4227">
        <v>6.5994349929193703</v>
      </c>
      <c r="E4227">
        <v>158.386439830065</v>
      </c>
      <c r="F4227">
        <v>0.72284714645799597</v>
      </c>
      <c r="G4227">
        <v>0.84105187916180701</v>
      </c>
      <c r="H4227" t="str">
        <f t="shared" ref="H4227:H4290" si="66">IF(C4227&gt;$J$2,
   IF(D4227&gt;$J$3,"Q1","Q2"),
   IF(D4227&gt;$J$3,"Q3","Q4"))</f>
        <v>Q3</v>
      </c>
    </row>
    <row r="4228" spans="1:8">
      <c r="A4228">
        <v>765665</v>
      </c>
      <c r="B4228" t="s">
        <v>307</v>
      </c>
      <c r="C4228">
        <v>27</v>
      </c>
      <c r="D4228">
        <v>5.8635907178675701</v>
      </c>
      <c r="E4228">
        <v>158.31694938242401</v>
      </c>
      <c r="F4228">
        <v>0.74312478838267904</v>
      </c>
      <c r="G4228">
        <v>0.84101425830480403</v>
      </c>
      <c r="H4228" t="str">
        <f t="shared" si="66"/>
        <v>Q3</v>
      </c>
    </row>
    <row r="4229" spans="1:8">
      <c r="A4229">
        <v>738675</v>
      </c>
      <c r="B4229" t="s">
        <v>4600</v>
      </c>
      <c r="C4229">
        <v>49</v>
      </c>
      <c r="D4229">
        <v>3.2309235757863002</v>
      </c>
      <c r="E4229">
        <v>158.31525521352901</v>
      </c>
      <c r="F4229">
        <v>0.83258718633610496</v>
      </c>
      <c r="G4229">
        <v>0.84097663744780105</v>
      </c>
      <c r="H4229" t="str">
        <f t="shared" si="66"/>
        <v>Q4</v>
      </c>
    </row>
    <row r="4230" spans="1:8">
      <c r="A4230">
        <v>555102</v>
      </c>
      <c r="B4230" t="s">
        <v>4200</v>
      </c>
      <c r="C4230">
        <v>75</v>
      </c>
      <c r="D4230">
        <v>2.1105310122172001</v>
      </c>
      <c r="E4230">
        <v>158.28982591629</v>
      </c>
      <c r="F4230">
        <v>0.88420300214438896</v>
      </c>
      <c r="G4230">
        <v>0.84093901659079795</v>
      </c>
      <c r="H4230" t="str">
        <f t="shared" si="66"/>
        <v>Q4</v>
      </c>
    </row>
    <row r="4231" spans="1:8">
      <c r="A4231">
        <v>798250</v>
      </c>
      <c r="B4231" t="s">
        <v>4298</v>
      </c>
      <c r="C4231">
        <v>4</v>
      </c>
      <c r="D4231">
        <v>39.565678685903499</v>
      </c>
      <c r="E4231">
        <v>158.262714743614</v>
      </c>
      <c r="F4231">
        <v>0.33388510590271198</v>
      </c>
      <c r="G4231">
        <v>0.84090139573379497</v>
      </c>
      <c r="H4231" t="str">
        <f t="shared" si="66"/>
        <v>Q3</v>
      </c>
    </row>
    <row r="4232" spans="1:8">
      <c r="A4232">
        <v>809103</v>
      </c>
      <c r="B4232" t="s">
        <v>3470</v>
      </c>
      <c r="C4232">
        <v>49</v>
      </c>
      <c r="D4232">
        <v>3.22881352004348</v>
      </c>
      <c r="E4232">
        <v>158.21186248213101</v>
      </c>
      <c r="F4232">
        <v>0.83258718633610496</v>
      </c>
      <c r="G4232">
        <v>0.84086377487679198</v>
      </c>
      <c r="H4232" t="str">
        <f t="shared" si="66"/>
        <v>Q4</v>
      </c>
    </row>
    <row r="4233" spans="1:8">
      <c r="A4233">
        <v>751936</v>
      </c>
      <c r="B4233" t="s">
        <v>3065</v>
      </c>
      <c r="C4233">
        <v>16</v>
      </c>
      <c r="D4233">
        <v>9.8852753406390494</v>
      </c>
      <c r="E4233">
        <v>158.16440545022499</v>
      </c>
      <c r="F4233">
        <v>0.64756781159474797</v>
      </c>
      <c r="G4233">
        <v>0.840826154019789</v>
      </c>
      <c r="H4233" t="str">
        <f t="shared" si="66"/>
        <v>Q3</v>
      </c>
    </row>
    <row r="4234" spans="1:8">
      <c r="A4234">
        <v>806986</v>
      </c>
      <c r="B4234" t="s">
        <v>4801</v>
      </c>
      <c r="C4234">
        <v>27</v>
      </c>
      <c r="D4234">
        <v>5.8569992995924398</v>
      </c>
      <c r="E4234">
        <v>158.13898108899599</v>
      </c>
      <c r="F4234">
        <v>0.74312478838267904</v>
      </c>
      <c r="G4234">
        <v>0.84078853316278501</v>
      </c>
      <c r="H4234" t="str">
        <f t="shared" si="66"/>
        <v>Q3</v>
      </c>
    </row>
    <row r="4235" spans="1:8">
      <c r="A4235">
        <v>794998</v>
      </c>
      <c r="B4235" t="s">
        <v>4995</v>
      </c>
      <c r="C4235">
        <v>32</v>
      </c>
      <c r="D4235">
        <v>4.9380827113054702</v>
      </c>
      <c r="E4235">
        <v>158.01864676177499</v>
      </c>
      <c r="F4235">
        <v>0.77096422256498998</v>
      </c>
      <c r="G4235">
        <v>0.84075091230578203</v>
      </c>
      <c r="H4235" t="str">
        <f t="shared" si="66"/>
        <v>Q3</v>
      </c>
    </row>
    <row r="4236" spans="1:8">
      <c r="A4236">
        <v>556528</v>
      </c>
      <c r="B4236" t="s">
        <v>4448</v>
      </c>
      <c r="C4236">
        <v>56</v>
      </c>
      <c r="D4236">
        <v>2.8205810513879599</v>
      </c>
      <c r="E4236">
        <v>157.952538877726</v>
      </c>
      <c r="F4236">
        <v>0.85004326398555397</v>
      </c>
      <c r="G4236">
        <v>0.84071329144877904</v>
      </c>
      <c r="H4236" t="str">
        <f t="shared" si="66"/>
        <v>Q4</v>
      </c>
    </row>
    <row r="4237" spans="1:8">
      <c r="A4237">
        <v>595696</v>
      </c>
      <c r="B4237" t="s">
        <v>3058</v>
      </c>
      <c r="C4237">
        <v>171</v>
      </c>
      <c r="D4237">
        <v>0.92349091785747495</v>
      </c>
      <c r="E4237">
        <v>157.91694695362801</v>
      </c>
      <c r="F4237">
        <v>0.95041571046988405</v>
      </c>
      <c r="G4237">
        <v>0.84067567059177595</v>
      </c>
      <c r="H4237" t="str">
        <f t="shared" si="66"/>
        <v>Q2</v>
      </c>
    </row>
    <row r="4238" spans="1:8">
      <c r="A4238">
        <v>656059</v>
      </c>
      <c r="B4238" t="s">
        <v>785</v>
      </c>
      <c r="C4238">
        <v>49</v>
      </c>
      <c r="D4238">
        <v>3.21992392917829</v>
      </c>
      <c r="E4238">
        <v>157.77627252973599</v>
      </c>
      <c r="F4238">
        <v>0.83258718633610496</v>
      </c>
      <c r="G4238">
        <v>0.84063804973477296</v>
      </c>
      <c r="H4238" t="str">
        <f t="shared" si="66"/>
        <v>Q4</v>
      </c>
    </row>
    <row r="4239" spans="1:8">
      <c r="A4239">
        <v>669522</v>
      </c>
      <c r="B4239" t="s">
        <v>4072</v>
      </c>
      <c r="C4239">
        <v>37</v>
      </c>
      <c r="D4239">
        <v>4.26280352513532</v>
      </c>
      <c r="E4239">
        <v>157.72373043000701</v>
      </c>
      <c r="F4239">
        <v>0.79304766562582296</v>
      </c>
      <c r="G4239">
        <v>0.84060042887776998</v>
      </c>
      <c r="H4239" t="str">
        <f t="shared" si="66"/>
        <v>Q4</v>
      </c>
    </row>
    <row r="4240" spans="1:8">
      <c r="A4240">
        <v>825726</v>
      </c>
      <c r="B4240" t="s">
        <v>4611</v>
      </c>
      <c r="C4240">
        <v>32</v>
      </c>
      <c r="D4240">
        <v>4.92648314684629</v>
      </c>
      <c r="E4240">
        <v>157.64746069908099</v>
      </c>
      <c r="F4240">
        <v>0.77096422256498998</v>
      </c>
      <c r="G4240">
        <v>0.84056280802076699</v>
      </c>
      <c r="H4240" t="str">
        <f t="shared" si="66"/>
        <v>Q3</v>
      </c>
    </row>
    <row r="4241" spans="1:8">
      <c r="A4241">
        <v>752820</v>
      </c>
      <c r="B4241" t="s">
        <v>4764</v>
      </c>
      <c r="C4241">
        <v>75</v>
      </c>
      <c r="D4241">
        <v>2.1016722613324701</v>
      </c>
      <c r="E4241">
        <v>157.62541959993499</v>
      </c>
      <c r="F4241">
        <v>0.88420300214438896</v>
      </c>
      <c r="G4241">
        <v>0.84052518716376401</v>
      </c>
      <c r="H4241" t="str">
        <f t="shared" si="66"/>
        <v>Q4</v>
      </c>
    </row>
    <row r="4242" spans="1:8">
      <c r="A4242">
        <v>701277</v>
      </c>
      <c r="B4242" t="s">
        <v>2529</v>
      </c>
      <c r="C4242">
        <v>47</v>
      </c>
      <c r="D4242">
        <v>3.3520734809497599</v>
      </c>
      <c r="E4242">
        <v>157.547453604639</v>
      </c>
      <c r="F4242">
        <v>0.82641736578759295</v>
      </c>
      <c r="G4242">
        <v>0.84048756630676003</v>
      </c>
      <c r="H4242" t="str">
        <f t="shared" si="66"/>
        <v>Q4</v>
      </c>
    </row>
    <row r="4243" spans="1:8">
      <c r="A4243">
        <v>655261</v>
      </c>
      <c r="B4243" t="s">
        <v>4259</v>
      </c>
      <c r="C4243">
        <v>69</v>
      </c>
      <c r="D4243">
        <v>2.2831244488665199</v>
      </c>
      <c r="E4243">
        <v>157.53558697179</v>
      </c>
      <c r="F4243">
        <v>0.87393250818253598</v>
      </c>
      <c r="G4243">
        <v>0.84044994544975704</v>
      </c>
      <c r="H4243" t="str">
        <f t="shared" si="66"/>
        <v>Q4</v>
      </c>
    </row>
    <row r="4244" spans="1:8">
      <c r="A4244">
        <v>703806</v>
      </c>
      <c r="B4244" t="s">
        <v>4341</v>
      </c>
      <c r="C4244">
        <v>57</v>
      </c>
      <c r="D4244">
        <v>2.7636930836658702</v>
      </c>
      <c r="E4244">
        <v>157.53050576895501</v>
      </c>
      <c r="F4244">
        <v>0.851849065121703</v>
      </c>
      <c r="G4244">
        <v>0.84041232459275395</v>
      </c>
      <c r="H4244" t="str">
        <f t="shared" si="66"/>
        <v>Q4</v>
      </c>
    </row>
    <row r="4245" spans="1:8">
      <c r="A4245">
        <v>443696</v>
      </c>
      <c r="B4245" t="s">
        <v>626</v>
      </c>
      <c r="C4245">
        <v>68</v>
      </c>
      <c r="D4245">
        <v>2.31607676867177</v>
      </c>
      <c r="E4245">
        <v>157.49322026967999</v>
      </c>
      <c r="F4245">
        <v>0.87223956961739602</v>
      </c>
      <c r="G4245">
        <v>0.84037470373575096</v>
      </c>
      <c r="H4245" t="str">
        <f t="shared" si="66"/>
        <v>Q4</v>
      </c>
    </row>
    <row r="4246" spans="1:8">
      <c r="A4246">
        <v>813880</v>
      </c>
      <c r="B4246" t="s">
        <v>2229</v>
      </c>
      <c r="C4246">
        <v>37</v>
      </c>
      <c r="D4246">
        <v>4.2564361129660897</v>
      </c>
      <c r="E4246">
        <v>157.488136179745</v>
      </c>
      <c r="F4246">
        <v>0.79304766562582296</v>
      </c>
      <c r="G4246">
        <v>0.84033708287874798</v>
      </c>
      <c r="H4246" t="str">
        <f t="shared" si="66"/>
        <v>Q4</v>
      </c>
    </row>
    <row r="4247" spans="1:8">
      <c r="A4247">
        <v>338016</v>
      </c>
      <c r="B4247" t="s">
        <v>482</v>
      </c>
      <c r="C4247">
        <v>66</v>
      </c>
      <c r="D4247">
        <v>2.3858243430202699</v>
      </c>
      <c r="E4247">
        <v>157.46440663933799</v>
      </c>
      <c r="F4247">
        <v>0.86968135134118396</v>
      </c>
      <c r="G4247">
        <v>0.84029946202174499</v>
      </c>
      <c r="H4247" t="str">
        <f t="shared" si="66"/>
        <v>Q4</v>
      </c>
    </row>
    <row r="4248" spans="1:8">
      <c r="A4248">
        <v>717580</v>
      </c>
      <c r="B4248" t="s">
        <v>3886</v>
      </c>
      <c r="C4248">
        <v>70</v>
      </c>
      <c r="D4248">
        <v>2.2491525406283999</v>
      </c>
      <c r="E4248">
        <v>157.440677843988</v>
      </c>
      <c r="F4248">
        <v>0.87555020503367098</v>
      </c>
      <c r="G4248">
        <v>0.84026184116474201</v>
      </c>
      <c r="H4248" t="str">
        <f t="shared" si="66"/>
        <v>Q4</v>
      </c>
    </row>
    <row r="4249" spans="1:8">
      <c r="A4249">
        <v>215589</v>
      </c>
      <c r="B4249" t="s">
        <v>3004</v>
      </c>
      <c r="C4249">
        <v>111</v>
      </c>
      <c r="D4249">
        <v>1.4179721747332099</v>
      </c>
      <c r="E4249">
        <v>157.394911395386</v>
      </c>
      <c r="F4249">
        <v>0.92084571686543004</v>
      </c>
      <c r="G4249">
        <v>0.84022422030773902</v>
      </c>
      <c r="H4249" t="str">
        <f t="shared" si="66"/>
        <v>Q4</v>
      </c>
    </row>
    <row r="4250" spans="1:8">
      <c r="A4250">
        <v>762158</v>
      </c>
      <c r="B4250" t="s">
        <v>3417</v>
      </c>
      <c r="C4250">
        <v>22</v>
      </c>
      <c r="D4250">
        <v>7.1536209349605198</v>
      </c>
      <c r="E4250">
        <v>157.379660569131</v>
      </c>
      <c r="F4250">
        <v>0.707723561942741</v>
      </c>
      <c r="G4250">
        <v>0.84018659945073504</v>
      </c>
      <c r="H4250" t="str">
        <f t="shared" si="66"/>
        <v>Q3</v>
      </c>
    </row>
    <row r="4251" spans="1:8">
      <c r="A4251">
        <v>700910</v>
      </c>
      <c r="B4251" t="s">
        <v>970</v>
      </c>
      <c r="C4251">
        <v>76</v>
      </c>
      <c r="D4251">
        <v>2.07049500956935</v>
      </c>
      <c r="E4251">
        <v>157.35762072727101</v>
      </c>
      <c r="F4251">
        <v>0.88612166585154795</v>
      </c>
      <c r="G4251">
        <v>0.84014897859373205</v>
      </c>
      <c r="H4251" t="str">
        <f t="shared" si="66"/>
        <v>Q4</v>
      </c>
    </row>
    <row r="4252" spans="1:8">
      <c r="A4252">
        <v>751835</v>
      </c>
      <c r="B4252" t="s">
        <v>1235</v>
      </c>
      <c r="C4252">
        <v>34</v>
      </c>
      <c r="D4252">
        <v>4.6250249916578001</v>
      </c>
      <c r="E4252">
        <v>157.250849716365</v>
      </c>
      <c r="F4252">
        <v>0.77969226138971404</v>
      </c>
      <c r="G4252">
        <v>0.84011135773672896</v>
      </c>
      <c r="H4252" t="str">
        <f t="shared" si="66"/>
        <v>Q4</v>
      </c>
    </row>
    <row r="4253" spans="1:8">
      <c r="A4253">
        <v>799431</v>
      </c>
      <c r="B4253" t="s">
        <v>4782</v>
      </c>
      <c r="C4253">
        <v>60</v>
      </c>
      <c r="D4253">
        <v>2.6207344109813402</v>
      </c>
      <c r="E4253">
        <v>157.24406465888001</v>
      </c>
      <c r="F4253">
        <v>0.85805650652721899</v>
      </c>
      <c r="G4253">
        <v>0.84007373687972597</v>
      </c>
      <c r="H4253" t="str">
        <f t="shared" si="66"/>
        <v>Q4</v>
      </c>
    </row>
    <row r="4254" spans="1:8">
      <c r="A4254">
        <v>767273</v>
      </c>
      <c r="B4254" t="s">
        <v>3045</v>
      </c>
      <c r="C4254">
        <v>39</v>
      </c>
      <c r="D4254">
        <v>4.0315949668486901</v>
      </c>
      <c r="E4254">
        <v>157.23220370709899</v>
      </c>
      <c r="F4254">
        <v>0.80087280388247195</v>
      </c>
      <c r="G4254">
        <v>0.84003611602272299</v>
      </c>
      <c r="H4254" t="str">
        <f t="shared" si="66"/>
        <v>Q4</v>
      </c>
    </row>
    <row r="4255" spans="1:8">
      <c r="A4255">
        <v>755609</v>
      </c>
      <c r="B4255" t="s">
        <v>781</v>
      </c>
      <c r="C4255">
        <v>32</v>
      </c>
      <c r="D4255">
        <v>4.9118115333840304</v>
      </c>
      <c r="E4255">
        <v>157.177969068289</v>
      </c>
      <c r="F4255">
        <v>0.77096422256498998</v>
      </c>
      <c r="G4255">
        <v>0.83999849516572</v>
      </c>
      <c r="H4255" t="str">
        <f t="shared" si="66"/>
        <v>Q3</v>
      </c>
    </row>
    <row r="4256" spans="1:8">
      <c r="A4256">
        <v>468480</v>
      </c>
      <c r="B4256" t="s">
        <v>5091</v>
      </c>
      <c r="C4256">
        <v>94</v>
      </c>
      <c r="D4256">
        <v>1.67152898366305</v>
      </c>
      <c r="E4256">
        <v>157.12372446432701</v>
      </c>
      <c r="F4256">
        <v>0.906700274632256</v>
      </c>
      <c r="G4256">
        <v>0.83996087430871702</v>
      </c>
      <c r="H4256" t="str">
        <f t="shared" si="66"/>
        <v>Q4</v>
      </c>
    </row>
    <row r="4257" spans="1:8">
      <c r="A4257">
        <v>766955</v>
      </c>
      <c r="B4257" t="s">
        <v>3828</v>
      </c>
      <c r="C4257">
        <v>41</v>
      </c>
      <c r="D4257">
        <v>3.8322034587220402</v>
      </c>
      <c r="E4257">
        <v>157.12034180760401</v>
      </c>
      <c r="F4257">
        <v>0.80787028328505295</v>
      </c>
      <c r="G4257">
        <v>0.83992325345171404</v>
      </c>
      <c r="H4257" t="str">
        <f t="shared" si="66"/>
        <v>Q4</v>
      </c>
    </row>
    <row r="4258" spans="1:8">
      <c r="A4258">
        <v>695857</v>
      </c>
      <c r="B4258" t="s">
        <v>2399</v>
      </c>
      <c r="C4258">
        <v>99</v>
      </c>
      <c r="D4258">
        <v>1.58697140986344</v>
      </c>
      <c r="E4258">
        <v>157.11016957648101</v>
      </c>
      <c r="F4258">
        <v>0.91076332718859299</v>
      </c>
      <c r="G4258">
        <v>0.83988563259471005</v>
      </c>
      <c r="H4258" t="str">
        <f t="shared" si="66"/>
        <v>Q4</v>
      </c>
    </row>
    <row r="4259" spans="1:8">
      <c r="A4259">
        <v>638521</v>
      </c>
      <c r="B4259" t="s">
        <v>3884</v>
      </c>
      <c r="C4259">
        <v>103</v>
      </c>
      <c r="D4259">
        <v>1.52520974781545</v>
      </c>
      <c r="E4259">
        <v>157.096604024991</v>
      </c>
      <c r="F4259">
        <v>0.91433730860388995</v>
      </c>
      <c r="G4259">
        <v>0.83984801173770696</v>
      </c>
      <c r="H4259" t="str">
        <f t="shared" si="66"/>
        <v>Q4</v>
      </c>
    </row>
    <row r="4260" spans="1:8">
      <c r="A4260">
        <v>817260</v>
      </c>
      <c r="B4260" t="s">
        <v>637</v>
      </c>
      <c r="C4260">
        <v>30</v>
      </c>
      <c r="D4260">
        <v>5.23632773508628</v>
      </c>
      <c r="E4260">
        <v>157.08983205258801</v>
      </c>
      <c r="F4260">
        <v>0.760430382604116</v>
      </c>
      <c r="G4260">
        <v>0.83981039088070397</v>
      </c>
      <c r="H4260" t="str">
        <f t="shared" si="66"/>
        <v>Q3</v>
      </c>
    </row>
    <row r="4261" spans="1:8">
      <c r="A4261">
        <v>700727</v>
      </c>
      <c r="B4261" t="s">
        <v>3580</v>
      </c>
      <c r="C4261">
        <v>76</v>
      </c>
      <c r="D4261">
        <v>2.0665476833911298</v>
      </c>
      <c r="E4261">
        <v>157.05762393772599</v>
      </c>
      <c r="F4261">
        <v>0.88612166585154795</v>
      </c>
      <c r="G4261">
        <v>0.83977277002370099</v>
      </c>
      <c r="H4261" t="str">
        <f t="shared" si="66"/>
        <v>Q4</v>
      </c>
    </row>
    <row r="4262" spans="1:8">
      <c r="A4262">
        <v>794468</v>
      </c>
      <c r="B4262" t="s">
        <v>1420</v>
      </c>
      <c r="C4262">
        <v>46</v>
      </c>
      <c r="D4262">
        <v>3.4134856182272002</v>
      </c>
      <c r="E4262">
        <v>157.02033843845101</v>
      </c>
      <c r="F4262">
        <v>0.82378390579737404</v>
      </c>
      <c r="G4262">
        <v>0.839735149166698</v>
      </c>
      <c r="H4262" t="str">
        <f t="shared" si="66"/>
        <v>Q4</v>
      </c>
    </row>
    <row r="4263" spans="1:8">
      <c r="A4263">
        <v>819826</v>
      </c>
      <c r="B4263" t="s">
        <v>3927</v>
      </c>
      <c r="C4263">
        <v>21</v>
      </c>
      <c r="D4263">
        <v>7.4757062608287503</v>
      </c>
      <c r="E4263">
        <v>156.98983147740401</v>
      </c>
      <c r="F4263">
        <v>0.70008652797110704</v>
      </c>
      <c r="G4263">
        <v>0.83969752830969502</v>
      </c>
      <c r="H4263" t="str">
        <f t="shared" si="66"/>
        <v>Q3</v>
      </c>
    </row>
    <row r="4264" spans="1:8">
      <c r="A4264">
        <v>750961</v>
      </c>
      <c r="B4264" t="s">
        <v>4155</v>
      </c>
      <c r="C4264">
        <v>57</v>
      </c>
      <c r="D4264">
        <v>2.7534938670629501</v>
      </c>
      <c r="E4264">
        <v>156.94915042258799</v>
      </c>
      <c r="F4264">
        <v>0.851849065121703</v>
      </c>
      <c r="G4264">
        <v>0.83965990745269203</v>
      </c>
      <c r="H4264" t="str">
        <f t="shared" si="66"/>
        <v>Q4</v>
      </c>
    </row>
    <row r="4265" spans="1:8">
      <c r="A4265">
        <v>636586</v>
      </c>
      <c r="B4265" t="s">
        <v>2342</v>
      </c>
      <c r="C4265">
        <v>54</v>
      </c>
      <c r="D4265">
        <v>2.9052102403646298</v>
      </c>
      <c r="E4265">
        <v>156.88135297969001</v>
      </c>
      <c r="F4265">
        <v>0.84515255257514799</v>
      </c>
      <c r="G4265">
        <v>0.83962228659568905</v>
      </c>
      <c r="H4265" t="str">
        <f t="shared" si="66"/>
        <v>Q4</v>
      </c>
    </row>
    <row r="4266" spans="1:8">
      <c r="A4266">
        <v>720346</v>
      </c>
      <c r="B4266" t="s">
        <v>1003</v>
      </c>
      <c r="C4266">
        <v>282</v>
      </c>
      <c r="D4266">
        <v>0.55622071802206596</v>
      </c>
      <c r="E4266">
        <v>156.85424248222299</v>
      </c>
      <c r="F4266">
        <v>0.97359015838380802</v>
      </c>
      <c r="G4266">
        <v>0.83958466573868595</v>
      </c>
      <c r="H4266" t="str">
        <f t="shared" si="66"/>
        <v>Q2</v>
      </c>
    </row>
    <row r="4267" spans="1:8">
      <c r="A4267">
        <v>796275</v>
      </c>
      <c r="B4267" t="s">
        <v>3482</v>
      </c>
      <c r="C4267">
        <v>66</v>
      </c>
      <c r="D4267">
        <v>2.37657930137533</v>
      </c>
      <c r="E4267">
        <v>156.85423389077201</v>
      </c>
      <c r="F4267">
        <v>0.86968135134118396</v>
      </c>
      <c r="G4267">
        <v>0.83954704488168197</v>
      </c>
      <c r="H4267" t="str">
        <f t="shared" si="66"/>
        <v>Q4</v>
      </c>
    </row>
    <row r="4268" spans="1:8">
      <c r="A4268">
        <v>713032</v>
      </c>
      <c r="B4268" t="s">
        <v>1536</v>
      </c>
      <c r="C4268">
        <v>40</v>
      </c>
      <c r="D4268">
        <v>3.9209322619717599</v>
      </c>
      <c r="E4268">
        <v>156.83729047886999</v>
      </c>
      <c r="F4268">
        <v>0.804522027011775</v>
      </c>
      <c r="G4268">
        <v>0.83950942402467899</v>
      </c>
      <c r="H4268" t="str">
        <f t="shared" si="66"/>
        <v>Q4</v>
      </c>
    </row>
    <row r="4269" spans="1:8">
      <c r="A4269">
        <v>760295</v>
      </c>
      <c r="B4269" t="s">
        <v>3366</v>
      </c>
      <c r="C4269">
        <v>38</v>
      </c>
      <c r="D4269">
        <v>4.1227475396896702</v>
      </c>
      <c r="E4269">
        <v>156.66440650820701</v>
      </c>
      <c r="F4269">
        <v>0.79696023475414801</v>
      </c>
      <c r="G4269">
        <v>0.839471803167676</v>
      </c>
      <c r="H4269" t="str">
        <f t="shared" si="66"/>
        <v>Q4</v>
      </c>
    </row>
    <row r="4270" spans="1:8">
      <c r="A4270">
        <v>695263</v>
      </c>
      <c r="B4270" t="s">
        <v>5200</v>
      </c>
      <c r="C4270">
        <v>58</v>
      </c>
      <c r="D4270">
        <v>2.6992693720064298</v>
      </c>
      <c r="E4270">
        <v>156.557623576373</v>
      </c>
      <c r="F4270">
        <v>0.853993453970881</v>
      </c>
      <c r="G4270">
        <v>0.83943418231067302</v>
      </c>
      <c r="H4270" t="str">
        <f t="shared" si="66"/>
        <v>Q4</v>
      </c>
    </row>
    <row r="4271" spans="1:8">
      <c r="A4271">
        <v>738921</v>
      </c>
      <c r="B4271" t="s">
        <v>1053</v>
      </c>
      <c r="C4271">
        <v>138</v>
      </c>
      <c r="D4271">
        <v>1.1337877861966501</v>
      </c>
      <c r="E4271">
        <v>156.46271449513699</v>
      </c>
      <c r="F4271">
        <v>0.93747413566080995</v>
      </c>
      <c r="G4271">
        <v>0.83939656145367003</v>
      </c>
      <c r="H4271" t="str">
        <f t="shared" si="66"/>
        <v>Q4</v>
      </c>
    </row>
    <row r="4272" spans="1:8">
      <c r="A4272">
        <v>619506</v>
      </c>
      <c r="B4272" t="s">
        <v>4817</v>
      </c>
      <c r="C4272">
        <v>120</v>
      </c>
      <c r="D4272">
        <v>1.3033191987779</v>
      </c>
      <c r="E4272">
        <v>156.39830385334801</v>
      </c>
      <c r="F4272">
        <v>0.92731650426996703</v>
      </c>
      <c r="G4272">
        <v>0.83935894059666705</v>
      </c>
      <c r="H4272" t="str">
        <f t="shared" si="66"/>
        <v>Q4</v>
      </c>
    </row>
    <row r="4273" spans="1:8">
      <c r="A4273">
        <v>733931</v>
      </c>
      <c r="B4273" t="s">
        <v>4983</v>
      </c>
      <c r="C4273">
        <v>78</v>
      </c>
      <c r="D4273">
        <v>2.0050412861821401</v>
      </c>
      <c r="E4273">
        <v>156.39322032220699</v>
      </c>
      <c r="F4273">
        <v>0.88867988412776</v>
      </c>
      <c r="G4273">
        <v>0.83932131973966395</v>
      </c>
      <c r="H4273" t="str">
        <f t="shared" si="66"/>
        <v>Q4</v>
      </c>
    </row>
    <row r="4274" spans="1:8">
      <c r="A4274">
        <v>842314</v>
      </c>
      <c r="B4274" t="s">
        <v>1493</v>
      </c>
      <c r="C4274">
        <v>49</v>
      </c>
      <c r="D4274">
        <v>3.1910065257427598</v>
      </c>
      <c r="E4274">
        <v>156.359319761395</v>
      </c>
      <c r="F4274">
        <v>0.83258718633610496</v>
      </c>
      <c r="G4274">
        <v>0.83928369888266097</v>
      </c>
      <c r="H4274" t="str">
        <f t="shared" si="66"/>
        <v>Q4</v>
      </c>
    </row>
    <row r="4275" spans="1:8">
      <c r="A4275">
        <v>700938</v>
      </c>
      <c r="B4275" t="s">
        <v>1725</v>
      </c>
      <c r="C4275">
        <v>104</v>
      </c>
      <c r="D4275">
        <v>1.50223273309306</v>
      </c>
      <c r="E4275">
        <v>156.23220424167801</v>
      </c>
      <c r="F4275">
        <v>0.91524020917196502</v>
      </c>
      <c r="G4275">
        <v>0.83924607802565698</v>
      </c>
      <c r="H4275" t="str">
        <f t="shared" si="66"/>
        <v>Q4</v>
      </c>
    </row>
    <row r="4276" spans="1:8">
      <c r="A4276">
        <v>764088</v>
      </c>
      <c r="B4276" t="s">
        <v>2607</v>
      </c>
      <c r="C4276">
        <v>59</v>
      </c>
      <c r="D4276">
        <v>2.6478884820589599</v>
      </c>
      <c r="E4276">
        <v>156.22542044147801</v>
      </c>
      <c r="F4276">
        <v>0.85617546367706299</v>
      </c>
      <c r="G4276">
        <v>0.839208457168654</v>
      </c>
      <c r="H4276" t="str">
        <f t="shared" si="66"/>
        <v>Q4</v>
      </c>
    </row>
    <row r="4277" spans="1:8">
      <c r="A4277">
        <v>731898</v>
      </c>
      <c r="B4277" t="s">
        <v>1501</v>
      </c>
      <c r="C4277">
        <v>65</v>
      </c>
      <c r="D4277">
        <v>2.40338983587348</v>
      </c>
      <c r="E4277">
        <v>156.22033933177599</v>
      </c>
      <c r="F4277">
        <v>0.86802603363304598</v>
      </c>
      <c r="G4277">
        <v>0.83917083631165101</v>
      </c>
      <c r="H4277" t="str">
        <f t="shared" si="66"/>
        <v>Q4</v>
      </c>
    </row>
    <row r="4278" spans="1:8">
      <c r="A4278">
        <v>726578</v>
      </c>
      <c r="B4278" t="s">
        <v>4004</v>
      </c>
      <c r="C4278">
        <v>26</v>
      </c>
      <c r="D4278">
        <v>6.00840936486538</v>
      </c>
      <c r="E4278">
        <v>156.21864348650001</v>
      </c>
      <c r="F4278">
        <v>0.73706783040517698</v>
      </c>
      <c r="G4278">
        <v>0.83913321545464803</v>
      </c>
      <c r="H4278" t="str">
        <f t="shared" si="66"/>
        <v>Q3</v>
      </c>
    </row>
    <row r="4279" spans="1:8">
      <c r="A4279">
        <v>252298</v>
      </c>
      <c r="B4279" t="s">
        <v>1250</v>
      </c>
      <c r="C4279">
        <v>72</v>
      </c>
      <c r="D4279">
        <v>2.1696797985997498</v>
      </c>
      <c r="E4279">
        <v>156.216945499182</v>
      </c>
      <c r="F4279">
        <v>0.87957563673300498</v>
      </c>
      <c r="G4279">
        <v>0.83909559459764504</v>
      </c>
      <c r="H4279" t="str">
        <f t="shared" si="66"/>
        <v>Q4</v>
      </c>
    </row>
    <row r="4280" spans="1:8">
      <c r="A4280">
        <v>712411</v>
      </c>
      <c r="B4280" t="s">
        <v>2357</v>
      </c>
      <c r="C4280">
        <v>28</v>
      </c>
      <c r="D4280">
        <v>5.5786926565425698</v>
      </c>
      <c r="E4280">
        <v>156.20339438319201</v>
      </c>
      <c r="F4280">
        <v>0.74974605921522897</v>
      </c>
      <c r="G4280">
        <v>0.83905797374064195</v>
      </c>
      <c r="H4280" t="str">
        <f t="shared" si="66"/>
        <v>Q3</v>
      </c>
    </row>
    <row r="4281" spans="1:8">
      <c r="A4281">
        <v>547052</v>
      </c>
      <c r="B4281" t="s">
        <v>2100</v>
      </c>
      <c r="C4281">
        <v>49</v>
      </c>
      <c r="D4281">
        <v>3.1872016054635099</v>
      </c>
      <c r="E4281">
        <v>156.17287866771201</v>
      </c>
      <c r="F4281">
        <v>0.83258718633610496</v>
      </c>
      <c r="G4281">
        <v>0.83902035288363896</v>
      </c>
      <c r="H4281" t="str">
        <f t="shared" si="66"/>
        <v>Q4</v>
      </c>
    </row>
    <row r="4282" spans="1:8">
      <c r="A4282">
        <v>846347</v>
      </c>
      <c r="B4282" t="s">
        <v>1614</v>
      </c>
      <c r="C4282">
        <v>38</v>
      </c>
      <c r="D4282">
        <v>4.1097680891030697</v>
      </c>
      <c r="E4282">
        <v>156.17118738591699</v>
      </c>
      <c r="F4282">
        <v>0.79696023475414801</v>
      </c>
      <c r="G4282">
        <v>0.83898273202663598</v>
      </c>
      <c r="H4282" t="str">
        <f t="shared" si="66"/>
        <v>Q4</v>
      </c>
    </row>
    <row r="4283" spans="1:8">
      <c r="A4283">
        <v>797443</v>
      </c>
      <c r="B4283" t="s">
        <v>1473</v>
      </c>
      <c r="C4283">
        <v>25</v>
      </c>
      <c r="D4283">
        <v>6.24379663169384</v>
      </c>
      <c r="E4283">
        <v>156.094915792346</v>
      </c>
      <c r="F4283">
        <v>0.72991986757458305</v>
      </c>
      <c r="G4283">
        <v>0.838945111169632</v>
      </c>
      <c r="H4283" t="str">
        <f t="shared" si="66"/>
        <v>Q3</v>
      </c>
    </row>
    <row r="4284" spans="1:8">
      <c r="A4284">
        <v>588299</v>
      </c>
      <c r="B4284" t="s">
        <v>4704</v>
      </c>
      <c r="C4284">
        <v>57</v>
      </c>
      <c r="D4284">
        <v>2.7383288286887799</v>
      </c>
      <c r="E4284">
        <v>156.08474323525999</v>
      </c>
      <c r="F4284">
        <v>0.851849065121703</v>
      </c>
      <c r="G4284">
        <v>0.83890749031262901</v>
      </c>
      <c r="H4284" t="str">
        <f t="shared" si="66"/>
        <v>Q4</v>
      </c>
    </row>
    <row r="4285" spans="1:8">
      <c r="A4285">
        <v>790820</v>
      </c>
      <c r="B4285" t="s">
        <v>3347</v>
      </c>
      <c r="C4285">
        <v>26</v>
      </c>
      <c r="D4285">
        <v>6.0022815488852004</v>
      </c>
      <c r="E4285">
        <v>156.059320271015</v>
      </c>
      <c r="F4285">
        <v>0.73706783040517698</v>
      </c>
      <c r="G4285">
        <v>0.83886986945562603</v>
      </c>
      <c r="H4285" t="str">
        <f t="shared" si="66"/>
        <v>Q3</v>
      </c>
    </row>
    <row r="4286" spans="1:8">
      <c r="A4286">
        <v>820464</v>
      </c>
      <c r="B4286" t="s">
        <v>3013</v>
      </c>
      <c r="C4286">
        <v>50</v>
      </c>
      <c r="D4286">
        <v>3.1209491081535798</v>
      </c>
      <c r="E4286">
        <v>156.047455407679</v>
      </c>
      <c r="F4286">
        <v>0.83559685489635405</v>
      </c>
      <c r="G4286">
        <v>0.83883224859862304</v>
      </c>
      <c r="H4286" t="str">
        <f t="shared" si="66"/>
        <v>Q4</v>
      </c>
    </row>
    <row r="4287" spans="1:8">
      <c r="A4287">
        <v>694131</v>
      </c>
      <c r="B4287" t="s">
        <v>3929</v>
      </c>
      <c r="C4287">
        <v>198</v>
      </c>
      <c r="D4287">
        <v>0.78774182822066097</v>
      </c>
      <c r="E4287">
        <v>155.97288198769101</v>
      </c>
      <c r="F4287">
        <v>0.95846657386855305</v>
      </c>
      <c r="G4287">
        <v>0.83879462774161995</v>
      </c>
      <c r="H4287" t="str">
        <f t="shared" si="66"/>
        <v>Q2</v>
      </c>
    </row>
    <row r="4288" spans="1:8">
      <c r="A4288">
        <v>567728</v>
      </c>
      <c r="B4288" t="s">
        <v>2848</v>
      </c>
      <c r="C4288">
        <v>83</v>
      </c>
      <c r="D4288">
        <v>1.87908920672644</v>
      </c>
      <c r="E4288">
        <v>155.964404158294</v>
      </c>
      <c r="F4288">
        <v>0.89530115496031004</v>
      </c>
      <c r="G4288">
        <v>0.83875700688461696</v>
      </c>
      <c r="H4288" t="str">
        <f t="shared" si="66"/>
        <v>Q4</v>
      </c>
    </row>
    <row r="4289" spans="1:8">
      <c r="A4289">
        <v>731990</v>
      </c>
      <c r="B4289" t="s">
        <v>3747</v>
      </c>
      <c r="C4289">
        <v>38</v>
      </c>
      <c r="D4289">
        <v>4.1035682943306497</v>
      </c>
      <c r="E4289">
        <v>155.93559518456499</v>
      </c>
      <c r="F4289">
        <v>0.79696023475414801</v>
      </c>
      <c r="G4289">
        <v>0.83871938602761398</v>
      </c>
      <c r="H4289" t="str">
        <f t="shared" si="66"/>
        <v>Q4</v>
      </c>
    </row>
    <row r="4290" spans="1:8">
      <c r="A4290">
        <v>795549</v>
      </c>
      <c r="B4290" t="s">
        <v>2137</v>
      </c>
      <c r="C4290">
        <v>28</v>
      </c>
      <c r="D4290">
        <v>5.56470956653357</v>
      </c>
      <c r="E4290">
        <v>155.81186786294001</v>
      </c>
      <c r="F4290">
        <v>0.74974605921522897</v>
      </c>
      <c r="G4290">
        <v>0.83868176517061099</v>
      </c>
      <c r="H4290" t="str">
        <f t="shared" si="66"/>
        <v>Q3</v>
      </c>
    </row>
    <row r="4291" spans="1:8">
      <c r="A4291">
        <v>800803</v>
      </c>
      <c r="B4291" t="s">
        <v>356</v>
      </c>
      <c r="C4291">
        <v>25</v>
      </c>
      <c r="D4291">
        <v>6.2322711050510398</v>
      </c>
      <c r="E4291">
        <v>155.80677762627599</v>
      </c>
      <c r="F4291">
        <v>0.72991986757458305</v>
      </c>
      <c r="G4291">
        <v>0.83864414431360701</v>
      </c>
      <c r="H4291" t="str">
        <f t="shared" ref="H4291:H4354" si="67">IF(C4291&gt;$J$2,
   IF(D4291&gt;$J$3,"Q1","Q2"),
   IF(D4291&gt;$J$3,"Q3","Q4"))</f>
        <v>Q3</v>
      </c>
    </row>
    <row r="4292" spans="1:8">
      <c r="A4292">
        <v>787180</v>
      </c>
      <c r="B4292" t="s">
        <v>4164</v>
      </c>
      <c r="C4292">
        <v>14</v>
      </c>
      <c r="D4292">
        <v>11.1249394714832</v>
      </c>
      <c r="E4292">
        <v>155.749152600765</v>
      </c>
      <c r="F4292">
        <v>0.62070651969451895</v>
      </c>
      <c r="G4292">
        <v>0.83860652345660402</v>
      </c>
      <c r="H4292" t="str">
        <f t="shared" si="67"/>
        <v>Q3</v>
      </c>
    </row>
    <row r="4293" spans="1:8">
      <c r="A4293">
        <v>671217</v>
      </c>
      <c r="B4293" t="s">
        <v>2498</v>
      </c>
      <c r="C4293">
        <v>64</v>
      </c>
      <c r="D4293">
        <v>2.4328389830770898</v>
      </c>
      <c r="E4293">
        <v>155.701694916934</v>
      </c>
      <c r="F4293">
        <v>0.86633309506790601</v>
      </c>
      <c r="G4293">
        <v>0.83856890259960104</v>
      </c>
      <c r="H4293" t="str">
        <f t="shared" si="67"/>
        <v>Q4</v>
      </c>
    </row>
    <row r="4294" spans="1:8">
      <c r="A4294">
        <v>386678</v>
      </c>
      <c r="B4294" t="s">
        <v>574</v>
      </c>
      <c r="C4294">
        <v>63</v>
      </c>
      <c r="D4294">
        <v>2.4707828988395</v>
      </c>
      <c r="E4294">
        <v>155.65932262688901</v>
      </c>
      <c r="F4294">
        <v>0.86445205221775001</v>
      </c>
      <c r="G4294">
        <v>0.83853128174259794</v>
      </c>
      <c r="H4294" t="str">
        <f t="shared" si="67"/>
        <v>Q4</v>
      </c>
    </row>
    <row r="4295" spans="1:8">
      <c r="A4295">
        <v>748440</v>
      </c>
      <c r="B4295" t="s">
        <v>2361</v>
      </c>
      <c r="C4295">
        <v>51</v>
      </c>
      <c r="D4295">
        <v>3.0514456039550302</v>
      </c>
      <c r="E4295">
        <v>155.623725801706</v>
      </c>
      <c r="F4295">
        <v>0.83762838117452298</v>
      </c>
      <c r="G4295">
        <v>0.83849366088559496</v>
      </c>
      <c r="H4295" t="str">
        <f t="shared" si="67"/>
        <v>Q4</v>
      </c>
    </row>
    <row r="4296" spans="1:8">
      <c r="A4296">
        <v>766006</v>
      </c>
      <c r="B4296" t="s">
        <v>3260</v>
      </c>
      <c r="C4296">
        <v>47</v>
      </c>
      <c r="D4296">
        <v>3.3061665344111502</v>
      </c>
      <c r="E4296">
        <v>155.38982711732399</v>
      </c>
      <c r="F4296">
        <v>0.82641736578759295</v>
      </c>
      <c r="G4296">
        <v>0.83845604002859198</v>
      </c>
      <c r="H4296" t="str">
        <f t="shared" si="67"/>
        <v>Q4</v>
      </c>
    </row>
    <row r="4297" spans="1:8">
      <c r="A4297">
        <v>755226</v>
      </c>
      <c r="B4297" t="s">
        <v>3552</v>
      </c>
      <c r="C4297">
        <v>49</v>
      </c>
      <c r="D4297">
        <v>3.1707712962311101</v>
      </c>
      <c r="E4297">
        <v>155.36779351532499</v>
      </c>
      <c r="F4297">
        <v>0.83258718633610496</v>
      </c>
      <c r="G4297">
        <v>0.83841841917158899</v>
      </c>
      <c r="H4297" t="str">
        <f t="shared" si="67"/>
        <v>Q4</v>
      </c>
    </row>
    <row r="4298" spans="1:8">
      <c r="A4298">
        <v>608210</v>
      </c>
      <c r="B4298" t="s">
        <v>1458</v>
      </c>
      <c r="C4298">
        <v>108</v>
      </c>
      <c r="D4298">
        <v>1.4385592768020501</v>
      </c>
      <c r="E4298">
        <v>155.36440189462201</v>
      </c>
      <c r="F4298">
        <v>0.91866370715924905</v>
      </c>
      <c r="G4298">
        <v>0.83838079831458601</v>
      </c>
      <c r="H4298" t="str">
        <f t="shared" si="67"/>
        <v>Q4</v>
      </c>
    </row>
    <row r="4299" spans="1:8">
      <c r="A4299">
        <v>663825</v>
      </c>
      <c r="B4299" t="s">
        <v>1169</v>
      </c>
      <c r="C4299">
        <v>62</v>
      </c>
      <c r="D4299">
        <v>2.5056041236366</v>
      </c>
      <c r="E4299">
        <v>155.347455665469</v>
      </c>
      <c r="F4299">
        <v>0.86238290508257798</v>
      </c>
      <c r="G4299">
        <v>0.83834317745758202</v>
      </c>
      <c r="H4299" t="str">
        <f t="shared" si="67"/>
        <v>Q4</v>
      </c>
    </row>
    <row r="4300" spans="1:8">
      <c r="A4300">
        <v>775423</v>
      </c>
      <c r="B4300" t="s">
        <v>2329</v>
      </c>
      <c r="C4300">
        <v>34</v>
      </c>
      <c r="D4300">
        <v>4.56884355448625</v>
      </c>
      <c r="E4300">
        <v>155.34068085253199</v>
      </c>
      <c r="F4300">
        <v>0.77969226138971404</v>
      </c>
      <c r="G4300">
        <v>0.83830555660057904</v>
      </c>
      <c r="H4300" t="str">
        <f t="shared" si="67"/>
        <v>Q4</v>
      </c>
    </row>
    <row r="4301" spans="1:8">
      <c r="A4301">
        <v>734647</v>
      </c>
      <c r="B4301" t="s">
        <v>799</v>
      </c>
      <c r="C4301">
        <v>37</v>
      </c>
      <c r="D4301">
        <v>4.1983509637616798</v>
      </c>
      <c r="E4301">
        <v>155.33898565918199</v>
      </c>
      <c r="F4301">
        <v>0.79304766562582296</v>
      </c>
      <c r="G4301">
        <v>0.83826793574357605</v>
      </c>
      <c r="H4301" t="str">
        <f t="shared" si="67"/>
        <v>Q4</v>
      </c>
    </row>
    <row r="4302" spans="1:8">
      <c r="A4302">
        <v>799417</v>
      </c>
      <c r="B4302" t="s">
        <v>756</v>
      </c>
      <c r="C4302">
        <v>52</v>
      </c>
      <c r="D4302">
        <v>2.9866036493331198</v>
      </c>
      <c r="E4302">
        <v>155.30338976532201</v>
      </c>
      <c r="F4302">
        <v>0.84003611602272299</v>
      </c>
      <c r="G4302">
        <v>0.83823031488657296</v>
      </c>
      <c r="H4302" t="str">
        <f t="shared" si="67"/>
        <v>Q4</v>
      </c>
    </row>
    <row r="4303" spans="1:8">
      <c r="A4303">
        <v>787123</v>
      </c>
      <c r="B4303" t="s">
        <v>3680</v>
      </c>
      <c r="C4303">
        <v>54</v>
      </c>
      <c r="D4303">
        <v>2.87463899908794</v>
      </c>
      <c r="E4303">
        <v>155.23050595074901</v>
      </c>
      <c r="F4303">
        <v>0.84515255257514799</v>
      </c>
      <c r="G4303">
        <v>0.83819269402956997</v>
      </c>
      <c r="H4303" t="str">
        <f t="shared" si="67"/>
        <v>Q4</v>
      </c>
    </row>
    <row r="4304" spans="1:8">
      <c r="A4304">
        <v>683476</v>
      </c>
      <c r="B4304" t="s">
        <v>3270</v>
      </c>
      <c r="C4304">
        <v>24</v>
      </c>
      <c r="D4304">
        <v>6.4672315958887303</v>
      </c>
      <c r="E4304">
        <v>155.21355830133001</v>
      </c>
      <c r="F4304">
        <v>0.72284714645799597</v>
      </c>
      <c r="G4304">
        <v>0.83815507317256699</v>
      </c>
      <c r="H4304" t="str">
        <f t="shared" si="67"/>
        <v>Q3</v>
      </c>
    </row>
    <row r="4305" spans="1:8">
      <c r="A4305">
        <v>662866</v>
      </c>
      <c r="B4305" t="s">
        <v>4640</v>
      </c>
      <c r="C4305">
        <v>73</v>
      </c>
      <c r="D4305">
        <v>2.12340371249473</v>
      </c>
      <c r="E4305">
        <v>155.008471012115</v>
      </c>
      <c r="F4305">
        <v>0.88111809187013301</v>
      </c>
      <c r="G4305">
        <v>0.838117452315564</v>
      </c>
      <c r="H4305" t="str">
        <f t="shared" si="67"/>
        <v>Q4</v>
      </c>
    </row>
    <row r="4306" spans="1:8">
      <c r="A4306">
        <v>763393</v>
      </c>
      <c r="B4306" t="s">
        <v>2955</v>
      </c>
      <c r="C4306">
        <v>38</v>
      </c>
      <c r="D4306">
        <v>4.07734165752405</v>
      </c>
      <c r="E4306">
        <v>154.93898298591401</v>
      </c>
      <c r="F4306">
        <v>0.79696023475414801</v>
      </c>
      <c r="G4306">
        <v>0.83807983145856102</v>
      </c>
      <c r="H4306" t="str">
        <f t="shared" si="67"/>
        <v>Q4</v>
      </c>
    </row>
    <row r="4307" spans="1:8">
      <c r="A4307">
        <v>753372</v>
      </c>
      <c r="B4307" t="s">
        <v>1026</v>
      </c>
      <c r="C4307">
        <v>65</v>
      </c>
      <c r="D4307">
        <v>2.3836766111736098</v>
      </c>
      <c r="E4307">
        <v>154.938979726285</v>
      </c>
      <c r="F4307">
        <v>0.86802603363304598</v>
      </c>
      <c r="G4307">
        <v>0.83804221060155704</v>
      </c>
      <c r="H4307" t="str">
        <f t="shared" si="67"/>
        <v>Q4</v>
      </c>
    </row>
    <row r="4308" spans="1:8">
      <c r="A4308">
        <v>702188</v>
      </c>
      <c r="B4308" t="s">
        <v>174</v>
      </c>
      <c r="C4308">
        <v>42</v>
      </c>
      <c r="D4308">
        <v>3.6884988325514998</v>
      </c>
      <c r="E4308">
        <v>154.91695096716299</v>
      </c>
      <c r="F4308">
        <v>0.81103043527331597</v>
      </c>
      <c r="G4308">
        <v>0.83800458974455405</v>
      </c>
      <c r="H4308" t="str">
        <f t="shared" si="67"/>
        <v>Q4</v>
      </c>
    </row>
    <row r="4309" spans="1:8">
      <c r="A4309">
        <v>781659</v>
      </c>
      <c r="B4309" t="s">
        <v>4178</v>
      </c>
      <c r="C4309">
        <v>44</v>
      </c>
      <c r="D4309">
        <v>3.5203390204432301</v>
      </c>
      <c r="E4309">
        <v>154.89491689950199</v>
      </c>
      <c r="F4309">
        <v>0.817689326962868</v>
      </c>
      <c r="G4309">
        <v>0.83796696888755096</v>
      </c>
      <c r="H4309" t="str">
        <f t="shared" si="67"/>
        <v>Q4</v>
      </c>
    </row>
    <row r="4310" spans="1:8">
      <c r="A4310">
        <v>609357</v>
      </c>
      <c r="B4310" t="s">
        <v>3875</v>
      </c>
      <c r="C4310">
        <v>64</v>
      </c>
      <c r="D4310">
        <v>2.4199946514272601</v>
      </c>
      <c r="E4310">
        <v>154.87965769134499</v>
      </c>
      <c r="F4310">
        <v>0.86633309506790601</v>
      </c>
      <c r="G4310">
        <v>0.83792934803054797</v>
      </c>
      <c r="H4310" t="str">
        <f t="shared" si="67"/>
        <v>Q4</v>
      </c>
    </row>
    <row r="4311" spans="1:8">
      <c r="A4311">
        <v>686027</v>
      </c>
      <c r="B4311" t="s">
        <v>893</v>
      </c>
      <c r="C4311">
        <v>44</v>
      </c>
      <c r="D4311">
        <v>3.5197226457636499</v>
      </c>
      <c r="E4311">
        <v>154.86779641359999</v>
      </c>
      <c r="F4311">
        <v>0.817689326962868</v>
      </c>
      <c r="G4311">
        <v>0.83789172717354499</v>
      </c>
      <c r="H4311" t="str">
        <f t="shared" si="67"/>
        <v>Q4</v>
      </c>
    </row>
    <row r="4312" spans="1:8">
      <c r="A4312">
        <v>748141</v>
      </c>
      <c r="B4312" t="s">
        <v>2017</v>
      </c>
      <c r="C4312">
        <v>85</v>
      </c>
      <c r="D4312">
        <v>1.82121635277701</v>
      </c>
      <c r="E4312">
        <v>154.803389986046</v>
      </c>
      <c r="F4312">
        <v>0.89721981866746903</v>
      </c>
      <c r="G4312">
        <v>0.837854106316542</v>
      </c>
      <c r="H4312" t="str">
        <f t="shared" si="67"/>
        <v>Q4</v>
      </c>
    </row>
    <row r="4313" spans="1:8">
      <c r="A4313">
        <v>758153</v>
      </c>
      <c r="B4313" t="s">
        <v>2869</v>
      </c>
      <c r="C4313">
        <v>38</v>
      </c>
      <c r="D4313">
        <v>4.0732828017912404</v>
      </c>
      <c r="E4313">
        <v>154.784746468067</v>
      </c>
      <c r="F4313">
        <v>0.79696023475414801</v>
      </c>
      <c r="G4313">
        <v>0.83781648545953902</v>
      </c>
      <c r="H4313" t="str">
        <f t="shared" si="67"/>
        <v>Q4</v>
      </c>
    </row>
    <row r="4314" spans="1:8">
      <c r="A4314">
        <v>558986</v>
      </c>
      <c r="B4314" t="s">
        <v>3114</v>
      </c>
      <c r="C4314">
        <v>136</v>
      </c>
      <c r="D4314">
        <v>1.1381106509361401</v>
      </c>
      <c r="E4314">
        <v>154.783048527315</v>
      </c>
      <c r="F4314">
        <v>0.93630788909371399</v>
      </c>
      <c r="G4314">
        <v>0.83777886460253603</v>
      </c>
      <c r="H4314" t="str">
        <f t="shared" si="67"/>
        <v>Q4</v>
      </c>
    </row>
    <row r="4315" spans="1:8">
      <c r="A4315">
        <v>788463</v>
      </c>
      <c r="B4315" t="s">
        <v>1309</v>
      </c>
      <c r="C4315">
        <v>117</v>
      </c>
      <c r="D4315">
        <v>1.32116467043216</v>
      </c>
      <c r="E4315">
        <v>154.57626644056299</v>
      </c>
      <c r="F4315">
        <v>0.925247357134796</v>
      </c>
      <c r="G4315">
        <v>0.83774124374553205</v>
      </c>
      <c r="H4315" t="str">
        <f t="shared" si="67"/>
        <v>Q4</v>
      </c>
    </row>
    <row r="4316" spans="1:8">
      <c r="A4316">
        <v>830417</v>
      </c>
      <c r="B4316" t="s">
        <v>3159</v>
      </c>
      <c r="C4316">
        <v>50</v>
      </c>
      <c r="D4316">
        <v>3.0912541747093201</v>
      </c>
      <c r="E4316">
        <v>154.562708735466</v>
      </c>
      <c r="F4316">
        <v>0.83559685489635405</v>
      </c>
      <c r="G4316">
        <v>0.83770362288852895</v>
      </c>
      <c r="H4316" t="str">
        <f t="shared" si="67"/>
        <v>Q4</v>
      </c>
    </row>
    <row r="4317" spans="1:8">
      <c r="A4317">
        <v>815001</v>
      </c>
      <c r="B4317" t="s">
        <v>176</v>
      </c>
      <c r="C4317">
        <v>28</v>
      </c>
      <c r="D4317">
        <v>5.5196127189057203</v>
      </c>
      <c r="E4317">
        <v>154.54915612936</v>
      </c>
      <c r="F4317">
        <v>0.74974605921522897</v>
      </c>
      <c r="G4317">
        <v>0.83766600203152597</v>
      </c>
      <c r="H4317" t="str">
        <f t="shared" si="67"/>
        <v>Q3</v>
      </c>
    </row>
    <row r="4318" spans="1:8">
      <c r="A4318">
        <v>655434</v>
      </c>
      <c r="B4318" t="s">
        <v>4988</v>
      </c>
      <c r="C4318">
        <v>29</v>
      </c>
      <c r="D4318">
        <v>5.3292228358572897</v>
      </c>
      <c r="E4318">
        <v>154.54746223986101</v>
      </c>
      <c r="F4318">
        <v>0.75501297919566601</v>
      </c>
      <c r="G4318">
        <v>0.83762838117452298</v>
      </c>
      <c r="H4318" t="str">
        <f t="shared" si="67"/>
        <v>Q3</v>
      </c>
    </row>
    <row r="4319" spans="1:8">
      <c r="A4319">
        <v>714191</v>
      </c>
      <c r="B4319" t="s">
        <v>610</v>
      </c>
      <c r="C4319">
        <v>29</v>
      </c>
      <c r="D4319">
        <v>5.3285214279232402</v>
      </c>
      <c r="E4319">
        <v>154.527121409774</v>
      </c>
      <c r="F4319">
        <v>0.75501297919566601</v>
      </c>
      <c r="G4319">
        <v>0.83759076031752</v>
      </c>
      <c r="H4319" t="str">
        <f t="shared" si="67"/>
        <v>Q3</v>
      </c>
    </row>
    <row r="4320" spans="1:8">
      <c r="A4320">
        <v>802556</v>
      </c>
      <c r="B4320" t="s">
        <v>2611</v>
      </c>
      <c r="C4320">
        <v>19</v>
      </c>
      <c r="D4320">
        <v>8.1320250112759407</v>
      </c>
      <c r="E4320">
        <v>154.50847521424299</v>
      </c>
      <c r="F4320">
        <v>0.68195327489560198</v>
      </c>
      <c r="G4320">
        <v>0.83755313946051702</v>
      </c>
      <c r="H4320" t="str">
        <f t="shared" si="67"/>
        <v>Q3</v>
      </c>
    </row>
    <row r="4321" spans="1:8">
      <c r="A4321">
        <v>695325</v>
      </c>
      <c r="B4321" t="s">
        <v>3337</v>
      </c>
      <c r="C4321">
        <v>71</v>
      </c>
      <c r="D4321">
        <v>2.1758414909873198</v>
      </c>
      <c r="E4321">
        <v>154.48474586009999</v>
      </c>
      <c r="F4321">
        <v>0.87799556073887397</v>
      </c>
      <c r="G4321">
        <v>0.83751551860351403</v>
      </c>
      <c r="H4321" t="str">
        <f t="shared" si="67"/>
        <v>Q4</v>
      </c>
    </row>
    <row r="4322" spans="1:8">
      <c r="A4322">
        <v>693911</v>
      </c>
      <c r="B4322" t="s">
        <v>4794</v>
      </c>
      <c r="C4322">
        <v>115</v>
      </c>
      <c r="D4322">
        <v>1.3433308285944501</v>
      </c>
      <c r="E4322">
        <v>154.48304528836201</v>
      </c>
      <c r="F4322">
        <v>0.92370490199766797</v>
      </c>
      <c r="G4322">
        <v>0.83747789774651105</v>
      </c>
      <c r="H4322" t="str">
        <f t="shared" si="67"/>
        <v>Q4</v>
      </c>
    </row>
    <row r="4323" spans="1:8">
      <c r="A4323">
        <v>796574</v>
      </c>
      <c r="B4323" t="s">
        <v>973</v>
      </c>
      <c r="C4323">
        <v>19</v>
      </c>
      <c r="D4323">
        <v>8.1302408325044695</v>
      </c>
      <c r="E4323">
        <v>154.47457581758499</v>
      </c>
      <c r="F4323">
        <v>0.68195327489560198</v>
      </c>
      <c r="G4323">
        <v>0.83744027688950795</v>
      </c>
      <c r="H4323" t="str">
        <f t="shared" si="67"/>
        <v>Q3</v>
      </c>
    </row>
    <row r="4324" spans="1:8">
      <c r="A4324">
        <v>726897</v>
      </c>
      <c r="B4324" t="s">
        <v>1271</v>
      </c>
      <c r="C4324">
        <v>76</v>
      </c>
      <c r="D4324">
        <v>2.0324041068210801</v>
      </c>
      <c r="E4324">
        <v>154.46271211840201</v>
      </c>
      <c r="F4324">
        <v>0.88612166585154795</v>
      </c>
      <c r="G4324">
        <v>0.83740265603250397</v>
      </c>
      <c r="H4324" t="str">
        <f t="shared" si="67"/>
        <v>Q4</v>
      </c>
    </row>
    <row r="4325" spans="1:8">
      <c r="A4325">
        <v>717060</v>
      </c>
      <c r="B4325" t="s">
        <v>1140</v>
      </c>
      <c r="C4325">
        <v>31</v>
      </c>
      <c r="D4325">
        <v>4.9818480807927301</v>
      </c>
      <c r="E4325">
        <v>154.437290504575</v>
      </c>
      <c r="F4325">
        <v>0.766073511154584</v>
      </c>
      <c r="G4325">
        <v>0.83736503517550098</v>
      </c>
      <c r="H4325" t="str">
        <f t="shared" si="67"/>
        <v>Q3</v>
      </c>
    </row>
    <row r="4326" spans="1:8">
      <c r="A4326">
        <v>812189</v>
      </c>
      <c r="B4326" t="s">
        <v>1287</v>
      </c>
      <c r="C4326">
        <v>100</v>
      </c>
      <c r="D4326">
        <v>1.5442711324431</v>
      </c>
      <c r="E4326">
        <v>154.42711324430999</v>
      </c>
      <c r="F4326">
        <v>0.91155336518565899</v>
      </c>
      <c r="G4326">
        <v>0.837327414318498</v>
      </c>
      <c r="H4326" t="str">
        <f t="shared" si="67"/>
        <v>Q4</v>
      </c>
    </row>
    <row r="4327" spans="1:8">
      <c r="A4327">
        <v>703843</v>
      </c>
      <c r="B4327" t="s">
        <v>1293</v>
      </c>
      <c r="C4327">
        <v>117</v>
      </c>
      <c r="D4327">
        <v>1.31941180513041</v>
      </c>
      <c r="E4327">
        <v>154.37118120025801</v>
      </c>
      <c r="F4327">
        <v>0.925247357134796</v>
      </c>
      <c r="G4327">
        <v>0.83728979346149501</v>
      </c>
      <c r="H4327" t="str">
        <f t="shared" si="67"/>
        <v>Q4</v>
      </c>
    </row>
    <row r="4328" spans="1:8">
      <c r="A4328">
        <v>564448</v>
      </c>
      <c r="B4328" t="s">
        <v>913</v>
      </c>
      <c r="C4328">
        <v>81</v>
      </c>
      <c r="D4328">
        <v>1.90581703604555</v>
      </c>
      <c r="E4328">
        <v>154.37117991969001</v>
      </c>
      <c r="F4328">
        <v>0.89293104096911302</v>
      </c>
      <c r="G4328">
        <v>0.83725217260449203</v>
      </c>
      <c r="H4328" t="str">
        <f t="shared" si="67"/>
        <v>Q4</v>
      </c>
    </row>
    <row r="4329" spans="1:8">
      <c r="A4329">
        <v>510074</v>
      </c>
      <c r="B4329" t="s">
        <v>477</v>
      </c>
      <c r="C4329">
        <v>58</v>
      </c>
      <c r="D4329">
        <v>2.6612214503231701</v>
      </c>
      <c r="E4329">
        <v>154.35084411874399</v>
      </c>
      <c r="F4329">
        <v>0.853993453970881</v>
      </c>
      <c r="G4329">
        <v>0.83721455174748904</v>
      </c>
      <c r="H4329" t="str">
        <f t="shared" si="67"/>
        <v>Q4</v>
      </c>
    </row>
    <row r="4330" spans="1:8">
      <c r="A4330">
        <v>520427</v>
      </c>
      <c r="B4330" t="s">
        <v>5224</v>
      </c>
      <c r="C4330">
        <v>106</v>
      </c>
      <c r="D4330">
        <v>1.45614002084465</v>
      </c>
      <c r="E4330">
        <v>154.350842209533</v>
      </c>
      <c r="F4330">
        <v>0.91730935630713695</v>
      </c>
      <c r="G4330">
        <v>0.83717693089048595</v>
      </c>
      <c r="H4330" t="str">
        <f t="shared" si="67"/>
        <v>Q4</v>
      </c>
    </row>
    <row r="4331" spans="1:8">
      <c r="A4331">
        <v>824995</v>
      </c>
      <c r="B4331" t="s">
        <v>1842</v>
      </c>
      <c r="C4331">
        <v>66</v>
      </c>
      <c r="D4331">
        <v>2.3381355938247701</v>
      </c>
      <c r="E4331">
        <v>154.316949192435</v>
      </c>
      <c r="F4331">
        <v>0.86968135134118396</v>
      </c>
      <c r="G4331">
        <v>0.83713931003348296</v>
      </c>
      <c r="H4331" t="str">
        <f t="shared" si="67"/>
        <v>Q4</v>
      </c>
    </row>
    <row r="4332" spans="1:8">
      <c r="A4332">
        <v>689986</v>
      </c>
      <c r="B4332" t="s">
        <v>5004</v>
      </c>
      <c r="C4332">
        <v>20</v>
      </c>
      <c r="D4332">
        <v>7.7154235728084997</v>
      </c>
      <c r="E4332">
        <v>154.30847145617</v>
      </c>
      <c r="F4332">
        <v>0.69196042285843296</v>
      </c>
      <c r="G4332">
        <v>0.83710168917647898</v>
      </c>
      <c r="H4332" t="str">
        <f t="shared" si="67"/>
        <v>Q3</v>
      </c>
    </row>
    <row r="4333" spans="1:8">
      <c r="A4333">
        <v>761248</v>
      </c>
      <c r="B4333" t="s">
        <v>1629</v>
      </c>
      <c r="C4333">
        <v>63</v>
      </c>
      <c r="D4333">
        <v>2.447672856469</v>
      </c>
      <c r="E4333">
        <v>154.20338995754699</v>
      </c>
      <c r="F4333">
        <v>0.86445205221775001</v>
      </c>
      <c r="G4333">
        <v>0.837064068319476</v>
      </c>
      <c r="H4333" t="str">
        <f t="shared" si="67"/>
        <v>Q4</v>
      </c>
    </row>
    <row r="4334" spans="1:8">
      <c r="A4334">
        <v>744934</v>
      </c>
      <c r="B4334" t="s">
        <v>2475</v>
      </c>
      <c r="C4334">
        <v>106</v>
      </c>
      <c r="D4334">
        <v>1.4547489104651901</v>
      </c>
      <c r="E4334">
        <v>154.20338450931001</v>
      </c>
      <c r="F4334">
        <v>0.91730935630713695</v>
      </c>
      <c r="G4334">
        <v>0.83702644746247301</v>
      </c>
      <c r="H4334" t="str">
        <f t="shared" si="67"/>
        <v>Q4</v>
      </c>
    </row>
    <row r="4335" spans="1:8">
      <c r="A4335">
        <v>789382</v>
      </c>
      <c r="B4335" t="s">
        <v>4281</v>
      </c>
      <c r="C4335">
        <v>11</v>
      </c>
      <c r="D4335">
        <v>13.996147973970899</v>
      </c>
      <c r="E4335">
        <v>153.95762771368001</v>
      </c>
      <c r="F4335">
        <v>0.56957977502727497</v>
      </c>
      <c r="G4335">
        <v>0.83698882660547003</v>
      </c>
      <c r="H4335" t="str">
        <f t="shared" si="67"/>
        <v>Q3</v>
      </c>
    </row>
    <row r="4336" spans="1:8">
      <c r="A4336">
        <v>642960</v>
      </c>
      <c r="B4336" t="s">
        <v>3856</v>
      </c>
      <c r="C4336">
        <v>36</v>
      </c>
      <c r="D4336">
        <v>4.2761299241748096</v>
      </c>
      <c r="E4336">
        <v>153.94067727029301</v>
      </c>
      <c r="F4336">
        <v>0.78890937135547901</v>
      </c>
      <c r="G4336">
        <v>0.83695120574846704</v>
      </c>
      <c r="H4336" t="str">
        <f t="shared" si="67"/>
        <v>Q4</v>
      </c>
    </row>
    <row r="4337" spans="1:8">
      <c r="A4337">
        <v>733549</v>
      </c>
      <c r="B4337" t="s">
        <v>3874</v>
      </c>
      <c r="C4337">
        <v>71</v>
      </c>
      <c r="D4337">
        <v>2.16815469616001</v>
      </c>
      <c r="E4337">
        <v>153.93898342736099</v>
      </c>
      <c r="F4337">
        <v>0.87799556073887397</v>
      </c>
      <c r="G4337">
        <v>0.83691358489146395</v>
      </c>
      <c r="H4337" t="str">
        <f t="shared" si="67"/>
        <v>Q4</v>
      </c>
    </row>
    <row r="4338" spans="1:8">
      <c r="A4338">
        <v>774992</v>
      </c>
      <c r="B4338" t="s">
        <v>4453</v>
      </c>
      <c r="C4338">
        <v>23</v>
      </c>
      <c r="D4338">
        <v>6.6919675015884899</v>
      </c>
      <c r="E4338">
        <v>153.91525253653501</v>
      </c>
      <c r="F4338">
        <v>0.71547345848538402</v>
      </c>
      <c r="G4338">
        <v>0.83687596403446096</v>
      </c>
      <c r="H4338" t="str">
        <f t="shared" si="67"/>
        <v>Q3</v>
      </c>
    </row>
    <row r="4339" spans="1:8">
      <c r="A4339">
        <v>612891</v>
      </c>
      <c r="B4339" t="s">
        <v>3782</v>
      </c>
      <c r="C4339">
        <v>39</v>
      </c>
      <c r="D4339">
        <v>3.9464580754821101</v>
      </c>
      <c r="E4339">
        <v>153.91186494380199</v>
      </c>
      <c r="F4339">
        <v>0.80087280388247195</v>
      </c>
      <c r="G4339">
        <v>0.83683834317745798</v>
      </c>
      <c r="H4339" t="str">
        <f t="shared" si="67"/>
        <v>Q4</v>
      </c>
    </row>
    <row r="4340" spans="1:8">
      <c r="A4340">
        <v>793851</v>
      </c>
      <c r="B4340" t="s">
        <v>3350</v>
      </c>
      <c r="C4340">
        <v>32</v>
      </c>
      <c r="D4340">
        <v>4.8091632081195703</v>
      </c>
      <c r="E4340">
        <v>153.89322265982599</v>
      </c>
      <c r="F4340">
        <v>0.77096422256498998</v>
      </c>
      <c r="G4340">
        <v>0.83680072232045399</v>
      </c>
      <c r="H4340" t="str">
        <f t="shared" si="67"/>
        <v>Q4</v>
      </c>
    </row>
    <row r="4341" spans="1:8">
      <c r="A4341">
        <v>699933</v>
      </c>
      <c r="B4341" t="s">
        <v>1524</v>
      </c>
      <c r="C4341">
        <v>40</v>
      </c>
      <c r="D4341">
        <v>3.8458051369525501</v>
      </c>
      <c r="E4341">
        <v>153.832205478102</v>
      </c>
      <c r="F4341">
        <v>0.804522027011775</v>
      </c>
      <c r="G4341">
        <v>0.83676310146345101</v>
      </c>
      <c r="H4341" t="str">
        <f t="shared" si="67"/>
        <v>Q4</v>
      </c>
    </row>
    <row r="4342" spans="1:8">
      <c r="A4342">
        <v>594161</v>
      </c>
      <c r="B4342" t="s">
        <v>3526</v>
      </c>
      <c r="C4342">
        <v>49</v>
      </c>
      <c r="D4342">
        <v>3.1388446384546702</v>
      </c>
      <c r="E4342">
        <v>153.80338728427901</v>
      </c>
      <c r="F4342">
        <v>0.83258718633610496</v>
      </c>
      <c r="G4342">
        <v>0.83672548060644802</v>
      </c>
      <c r="H4342" t="str">
        <f t="shared" si="67"/>
        <v>Q4</v>
      </c>
    </row>
    <row r="4343" spans="1:8">
      <c r="A4343">
        <v>737528</v>
      </c>
      <c r="B4343" t="s">
        <v>1540</v>
      </c>
      <c r="C4343">
        <v>32</v>
      </c>
      <c r="D4343">
        <v>4.8056144849397198</v>
      </c>
      <c r="E4343">
        <v>153.779663518071</v>
      </c>
      <c r="F4343">
        <v>0.77096422256498998</v>
      </c>
      <c r="G4343">
        <v>0.83668785974944504</v>
      </c>
      <c r="H4343" t="str">
        <f t="shared" si="67"/>
        <v>Q4</v>
      </c>
    </row>
    <row r="4344" spans="1:8">
      <c r="A4344">
        <v>818882</v>
      </c>
      <c r="B4344" t="s">
        <v>3093</v>
      </c>
      <c r="C4344">
        <v>39</v>
      </c>
      <c r="D4344">
        <v>3.94302479779491</v>
      </c>
      <c r="E4344">
        <v>153.777967114002</v>
      </c>
      <c r="F4344">
        <v>0.80087280388247195</v>
      </c>
      <c r="G4344">
        <v>0.83665023889244206</v>
      </c>
      <c r="H4344" t="str">
        <f t="shared" si="67"/>
        <v>Q4</v>
      </c>
    </row>
    <row r="4345" spans="1:8">
      <c r="A4345">
        <v>688910</v>
      </c>
      <c r="B4345" t="s">
        <v>3781</v>
      </c>
      <c r="C4345">
        <v>50</v>
      </c>
      <c r="D4345">
        <v>3.0754576623439802</v>
      </c>
      <c r="E4345">
        <v>153.772883117199</v>
      </c>
      <c r="F4345">
        <v>0.83559685489635405</v>
      </c>
      <c r="G4345">
        <v>0.83661261803543896</v>
      </c>
      <c r="H4345" t="str">
        <f t="shared" si="67"/>
        <v>Q4</v>
      </c>
    </row>
    <row r="4346" spans="1:8">
      <c r="A4346">
        <v>589832</v>
      </c>
      <c r="B4346" t="s">
        <v>1904</v>
      </c>
      <c r="C4346">
        <v>29</v>
      </c>
      <c r="D4346">
        <v>5.3014611632659498</v>
      </c>
      <c r="E4346">
        <v>153.742373734713</v>
      </c>
      <c r="F4346">
        <v>0.75501297919566601</v>
      </c>
      <c r="G4346">
        <v>0.83657499717843598</v>
      </c>
      <c r="H4346" t="str">
        <f t="shared" si="67"/>
        <v>Q3</v>
      </c>
    </row>
    <row r="4347" spans="1:8">
      <c r="A4347">
        <v>777022</v>
      </c>
      <c r="B4347" t="s">
        <v>3841</v>
      </c>
      <c r="C4347">
        <v>39</v>
      </c>
      <c r="D4347">
        <v>3.94172102977068</v>
      </c>
      <c r="E4347">
        <v>153.727120161057</v>
      </c>
      <c r="F4347">
        <v>0.80087280388247195</v>
      </c>
      <c r="G4347">
        <v>0.83653737632143299</v>
      </c>
      <c r="H4347" t="str">
        <f t="shared" si="67"/>
        <v>Q4</v>
      </c>
    </row>
    <row r="4348" spans="1:8">
      <c r="A4348">
        <v>797446</v>
      </c>
      <c r="B4348" t="s">
        <v>4674</v>
      </c>
      <c r="C4348">
        <v>19</v>
      </c>
      <c r="D4348">
        <v>8.0901873347006408</v>
      </c>
      <c r="E4348">
        <v>153.713559359312</v>
      </c>
      <c r="F4348">
        <v>0.68195327489560198</v>
      </c>
      <c r="G4348">
        <v>0.83649975546442901</v>
      </c>
      <c r="H4348" t="str">
        <f t="shared" si="67"/>
        <v>Q3</v>
      </c>
    </row>
    <row r="4349" spans="1:8">
      <c r="A4349">
        <v>794760</v>
      </c>
      <c r="B4349" t="s">
        <v>1072</v>
      </c>
      <c r="C4349">
        <v>17</v>
      </c>
      <c r="D4349">
        <v>9.0418744613142596</v>
      </c>
      <c r="E4349">
        <v>153.71186584234201</v>
      </c>
      <c r="F4349">
        <v>0.65926789812271902</v>
      </c>
      <c r="G4349">
        <v>0.83646213460742602</v>
      </c>
      <c r="H4349" t="str">
        <f t="shared" si="67"/>
        <v>Q3</v>
      </c>
    </row>
    <row r="4350" spans="1:8">
      <c r="A4350">
        <v>530953</v>
      </c>
      <c r="B4350" t="s">
        <v>2494</v>
      </c>
      <c r="C4350">
        <v>39</v>
      </c>
      <c r="D4350">
        <v>3.9376792832253802</v>
      </c>
      <c r="E4350">
        <v>153.56949204579001</v>
      </c>
      <c r="F4350">
        <v>0.80087280388247195</v>
      </c>
      <c r="G4350">
        <v>0.83642451375042304</v>
      </c>
      <c r="H4350" t="str">
        <f t="shared" si="67"/>
        <v>Q4</v>
      </c>
    </row>
    <row r="4351" spans="1:8">
      <c r="A4351">
        <v>813242</v>
      </c>
      <c r="B4351" t="s">
        <v>1312</v>
      </c>
      <c r="C4351">
        <v>101</v>
      </c>
      <c r="D4351">
        <v>1.51876148279056</v>
      </c>
      <c r="E4351">
        <v>153.39490976184601</v>
      </c>
      <c r="F4351">
        <v>0.91245626575373395</v>
      </c>
      <c r="G4351">
        <v>0.83638689289342005</v>
      </c>
      <c r="H4351" t="str">
        <f t="shared" si="67"/>
        <v>Q4</v>
      </c>
    </row>
    <row r="4352" spans="1:8">
      <c r="A4352">
        <v>772659</v>
      </c>
      <c r="B4352" t="s">
        <v>4161</v>
      </c>
      <c r="C4352">
        <v>34</v>
      </c>
      <c r="D4352">
        <v>4.5094218214645103</v>
      </c>
      <c r="E4352">
        <v>153.32034192979299</v>
      </c>
      <c r="F4352">
        <v>0.77969226138971404</v>
      </c>
      <c r="G4352">
        <v>0.83634927203641696</v>
      </c>
      <c r="H4352" t="str">
        <f t="shared" si="67"/>
        <v>Q4</v>
      </c>
    </row>
    <row r="4353" spans="1:8">
      <c r="A4353">
        <v>811852</v>
      </c>
      <c r="B4353" t="s">
        <v>188</v>
      </c>
      <c r="C4353">
        <v>23</v>
      </c>
      <c r="D4353">
        <v>6.6661016286715196</v>
      </c>
      <c r="E4353">
        <v>153.320337459445</v>
      </c>
      <c r="F4353">
        <v>0.71547345848538402</v>
      </c>
      <c r="G4353">
        <v>0.83631165117941397</v>
      </c>
      <c r="H4353" t="str">
        <f t="shared" si="67"/>
        <v>Q3</v>
      </c>
    </row>
    <row r="4354" spans="1:8">
      <c r="A4354">
        <v>759469</v>
      </c>
      <c r="B4354" t="s">
        <v>4648</v>
      </c>
      <c r="C4354">
        <v>98</v>
      </c>
      <c r="D4354">
        <v>1.56423377386313</v>
      </c>
      <c r="E4354">
        <v>153.29490983858699</v>
      </c>
      <c r="F4354">
        <v>0.90997328919152798</v>
      </c>
      <c r="G4354">
        <v>0.83627403032241099</v>
      </c>
      <c r="H4354" t="str">
        <f t="shared" si="67"/>
        <v>Q4</v>
      </c>
    </row>
    <row r="4355" spans="1:8">
      <c r="A4355">
        <v>750424</v>
      </c>
      <c r="B4355" t="s">
        <v>4546</v>
      </c>
      <c r="C4355">
        <v>47</v>
      </c>
      <c r="D4355">
        <v>3.26130539178848</v>
      </c>
      <c r="E4355">
        <v>153.281353414059</v>
      </c>
      <c r="F4355">
        <v>0.82641736578759295</v>
      </c>
      <c r="G4355">
        <v>0.836236409465408</v>
      </c>
      <c r="H4355" t="str">
        <f t="shared" ref="H4355:H4418" si="68">IF(C4355&gt;$J$2,
   IF(D4355&gt;$J$3,"Q1","Q2"),
   IF(D4355&gt;$J$3,"Q3","Q4"))</f>
        <v>Q4</v>
      </c>
    </row>
    <row r="4356" spans="1:8">
      <c r="A4356">
        <v>763480</v>
      </c>
      <c r="B4356" t="s">
        <v>2397</v>
      </c>
      <c r="C4356">
        <v>31</v>
      </c>
      <c r="D4356">
        <v>4.94319308669336</v>
      </c>
      <c r="E4356">
        <v>153.23898568749399</v>
      </c>
      <c r="F4356">
        <v>0.766073511154584</v>
      </c>
      <c r="G4356">
        <v>0.83619878860840402</v>
      </c>
      <c r="H4356" t="str">
        <f t="shared" si="68"/>
        <v>Q3</v>
      </c>
    </row>
    <row r="4357" spans="1:8">
      <c r="A4357">
        <v>762457</v>
      </c>
      <c r="B4357" t="s">
        <v>3946</v>
      </c>
      <c r="C4357">
        <v>47</v>
      </c>
      <c r="D4357">
        <v>3.2591055959780202</v>
      </c>
      <c r="E4357">
        <v>153.17796301096701</v>
      </c>
      <c r="F4357">
        <v>0.82641736578759295</v>
      </c>
      <c r="G4357">
        <v>0.83616116775140104</v>
      </c>
      <c r="H4357" t="str">
        <f t="shared" si="68"/>
        <v>Q4</v>
      </c>
    </row>
    <row r="4358" spans="1:8">
      <c r="A4358">
        <v>713700</v>
      </c>
      <c r="B4358" t="s">
        <v>5055</v>
      </c>
      <c r="C4358">
        <v>55</v>
      </c>
      <c r="D4358">
        <v>2.78496140106158</v>
      </c>
      <c r="E4358">
        <v>153.172877058387</v>
      </c>
      <c r="F4358">
        <v>0.84763552913735396</v>
      </c>
      <c r="G4358">
        <v>0.83612354689439805</v>
      </c>
      <c r="H4358" t="str">
        <f t="shared" si="68"/>
        <v>Q4</v>
      </c>
    </row>
    <row r="4359" spans="1:8">
      <c r="A4359">
        <v>771311</v>
      </c>
      <c r="B4359" t="s">
        <v>544</v>
      </c>
      <c r="C4359">
        <v>22</v>
      </c>
      <c r="D4359">
        <v>6.9620184939016001</v>
      </c>
      <c r="E4359">
        <v>153.16440686583499</v>
      </c>
      <c r="F4359">
        <v>0.707723561942741</v>
      </c>
      <c r="G4359">
        <v>0.83608592603739496</v>
      </c>
      <c r="H4359" t="str">
        <f t="shared" si="68"/>
        <v>Q3</v>
      </c>
    </row>
    <row r="4360" spans="1:8">
      <c r="A4360">
        <v>640675</v>
      </c>
      <c r="B4360" t="s">
        <v>3087</v>
      </c>
      <c r="C4360">
        <v>36</v>
      </c>
      <c r="D4360">
        <v>4.2517890894992503</v>
      </c>
      <c r="E4360">
        <v>153.064407221973</v>
      </c>
      <c r="F4360">
        <v>0.78890937135547901</v>
      </c>
      <c r="G4360">
        <v>0.83604830518039197</v>
      </c>
      <c r="H4360" t="str">
        <f t="shared" si="68"/>
        <v>Q4</v>
      </c>
    </row>
    <row r="4361" spans="1:8">
      <c r="A4361">
        <v>739501</v>
      </c>
      <c r="B4361" t="s">
        <v>2027</v>
      </c>
      <c r="C4361">
        <v>53</v>
      </c>
      <c r="D4361">
        <v>2.8874000341121899</v>
      </c>
      <c r="E4361">
        <v>153.032201807946</v>
      </c>
      <c r="F4361">
        <v>0.84218050487190099</v>
      </c>
      <c r="G4361">
        <v>0.83601068432338899</v>
      </c>
      <c r="H4361" t="str">
        <f t="shared" si="68"/>
        <v>Q4</v>
      </c>
    </row>
    <row r="4362" spans="1:8">
      <c r="A4362">
        <v>442786</v>
      </c>
      <c r="B4362" t="s">
        <v>2203</v>
      </c>
      <c r="C4362">
        <v>43</v>
      </c>
      <c r="D4362">
        <v>3.5588490473496401</v>
      </c>
      <c r="E4362">
        <v>153.030509036034</v>
      </c>
      <c r="F4362">
        <v>0.81437869154659304</v>
      </c>
      <c r="G4362">
        <v>0.835973063466386</v>
      </c>
      <c r="H4362" t="str">
        <f t="shared" si="68"/>
        <v>Q4</v>
      </c>
    </row>
    <row r="4363" spans="1:8">
      <c r="A4363">
        <v>749062</v>
      </c>
      <c r="B4363" t="s">
        <v>2691</v>
      </c>
      <c r="C4363">
        <v>73</v>
      </c>
      <c r="D4363">
        <v>2.0960528429036298</v>
      </c>
      <c r="E4363">
        <v>153.01185753196501</v>
      </c>
      <c r="F4363">
        <v>0.88111809187013301</v>
      </c>
      <c r="G4363">
        <v>0.83593544260938302</v>
      </c>
      <c r="H4363" t="str">
        <f t="shared" si="68"/>
        <v>Q4</v>
      </c>
    </row>
    <row r="4364" spans="1:8">
      <c r="A4364">
        <v>772907</v>
      </c>
      <c r="B4364" t="s">
        <v>3725</v>
      </c>
      <c r="C4364">
        <v>19</v>
      </c>
      <c r="D4364">
        <v>8.0525423743222895</v>
      </c>
      <c r="E4364">
        <v>152.99830511212301</v>
      </c>
      <c r="F4364">
        <v>0.68195327489560198</v>
      </c>
      <c r="G4364">
        <v>0.83589782175237903</v>
      </c>
      <c r="H4364" t="str">
        <f t="shared" si="68"/>
        <v>Q3</v>
      </c>
    </row>
    <row r="4365" spans="1:8">
      <c r="A4365">
        <v>826255</v>
      </c>
      <c r="B4365" t="s">
        <v>3602</v>
      </c>
      <c r="C4365">
        <v>47</v>
      </c>
      <c r="D4365">
        <v>3.2551748400673</v>
      </c>
      <c r="E4365">
        <v>152.99321748316299</v>
      </c>
      <c r="F4365">
        <v>0.82641736578759295</v>
      </c>
      <c r="G4365">
        <v>0.83586020089537605</v>
      </c>
      <c r="H4365" t="str">
        <f t="shared" si="68"/>
        <v>Q4</v>
      </c>
    </row>
    <row r="4366" spans="1:8">
      <c r="A4366">
        <v>764479</v>
      </c>
      <c r="B4366" t="s">
        <v>4696</v>
      </c>
      <c r="C4366">
        <v>28</v>
      </c>
      <c r="D4366">
        <v>5.4621671991688903</v>
      </c>
      <c r="E4366">
        <v>152.94068157672899</v>
      </c>
      <c r="F4366">
        <v>0.74974605921522897</v>
      </c>
      <c r="G4366">
        <v>0.83582258003837295</v>
      </c>
      <c r="H4366" t="str">
        <f t="shared" si="68"/>
        <v>Q3</v>
      </c>
    </row>
    <row r="4367" spans="1:8">
      <c r="A4367">
        <v>661815</v>
      </c>
      <c r="B4367" t="s">
        <v>4796</v>
      </c>
      <c r="C4367">
        <v>28</v>
      </c>
      <c r="D4367">
        <v>5.4588377209646399</v>
      </c>
      <c r="E4367">
        <v>152.84745618701001</v>
      </c>
      <c r="F4367">
        <v>0.74974605921522897</v>
      </c>
      <c r="G4367">
        <v>0.83578495918136997</v>
      </c>
      <c r="H4367" t="str">
        <f t="shared" si="68"/>
        <v>Q3</v>
      </c>
    </row>
    <row r="4368" spans="1:8">
      <c r="A4368">
        <v>772324</v>
      </c>
      <c r="B4368" t="s">
        <v>5197</v>
      </c>
      <c r="C4368">
        <v>24</v>
      </c>
      <c r="D4368">
        <v>6.3673728766540698</v>
      </c>
      <c r="E4368">
        <v>152.81694903969799</v>
      </c>
      <c r="F4368">
        <v>0.72284714645799597</v>
      </c>
      <c r="G4368">
        <v>0.83574733832436698</v>
      </c>
      <c r="H4368" t="str">
        <f t="shared" si="68"/>
        <v>Q3</v>
      </c>
    </row>
    <row r="4369" spans="1:8">
      <c r="A4369">
        <v>812320</v>
      </c>
      <c r="B4369" t="s">
        <v>604</v>
      </c>
      <c r="C4369">
        <v>55</v>
      </c>
      <c r="D4369">
        <v>2.7784283289855201</v>
      </c>
      <c r="E4369">
        <v>152.81355809420299</v>
      </c>
      <c r="F4369">
        <v>0.84763552913735396</v>
      </c>
      <c r="G4369">
        <v>0.835709717467364</v>
      </c>
      <c r="H4369" t="str">
        <f t="shared" si="68"/>
        <v>Q4</v>
      </c>
    </row>
    <row r="4370" spans="1:8">
      <c r="A4370">
        <v>685784</v>
      </c>
      <c r="B4370" t="s">
        <v>3432</v>
      </c>
      <c r="C4370">
        <v>51</v>
      </c>
      <c r="D4370">
        <v>2.9960783837618798</v>
      </c>
      <c r="E4370">
        <v>152.79999757185601</v>
      </c>
      <c r="F4370">
        <v>0.83762838117452298</v>
      </c>
      <c r="G4370">
        <v>0.83567209661036101</v>
      </c>
      <c r="H4370" t="str">
        <f t="shared" si="68"/>
        <v>Q4</v>
      </c>
    </row>
    <row r="4371" spans="1:8">
      <c r="A4371">
        <v>804555</v>
      </c>
      <c r="B4371" t="s">
        <v>3896</v>
      </c>
      <c r="C4371">
        <v>33</v>
      </c>
      <c r="D4371">
        <v>4.62768368535873</v>
      </c>
      <c r="E4371">
        <v>152.71356161683801</v>
      </c>
      <c r="F4371">
        <v>0.77551634626236798</v>
      </c>
      <c r="G4371">
        <v>0.83563447575335803</v>
      </c>
      <c r="H4371" t="str">
        <f t="shared" si="68"/>
        <v>Q4</v>
      </c>
    </row>
    <row r="4372" spans="1:8">
      <c r="A4372">
        <v>548110</v>
      </c>
      <c r="B4372" t="s">
        <v>4457</v>
      </c>
      <c r="C4372">
        <v>68</v>
      </c>
      <c r="D4372">
        <v>2.2454386850928598</v>
      </c>
      <c r="E4372">
        <v>152.689830586314</v>
      </c>
      <c r="F4372">
        <v>0.87223956961739602</v>
      </c>
      <c r="G4372">
        <v>0.83559685489635405</v>
      </c>
      <c r="H4372" t="str">
        <f t="shared" si="68"/>
        <v>Q4</v>
      </c>
    </row>
    <row r="4373" spans="1:8">
      <c r="A4373">
        <v>829052</v>
      </c>
      <c r="B4373" t="s">
        <v>2142</v>
      </c>
      <c r="C4373">
        <v>27</v>
      </c>
      <c r="D4373">
        <v>5.6551162705377296</v>
      </c>
      <c r="E4373">
        <v>152.68813930451901</v>
      </c>
      <c r="F4373">
        <v>0.74312478838267904</v>
      </c>
      <c r="G4373">
        <v>0.83555923403935095</v>
      </c>
      <c r="H4373" t="str">
        <f t="shared" si="68"/>
        <v>Q3</v>
      </c>
    </row>
    <row r="4374" spans="1:8">
      <c r="A4374">
        <v>357792</v>
      </c>
      <c r="B4374" t="s">
        <v>208</v>
      </c>
      <c r="C4374">
        <v>105</v>
      </c>
      <c r="D4374">
        <v>1.45360770103123</v>
      </c>
      <c r="E4374">
        <v>152.628808608279</v>
      </c>
      <c r="F4374">
        <v>0.91618073059704297</v>
      </c>
      <c r="G4374">
        <v>0.83552161318234797</v>
      </c>
      <c r="H4374" t="str">
        <f t="shared" si="68"/>
        <v>Q4</v>
      </c>
    </row>
    <row r="4375" spans="1:8">
      <c r="A4375">
        <v>824360</v>
      </c>
      <c r="B4375" t="s">
        <v>4609</v>
      </c>
      <c r="C4375">
        <v>42</v>
      </c>
      <c r="D4375">
        <v>3.6325262194233301</v>
      </c>
      <c r="E4375">
        <v>152.56610121578001</v>
      </c>
      <c r="F4375">
        <v>0.81103043527331597</v>
      </c>
      <c r="G4375">
        <v>0.83548399232534498</v>
      </c>
      <c r="H4375" t="str">
        <f t="shared" si="68"/>
        <v>Q4</v>
      </c>
    </row>
    <row r="4376" spans="1:8">
      <c r="A4376">
        <v>851860</v>
      </c>
      <c r="B4376" t="s">
        <v>1419</v>
      </c>
      <c r="C4376">
        <v>31</v>
      </c>
      <c r="D4376">
        <v>4.9211591962845098</v>
      </c>
      <c r="E4376">
        <v>152.55593508481999</v>
      </c>
      <c r="F4376">
        <v>0.766073511154584</v>
      </c>
      <c r="G4376">
        <v>0.835446371468342</v>
      </c>
      <c r="H4376" t="str">
        <f t="shared" si="68"/>
        <v>Q3</v>
      </c>
    </row>
    <row r="4377" spans="1:8">
      <c r="A4377">
        <v>719260</v>
      </c>
      <c r="B4377" t="s">
        <v>5144</v>
      </c>
      <c r="C4377">
        <v>58</v>
      </c>
      <c r="D4377">
        <v>2.6292226373635499</v>
      </c>
      <c r="E4377">
        <v>152.49491296708601</v>
      </c>
      <c r="F4377">
        <v>0.853993453970881</v>
      </c>
      <c r="G4377">
        <v>0.83540875061133901</v>
      </c>
      <c r="H4377" t="str">
        <f t="shared" si="68"/>
        <v>Q4</v>
      </c>
    </row>
    <row r="4378" spans="1:8">
      <c r="A4378">
        <v>586515</v>
      </c>
      <c r="B4378" t="s">
        <v>3746</v>
      </c>
      <c r="C4378">
        <v>48</v>
      </c>
      <c r="D4378">
        <v>3.1762005838876002</v>
      </c>
      <c r="E4378">
        <v>152.45762802660499</v>
      </c>
      <c r="F4378">
        <v>0.82957751777585498</v>
      </c>
      <c r="G4378">
        <v>0.83537112975433603</v>
      </c>
      <c r="H4378" t="str">
        <f t="shared" si="68"/>
        <v>Q4</v>
      </c>
    </row>
    <row r="4379" spans="1:8">
      <c r="A4379">
        <v>607031</v>
      </c>
      <c r="B4379" t="s">
        <v>814</v>
      </c>
      <c r="C4379">
        <v>85</v>
      </c>
      <c r="D4379">
        <v>1.79322028149138</v>
      </c>
      <c r="E4379">
        <v>152.42372392676799</v>
      </c>
      <c r="F4379">
        <v>0.89721981866746903</v>
      </c>
      <c r="G4379">
        <v>0.83533350889733304</v>
      </c>
      <c r="H4379" t="str">
        <f t="shared" si="68"/>
        <v>Q4</v>
      </c>
    </row>
    <row r="4380" spans="1:8">
      <c r="A4380">
        <v>481781</v>
      </c>
      <c r="B4380" t="s">
        <v>2990</v>
      </c>
      <c r="C4380">
        <v>98</v>
      </c>
      <c r="D4380">
        <v>1.5547560750060201</v>
      </c>
      <c r="E4380">
        <v>152.36609535059</v>
      </c>
      <c r="F4380">
        <v>0.90997328919152798</v>
      </c>
      <c r="G4380">
        <v>0.83529588804032995</v>
      </c>
      <c r="H4380" t="str">
        <f t="shared" si="68"/>
        <v>Q4</v>
      </c>
    </row>
    <row r="4381" spans="1:8">
      <c r="A4381">
        <v>624562</v>
      </c>
      <c r="B4381" t="s">
        <v>877</v>
      </c>
      <c r="C4381">
        <v>17</v>
      </c>
      <c r="D4381">
        <v>8.9616151636137698</v>
      </c>
      <c r="E4381">
        <v>152.347457781434</v>
      </c>
      <c r="F4381">
        <v>0.65926789812271902</v>
      </c>
      <c r="G4381">
        <v>0.83525826718332596</v>
      </c>
      <c r="H4381" t="str">
        <f t="shared" si="68"/>
        <v>Q3</v>
      </c>
    </row>
    <row r="4382" spans="1:8">
      <c r="A4382">
        <v>811107</v>
      </c>
      <c r="B4382" t="s">
        <v>2400</v>
      </c>
      <c r="C4382">
        <v>34</v>
      </c>
      <c r="D4382">
        <v>4.4799602097448199</v>
      </c>
      <c r="E4382">
        <v>152.31864713132401</v>
      </c>
      <c r="F4382">
        <v>0.77969226138971404</v>
      </c>
      <c r="G4382">
        <v>0.83522064632632298</v>
      </c>
      <c r="H4382" t="str">
        <f t="shared" si="68"/>
        <v>Q4</v>
      </c>
    </row>
    <row r="4383" spans="1:8">
      <c r="A4383">
        <v>805483</v>
      </c>
      <c r="B4383" t="s">
        <v>1463</v>
      </c>
      <c r="C4383">
        <v>31</v>
      </c>
      <c r="D4383">
        <v>4.9114817633263499</v>
      </c>
      <c r="E4383">
        <v>152.25593466311699</v>
      </c>
      <c r="F4383">
        <v>0.766073511154584</v>
      </c>
      <c r="G4383">
        <v>0.83518302546932</v>
      </c>
      <c r="H4383" t="str">
        <f t="shared" si="68"/>
        <v>Q3</v>
      </c>
    </row>
    <row r="4384" spans="1:8">
      <c r="A4384">
        <v>690108</v>
      </c>
      <c r="B4384" t="s">
        <v>4687</v>
      </c>
      <c r="C4384">
        <v>47</v>
      </c>
      <c r="D4384">
        <v>3.2384781246172598</v>
      </c>
      <c r="E4384">
        <v>152.20847185701101</v>
      </c>
      <c r="F4384">
        <v>0.82641736578759295</v>
      </c>
      <c r="G4384">
        <v>0.83514540461231701</v>
      </c>
      <c r="H4384" t="str">
        <f t="shared" si="68"/>
        <v>Q4</v>
      </c>
    </row>
    <row r="4385" spans="1:8">
      <c r="A4385">
        <v>792398</v>
      </c>
      <c r="B4385" t="s">
        <v>5255</v>
      </c>
      <c r="C4385">
        <v>31</v>
      </c>
      <c r="D4385">
        <v>4.9086386638302999</v>
      </c>
      <c r="E4385">
        <v>152.167798578739</v>
      </c>
      <c r="F4385">
        <v>0.766073511154584</v>
      </c>
      <c r="G4385">
        <v>0.83510778375531403</v>
      </c>
      <c r="H4385" t="str">
        <f t="shared" si="68"/>
        <v>Q3</v>
      </c>
    </row>
    <row r="4386" spans="1:8">
      <c r="A4386">
        <v>744668</v>
      </c>
      <c r="B4386" t="s">
        <v>3026</v>
      </c>
      <c r="C4386">
        <v>21</v>
      </c>
      <c r="D4386">
        <v>7.2458434849977502</v>
      </c>
      <c r="E4386">
        <v>152.16271318495299</v>
      </c>
      <c r="F4386">
        <v>0.70008652797110704</v>
      </c>
      <c r="G4386">
        <v>0.83507016289831104</v>
      </c>
      <c r="H4386" t="str">
        <f t="shared" si="68"/>
        <v>Q3</v>
      </c>
    </row>
    <row r="4387" spans="1:8">
      <c r="A4387">
        <v>723890</v>
      </c>
      <c r="B4387" t="s">
        <v>4714</v>
      </c>
      <c r="C4387">
        <v>33</v>
      </c>
      <c r="D4387">
        <v>4.6106831876165897</v>
      </c>
      <c r="E4387">
        <v>152.152545191348</v>
      </c>
      <c r="F4387">
        <v>0.77551634626236798</v>
      </c>
      <c r="G4387">
        <v>0.83503254204130795</v>
      </c>
      <c r="H4387" t="str">
        <f t="shared" si="68"/>
        <v>Q4</v>
      </c>
    </row>
    <row r="4388" spans="1:8">
      <c r="A4388">
        <v>517729</v>
      </c>
      <c r="B4388" t="s">
        <v>1751</v>
      </c>
      <c r="C4388">
        <v>145</v>
      </c>
      <c r="D4388">
        <v>1.0492811416243699</v>
      </c>
      <c r="E4388">
        <v>152.145765535533</v>
      </c>
      <c r="F4388">
        <v>0.94082239193408801</v>
      </c>
      <c r="G4388">
        <v>0.83499492118430496</v>
      </c>
      <c r="H4388" t="str">
        <f t="shared" si="68"/>
        <v>Q4</v>
      </c>
    </row>
    <row r="4389" spans="1:8">
      <c r="A4389">
        <v>661795</v>
      </c>
      <c r="B4389" t="s">
        <v>989</v>
      </c>
      <c r="C4389">
        <v>17</v>
      </c>
      <c r="D4389">
        <v>8.9492523933158203</v>
      </c>
      <c r="E4389">
        <v>152.137290686369</v>
      </c>
      <c r="F4389">
        <v>0.65926789812271902</v>
      </c>
      <c r="G4389">
        <v>0.83495730032730098</v>
      </c>
      <c r="H4389" t="str">
        <f t="shared" si="68"/>
        <v>Q3</v>
      </c>
    </row>
    <row r="4390" spans="1:8">
      <c r="A4390">
        <v>685012</v>
      </c>
      <c r="B4390" t="s">
        <v>4959</v>
      </c>
      <c r="C4390">
        <v>29</v>
      </c>
      <c r="D4390">
        <v>5.2444769198010697</v>
      </c>
      <c r="E4390">
        <v>152.089830674231</v>
      </c>
      <c r="F4390">
        <v>0.75501297919566601</v>
      </c>
      <c r="G4390">
        <v>0.83491967947029799</v>
      </c>
      <c r="H4390" t="str">
        <f t="shared" si="68"/>
        <v>Q3</v>
      </c>
    </row>
    <row r="4391" spans="1:8">
      <c r="A4391">
        <v>764838</v>
      </c>
      <c r="B4391" t="s">
        <v>2723</v>
      </c>
      <c r="C4391">
        <v>209</v>
      </c>
      <c r="D4391">
        <v>0.72761333890651403</v>
      </c>
      <c r="E4391">
        <v>152.071187831461</v>
      </c>
      <c r="F4391">
        <v>0.96132575900078998</v>
      </c>
      <c r="G4391">
        <v>0.83488205861329501</v>
      </c>
      <c r="H4391" t="str">
        <f t="shared" si="68"/>
        <v>Q2</v>
      </c>
    </row>
    <row r="4392" spans="1:8">
      <c r="A4392">
        <v>716258</v>
      </c>
      <c r="B4392" t="s">
        <v>3626</v>
      </c>
      <c r="C4392">
        <v>61</v>
      </c>
      <c r="D4392">
        <v>2.49219226544021</v>
      </c>
      <c r="E4392">
        <v>152.023728191853</v>
      </c>
      <c r="F4392">
        <v>0.86035137880440904</v>
      </c>
      <c r="G4392">
        <v>0.83484443775629202</v>
      </c>
      <c r="H4392" t="str">
        <f t="shared" si="68"/>
        <v>Q4</v>
      </c>
    </row>
    <row r="4393" spans="1:8">
      <c r="A4393">
        <v>756720</v>
      </c>
      <c r="B4393" t="s">
        <v>4366</v>
      </c>
      <c r="C4393">
        <v>68</v>
      </c>
      <c r="D4393">
        <v>2.2350697613814301</v>
      </c>
      <c r="E4393">
        <v>151.984743773937</v>
      </c>
      <c r="F4393">
        <v>0.87223956961739602</v>
      </c>
      <c r="G4393">
        <v>0.83480681689928904</v>
      </c>
      <c r="H4393" t="str">
        <f t="shared" si="68"/>
        <v>Q4</v>
      </c>
    </row>
    <row r="4394" spans="1:8">
      <c r="A4394">
        <v>722361</v>
      </c>
      <c r="B4394" t="s">
        <v>566</v>
      </c>
      <c r="C4394">
        <v>32</v>
      </c>
      <c r="D4394">
        <v>4.7487287316471303</v>
      </c>
      <c r="E4394">
        <v>151.959319412708</v>
      </c>
      <c r="F4394">
        <v>0.77096422256498998</v>
      </c>
      <c r="G4394">
        <v>0.83476919604228605</v>
      </c>
      <c r="H4394" t="str">
        <f t="shared" si="68"/>
        <v>Q4</v>
      </c>
    </row>
    <row r="4395" spans="1:8">
      <c r="A4395">
        <v>805440</v>
      </c>
      <c r="B4395" t="s">
        <v>3628</v>
      </c>
      <c r="C4395">
        <v>19</v>
      </c>
      <c r="D4395">
        <v>7.9962533947668604</v>
      </c>
      <c r="E4395">
        <v>151.92881450057001</v>
      </c>
      <c r="F4395">
        <v>0.68195327489560198</v>
      </c>
      <c r="G4395">
        <v>0.83473157518528296</v>
      </c>
      <c r="H4395" t="str">
        <f t="shared" si="68"/>
        <v>Q3</v>
      </c>
    </row>
    <row r="4396" spans="1:8">
      <c r="A4396">
        <v>783843</v>
      </c>
      <c r="B4396" t="s">
        <v>3557</v>
      </c>
      <c r="C4396">
        <v>28</v>
      </c>
      <c r="D4396">
        <v>5.4255449279610604</v>
      </c>
      <c r="E4396">
        <v>151.91525798290999</v>
      </c>
      <c r="F4396">
        <v>0.74974605921522897</v>
      </c>
      <c r="G4396">
        <v>0.83469395432827997</v>
      </c>
      <c r="H4396" t="str">
        <f t="shared" si="68"/>
        <v>Q3</v>
      </c>
    </row>
    <row r="4397" spans="1:8">
      <c r="A4397">
        <v>624446</v>
      </c>
      <c r="B4397" t="s">
        <v>5182</v>
      </c>
      <c r="C4397">
        <v>37</v>
      </c>
      <c r="D4397">
        <v>4.1052680261231798</v>
      </c>
      <c r="E4397">
        <v>151.89491696655799</v>
      </c>
      <c r="F4397">
        <v>0.79304766562582296</v>
      </c>
      <c r="G4397">
        <v>0.83465633347127599</v>
      </c>
      <c r="H4397" t="str">
        <f t="shared" si="68"/>
        <v>Q4</v>
      </c>
    </row>
    <row r="4398" spans="1:8">
      <c r="A4398">
        <v>816614</v>
      </c>
      <c r="B4398" t="s">
        <v>5250</v>
      </c>
      <c r="C4398">
        <v>47</v>
      </c>
      <c r="D4398">
        <v>3.2314821047351701</v>
      </c>
      <c r="E4398">
        <v>151.87965892255301</v>
      </c>
      <c r="F4398">
        <v>0.82641736578759295</v>
      </c>
      <c r="G4398">
        <v>0.83461871261427301</v>
      </c>
      <c r="H4398" t="str">
        <f t="shared" si="68"/>
        <v>Q4</v>
      </c>
    </row>
    <row r="4399" spans="1:8">
      <c r="A4399">
        <v>803518</v>
      </c>
      <c r="B4399" t="s">
        <v>3241</v>
      </c>
      <c r="C4399">
        <v>27</v>
      </c>
      <c r="D4399">
        <v>5.6225362199324103</v>
      </c>
      <c r="E4399">
        <v>151.808477938175</v>
      </c>
      <c r="F4399">
        <v>0.74312478838267904</v>
      </c>
      <c r="G4399">
        <v>0.83458109175727002</v>
      </c>
      <c r="H4399" t="str">
        <f t="shared" si="68"/>
        <v>Q3</v>
      </c>
    </row>
    <row r="4400" spans="1:8">
      <c r="A4400">
        <v>832535</v>
      </c>
      <c r="B4400" t="s">
        <v>983</v>
      </c>
      <c r="C4400">
        <v>16</v>
      </c>
      <c r="D4400">
        <v>9.4880297780036909</v>
      </c>
      <c r="E4400">
        <v>151.808476448059</v>
      </c>
      <c r="F4400">
        <v>0.64756781159474797</v>
      </c>
      <c r="G4400">
        <v>0.83454347090026704</v>
      </c>
      <c r="H4400" t="str">
        <f t="shared" si="68"/>
        <v>Q3</v>
      </c>
    </row>
    <row r="4401" spans="1:8">
      <c r="A4401">
        <v>694132</v>
      </c>
      <c r="B4401" t="s">
        <v>1655</v>
      </c>
      <c r="C4401">
        <v>92</v>
      </c>
      <c r="D4401">
        <v>1.6491708963218601</v>
      </c>
      <c r="E4401">
        <v>151.723722461611</v>
      </c>
      <c r="F4401">
        <v>0.90429253978405599</v>
      </c>
      <c r="G4401">
        <v>0.83450585004326405</v>
      </c>
      <c r="H4401" t="str">
        <f t="shared" si="68"/>
        <v>Q4</v>
      </c>
    </row>
    <row r="4402" spans="1:8">
      <c r="A4402">
        <v>799507</v>
      </c>
      <c r="B4402" t="s">
        <v>391</v>
      </c>
      <c r="C4402">
        <v>28</v>
      </c>
      <c r="D4402">
        <v>5.4184625856578403</v>
      </c>
      <c r="E4402">
        <v>151.71695239841901</v>
      </c>
      <c r="F4402">
        <v>0.74974605921522897</v>
      </c>
      <c r="G4402">
        <v>0.83446822918626096</v>
      </c>
      <c r="H4402" t="str">
        <f t="shared" si="68"/>
        <v>Q3</v>
      </c>
    </row>
    <row r="4403" spans="1:8">
      <c r="A4403">
        <v>740720</v>
      </c>
      <c r="B4403" t="s">
        <v>2042</v>
      </c>
      <c r="C4403">
        <v>98</v>
      </c>
      <c r="D4403">
        <v>1.5480283110839701</v>
      </c>
      <c r="E4403">
        <v>151.70677448622899</v>
      </c>
      <c r="F4403">
        <v>0.90997328919152798</v>
      </c>
      <c r="G4403">
        <v>0.83443060832925797</v>
      </c>
      <c r="H4403" t="str">
        <f t="shared" si="68"/>
        <v>Q4</v>
      </c>
    </row>
    <row r="4404" spans="1:8">
      <c r="A4404">
        <v>737618</v>
      </c>
      <c r="B4404" t="s">
        <v>920</v>
      </c>
      <c r="C4404">
        <v>5</v>
      </c>
      <c r="D4404">
        <v>30.338981747627301</v>
      </c>
      <c r="E4404">
        <v>151.69490873813601</v>
      </c>
      <c r="F4404">
        <v>0.385989992852037</v>
      </c>
      <c r="G4404">
        <v>0.83439298747225499</v>
      </c>
      <c r="H4404" t="str">
        <f t="shared" si="68"/>
        <v>Q3</v>
      </c>
    </row>
    <row r="4405" spans="1:8">
      <c r="A4405">
        <v>695421</v>
      </c>
      <c r="B4405" t="s">
        <v>3737</v>
      </c>
      <c r="C4405">
        <v>76</v>
      </c>
      <c r="D4405">
        <v>1.9958519229763401</v>
      </c>
      <c r="E4405">
        <v>151.684746146202</v>
      </c>
      <c r="F4405">
        <v>0.88612166585154795</v>
      </c>
      <c r="G4405">
        <v>0.834355366615251</v>
      </c>
      <c r="H4405" t="str">
        <f t="shared" si="68"/>
        <v>Q4</v>
      </c>
    </row>
    <row r="4406" spans="1:8">
      <c r="A4406">
        <v>775629</v>
      </c>
      <c r="B4406" t="s">
        <v>4828</v>
      </c>
      <c r="C4406">
        <v>15</v>
      </c>
      <c r="D4406">
        <v>10.1082487901052</v>
      </c>
      <c r="E4406">
        <v>151.62373185157799</v>
      </c>
      <c r="F4406">
        <v>0.63496482449870195</v>
      </c>
      <c r="G4406">
        <v>0.83431774575824802</v>
      </c>
      <c r="H4406" t="str">
        <f t="shared" si="68"/>
        <v>Q3</v>
      </c>
    </row>
    <row r="4407" spans="1:8">
      <c r="A4407">
        <v>651368</v>
      </c>
      <c r="B4407" t="s">
        <v>5045</v>
      </c>
      <c r="C4407">
        <v>62</v>
      </c>
      <c r="D4407">
        <v>2.44499720302561</v>
      </c>
      <c r="E4407">
        <v>151.58982658758799</v>
      </c>
      <c r="F4407">
        <v>0.86238290508257798</v>
      </c>
      <c r="G4407">
        <v>0.83428012490124503</v>
      </c>
      <c r="H4407" t="str">
        <f t="shared" si="68"/>
        <v>Q4</v>
      </c>
    </row>
    <row r="4408" spans="1:8">
      <c r="A4408">
        <v>622598</v>
      </c>
      <c r="B4408" t="s">
        <v>807</v>
      </c>
      <c r="C4408">
        <v>82</v>
      </c>
      <c r="D4408">
        <v>1.8483670587401599</v>
      </c>
      <c r="E4408">
        <v>151.566098816693</v>
      </c>
      <c r="F4408">
        <v>0.894323012678229</v>
      </c>
      <c r="G4408">
        <v>0.83424250404424205</v>
      </c>
      <c r="H4408" t="str">
        <f t="shared" si="68"/>
        <v>Q4</v>
      </c>
    </row>
    <row r="4409" spans="1:8">
      <c r="A4409">
        <v>633130</v>
      </c>
      <c r="B4409" t="s">
        <v>5247</v>
      </c>
      <c r="C4409">
        <v>138</v>
      </c>
      <c r="D4409">
        <v>1.0983050498855</v>
      </c>
      <c r="E4409">
        <v>151.566096884198</v>
      </c>
      <c r="F4409">
        <v>0.93747413566080995</v>
      </c>
      <c r="G4409">
        <v>0.83420488318723895</v>
      </c>
      <c r="H4409" t="str">
        <f t="shared" si="68"/>
        <v>Q4</v>
      </c>
    </row>
    <row r="4410" spans="1:8">
      <c r="A4410">
        <v>726173</v>
      </c>
      <c r="B4410" t="s">
        <v>5142</v>
      </c>
      <c r="C4410">
        <v>30</v>
      </c>
      <c r="D4410">
        <v>5.05045207838217</v>
      </c>
      <c r="E4410">
        <v>151.513562351465</v>
      </c>
      <c r="F4410">
        <v>0.760430382604116</v>
      </c>
      <c r="G4410">
        <v>0.83416726233023597</v>
      </c>
      <c r="H4410" t="str">
        <f t="shared" si="68"/>
        <v>Q3</v>
      </c>
    </row>
    <row r="4411" spans="1:8">
      <c r="A4411">
        <v>715000</v>
      </c>
      <c r="B4411" t="s">
        <v>1268</v>
      </c>
      <c r="C4411">
        <v>48</v>
      </c>
      <c r="D4411">
        <v>3.1550846993923201</v>
      </c>
      <c r="E4411">
        <v>151.44406557083099</v>
      </c>
      <c r="F4411">
        <v>0.82957751777585498</v>
      </c>
      <c r="G4411">
        <v>0.83412964147323299</v>
      </c>
      <c r="H4411" t="str">
        <f t="shared" si="68"/>
        <v>Q4</v>
      </c>
    </row>
    <row r="4412" spans="1:8">
      <c r="A4412">
        <v>790051</v>
      </c>
      <c r="B4412" t="s">
        <v>2161</v>
      </c>
      <c r="C4412">
        <v>67</v>
      </c>
      <c r="D4412">
        <v>2.2601821334726799</v>
      </c>
      <c r="E4412">
        <v>151.43220294266899</v>
      </c>
      <c r="F4412">
        <v>0.87118618562130801</v>
      </c>
      <c r="G4412">
        <v>0.83409202061623</v>
      </c>
      <c r="H4412" t="str">
        <f t="shared" si="68"/>
        <v>Q4</v>
      </c>
    </row>
    <row r="4413" spans="1:8">
      <c r="A4413">
        <v>784733</v>
      </c>
      <c r="B4413" t="s">
        <v>623</v>
      </c>
      <c r="C4413">
        <v>48</v>
      </c>
      <c r="D4413">
        <v>3.1530719948932502</v>
      </c>
      <c r="E4413">
        <v>151.34745575487599</v>
      </c>
      <c r="F4413">
        <v>0.82957751777585498</v>
      </c>
      <c r="G4413">
        <v>0.83405439975922602</v>
      </c>
      <c r="H4413" t="str">
        <f t="shared" si="68"/>
        <v>Q4</v>
      </c>
    </row>
    <row r="4414" spans="1:8">
      <c r="A4414">
        <v>826832</v>
      </c>
      <c r="B4414" t="s">
        <v>327</v>
      </c>
      <c r="C4414">
        <v>28</v>
      </c>
      <c r="D4414">
        <v>5.4013316918696699</v>
      </c>
      <c r="E4414">
        <v>151.23728737235101</v>
      </c>
      <c r="F4414">
        <v>0.74974605921522897</v>
      </c>
      <c r="G4414">
        <v>0.83401677890222303</v>
      </c>
      <c r="H4414" t="str">
        <f t="shared" si="68"/>
        <v>Q3</v>
      </c>
    </row>
    <row r="4415" spans="1:8">
      <c r="A4415">
        <v>753031</v>
      </c>
      <c r="B4415" t="s">
        <v>3451</v>
      </c>
      <c r="C4415">
        <v>51</v>
      </c>
      <c r="D4415">
        <v>2.96540375178059</v>
      </c>
      <c r="E4415">
        <v>151.23559134081</v>
      </c>
      <c r="F4415">
        <v>0.83762838117452298</v>
      </c>
      <c r="G4415">
        <v>0.83397915804522005</v>
      </c>
      <c r="H4415" t="str">
        <f t="shared" si="68"/>
        <v>Q4</v>
      </c>
    </row>
    <row r="4416" spans="1:8">
      <c r="A4416">
        <v>789362</v>
      </c>
      <c r="B4416" t="s">
        <v>4291</v>
      </c>
      <c r="C4416">
        <v>10</v>
      </c>
      <c r="D4416">
        <v>15.1181358098984</v>
      </c>
      <c r="E4416">
        <v>151.18135809898399</v>
      </c>
      <c r="F4416">
        <v>0.54821112824950202</v>
      </c>
      <c r="G4416">
        <v>0.83394153718821695</v>
      </c>
      <c r="H4416" t="str">
        <f t="shared" si="68"/>
        <v>Q3</v>
      </c>
    </row>
    <row r="4417" spans="1:8">
      <c r="A4417">
        <v>741716</v>
      </c>
      <c r="B4417" t="s">
        <v>2725</v>
      </c>
      <c r="C4417">
        <v>24</v>
      </c>
      <c r="D4417">
        <v>6.2965395239492299</v>
      </c>
      <c r="E4417">
        <v>151.11694857478099</v>
      </c>
      <c r="F4417">
        <v>0.72284714645799597</v>
      </c>
      <c r="G4417">
        <v>0.83390391633121397</v>
      </c>
      <c r="H4417" t="str">
        <f t="shared" si="68"/>
        <v>Q3</v>
      </c>
    </row>
    <row r="4418" spans="1:8">
      <c r="A4418">
        <v>625343</v>
      </c>
      <c r="B4418" t="s">
        <v>1698</v>
      </c>
      <c r="C4418">
        <v>39</v>
      </c>
      <c r="D4418">
        <v>3.8743155053219702</v>
      </c>
      <c r="E4418">
        <v>151.09830470755699</v>
      </c>
      <c r="F4418">
        <v>0.80087280388247195</v>
      </c>
      <c r="G4418">
        <v>0.83386629547421098</v>
      </c>
      <c r="H4418" t="str">
        <f t="shared" si="68"/>
        <v>Q4</v>
      </c>
    </row>
    <row r="4419" spans="1:8">
      <c r="A4419">
        <v>789081</v>
      </c>
      <c r="B4419" t="s">
        <v>3234</v>
      </c>
      <c r="C4419">
        <v>35</v>
      </c>
      <c r="D4419">
        <v>4.3170460579650696</v>
      </c>
      <c r="E4419">
        <v>151.096612028778</v>
      </c>
      <c r="F4419">
        <v>0.78420676423008895</v>
      </c>
      <c r="G4419">
        <v>0.833828674617208</v>
      </c>
      <c r="H4419" t="str">
        <f t="shared" ref="H4419:H4482" si="69">IF(C4419&gt;$J$2,
   IF(D4419&gt;$J$3,"Q1","Q2"),
   IF(D4419&gt;$J$3,"Q3","Q4"))</f>
        <v>Q4</v>
      </c>
    </row>
    <row r="4420" spans="1:8">
      <c r="A4420">
        <v>635789</v>
      </c>
      <c r="B4420" t="s">
        <v>3327</v>
      </c>
      <c r="C4420">
        <v>107</v>
      </c>
      <c r="D4420">
        <v>1.4114208219172499</v>
      </c>
      <c r="E4420">
        <v>151.02202794514599</v>
      </c>
      <c r="F4420">
        <v>0.91791129001918703</v>
      </c>
      <c r="G4420">
        <v>0.83379105376020501</v>
      </c>
      <c r="H4420" t="str">
        <f t="shared" si="69"/>
        <v>Q4</v>
      </c>
    </row>
    <row r="4421" spans="1:8">
      <c r="A4421">
        <v>782328</v>
      </c>
      <c r="B4421" t="s">
        <v>1341</v>
      </c>
      <c r="C4421">
        <v>21</v>
      </c>
      <c r="D4421">
        <v>7.1902341963279799</v>
      </c>
      <c r="E4421">
        <v>150.99491812288801</v>
      </c>
      <c r="F4421">
        <v>0.70008652797110704</v>
      </c>
      <c r="G4421">
        <v>0.83375343290320203</v>
      </c>
      <c r="H4421" t="str">
        <f t="shared" si="69"/>
        <v>Q3</v>
      </c>
    </row>
    <row r="4422" spans="1:8">
      <c r="A4422">
        <v>751273</v>
      </c>
      <c r="B4422" t="s">
        <v>2110</v>
      </c>
      <c r="C4422">
        <v>47</v>
      </c>
      <c r="D4422">
        <v>3.2119725236391798</v>
      </c>
      <c r="E4422">
        <v>150.96270861104099</v>
      </c>
      <c r="F4422">
        <v>0.82641736578759295</v>
      </c>
      <c r="G4422">
        <v>0.83371581204619805</v>
      </c>
      <c r="H4422" t="str">
        <f t="shared" si="69"/>
        <v>Q4</v>
      </c>
    </row>
    <row r="4423" spans="1:8">
      <c r="A4423">
        <v>516741</v>
      </c>
      <c r="B4423" t="s">
        <v>4472</v>
      </c>
      <c r="C4423">
        <v>39</v>
      </c>
      <c r="D4423">
        <v>3.8696218807345799</v>
      </c>
      <c r="E4423">
        <v>150.915253348649</v>
      </c>
      <c r="F4423">
        <v>0.80087280388247195</v>
      </c>
      <c r="G4423">
        <v>0.83367819118919495</v>
      </c>
      <c r="H4423" t="str">
        <f t="shared" si="69"/>
        <v>Q4</v>
      </c>
    </row>
    <row r="4424" spans="1:8">
      <c r="A4424">
        <v>662773</v>
      </c>
      <c r="B4424" t="s">
        <v>2346</v>
      </c>
      <c r="C4424">
        <v>33</v>
      </c>
      <c r="D4424">
        <v>4.5718028012550196</v>
      </c>
      <c r="E4424">
        <v>150.86949244141601</v>
      </c>
      <c r="F4424">
        <v>0.77551634626236798</v>
      </c>
      <c r="G4424">
        <v>0.83364057033219197</v>
      </c>
      <c r="H4424" t="str">
        <f t="shared" si="69"/>
        <v>Q4</v>
      </c>
    </row>
    <row r="4425" spans="1:8">
      <c r="A4425">
        <v>763881</v>
      </c>
      <c r="B4425" t="s">
        <v>1546</v>
      </c>
      <c r="C4425">
        <v>35</v>
      </c>
      <c r="D4425">
        <v>4.3099274060555901</v>
      </c>
      <c r="E4425">
        <v>150.84745921194599</v>
      </c>
      <c r="F4425">
        <v>0.78420676423008895</v>
      </c>
      <c r="G4425">
        <v>0.83360294947518898</v>
      </c>
      <c r="H4425" t="str">
        <f t="shared" si="69"/>
        <v>Q4</v>
      </c>
    </row>
    <row r="4426" spans="1:8">
      <c r="A4426">
        <v>779827</v>
      </c>
      <c r="B4426" t="s">
        <v>3364</v>
      </c>
      <c r="C4426">
        <v>40</v>
      </c>
      <c r="D4426">
        <v>3.7709322292357701</v>
      </c>
      <c r="E4426">
        <v>150.83728916943099</v>
      </c>
      <c r="F4426">
        <v>0.804522027011775</v>
      </c>
      <c r="G4426">
        <v>0.833565328618186</v>
      </c>
      <c r="H4426" t="str">
        <f t="shared" si="69"/>
        <v>Q4</v>
      </c>
    </row>
    <row r="4427" spans="1:8">
      <c r="A4427">
        <v>719238</v>
      </c>
      <c r="B4427" t="s">
        <v>2234</v>
      </c>
      <c r="C4427">
        <v>62</v>
      </c>
      <c r="D4427">
        <v>2.4314652918086899</v>
      </c>
      <c r="E4427">
        <v>150.75084809213899</v>
      </c>
      <c r="F4427">
        <v>0.86238290508257798</v>
      </c>
      <c r="G4427">
        <v>0.83352770776118301</v>
      </c>
      <c r="H4427" t="str">
        <f t="shared" si="69"/>
        <v>Q4</v>
      </c>
    </row>
    <row r="4428" spans="1:8">
      <c r="A4428">
        <v>701735</v>
      </c>
      <c r="B4428" t="s">
        <v>1647</v>
      </c>
      <c r="C4428">
        <v>72</v>
      </c>
      <c r="D4428">
        <v>2.0935027381508702</v>
      </c>
      <c r="E4428">
        <v>150.732197146863</v>
      </c>
      <c r="F4428">
        <v>0.87957563673300498</v>
      </c>
      <c r="G4428">
        <v>0.83349008690418003</v>
      </c>
      <c r="H4428" t="str">
        <f t="shared" si="69"/>
        <v>Q4</v>
      </c>
    </row>
    <row r="4429" spans="1:8">
      <c r="A4429">
        <v>643700</v>
      </c>
      <c r="B4429" t="s">
        <v>4428</v>
      </c>
      <c r="C4429">
        <v>81</v>
      </c>
      <c r="D4429">
        <v>1.8607658581279301</v>
      </c>
      <c r="E4429">
        <v>150.72203450836199</v>
      </c>
      <c r="F4429">
        <v>0.89293104096911302</v>
      </c>
      <c r="G4429">
        <v>0.83345246604717704</v>
      </c>
      <c r="H4429" t="str">
        <f t="shared" si="69"/>
        <v>Q4</v>
      </c>
    </row>
    <row r="4430" spans="1:8">
      <c r="A4430">
        <v>729944</v>
      </c>
      <c r="B4430" t="s">
        <v>1569</v>
      </c>
      <c r="C4430">
        <v>42</v>
      </c>
      <c r="D4430">
        <v>3.5885795019566999</v>
      </c>
      <c r="E4430">
        <v>150.720339082181</v>
      </c>
      <c r="F4430">
        <v>0.81103043527331597</v>
      </c>
      <c r="G4430">
        <v>0.83341484519017295</v>
      </c>
      <c r="H4430" t="str">
        <f t="shared" si="69"/>
        <v>Q4</v>
      </c>
    </row>
    <row r="4431" spans="1:8">
      <c r="A4431">
        <v>176209</v>
      </c>
      <c r="B4431" t="s">
        <v>3344</v>
      </c>
      <c r="C4431">
        <v>44</v>
      </c>
      <c r="D4431">
        <v>3.42469183643433</v>
      </c>
      <c r="E4431">
        <v>150.686440803111</v>
      </c>
      <c r="F4431">
        <v>0.817689326962868</v>
      </c>
      <c r="G4431">
        <v>0.83337722433316996</v>
      </c>
      <c r="H4431" t="str">
        <f t="shared" si="69"/>
        <v>Q4</v>
      </c>
    </row>
    <row r="4432" spans="1:8">
      <c r="A4432">
        <v>650657</v>
      </c>
      <c r="B4432" t="s">
        <v>3524</v>
      </c>
      <c r="C4432">
        <v>26</v>
      </c>
      <c r="D4432">
        <v>5.79146029284367</v>
      </c>
      <c r="E4432">
        <v>150.57796761393499</v>
      </c>
      <c r="F4432">
        <v>0.73706783040517698</v>
      </c>
      <c r="G4432">
        <v>0.83333960347616698</v>
      </c>
      <c r="H4432" t="str">
        <f t="shared" si="69"/>
        <v>Q3</v>
      </c>
    </row>
    <row r="4433" spans="1:8">
      <c r="A4433">
        <v>588771</v>
      </c>
      <c r="B4433" t="s">
        <v>2717</v>
      </c>
      <c r="C4433">
        <v>68</v>
      </c>
      <c r="D4433">
        <v>2.2138334591599098</v>
      </c>
      <c r="E4433">
        <v>150.540675222874</v>
      </c>
      <c r="F4433">
        <v>0.87223956961739602</v>
      </c>
      <c r="G4433">
        <v>0.83330198261916399</v>
      </c>
      <c r="H4433" t="str">
        <f t="shared" si="69"/>
        <v>Q4</v>
      </c>
    </row>
    <row r="4434" spans="1:8">
      <c r="A4434">
        <v>716198</v>
      </c>
      <c r="B4434" t="s">
        <v>3372</v>
      </c>
      <c r="C4434">
        <v>40</v>
      </c>
      <c r="D4434">
        <v>3.7632627133279999</v>
      </c>
      <c r="E4434">
        <v>150.53050853312001</v>
      </c>
      <c r="F4434">
        <v>0.804522027011775</v>
      </c>
      <c r="G4434">
        <v>0.83326436176216101</v>
      </c>
      <c r="H4434" t="str">
        <f t="shared" si="69"/>
        <v>Q4</v>
      </c>
    </row>
    <row r="4435" spans="1:8">
      <c r="A4435">
        <v>680912</v>
      </c>
      <c r="B4435" t="s">
        <v>2753</v>
      </c>
      <c r="C4435">
        <v>150</v>
      </c>
      <c r="D4435">
        <v>1.00305081531405</v>
      </c>
      <c r="E4435">
        <v>150.457622297108</v>
      </c>
      <c r="F4435">
        <v>0.94292915992626303</v>
      </c>
      <c r="G4435">
        <v>0.83322674090515803</v>
      </c>
      <c r="H4435" t="str">
        <f t="shared" si="69"/>
        <v>Q4</v>
      </c>
    </row>
    <row r="4436" spans="1:8">
      <c r="A4436">
        <v>712228</v>
      </c>
      <c r="B4436" t="s">
        <v>622</v>
      </c>
      <c r="C4436">
        <v>31</v>
      </c>
      <c r="D4436">
        <v>4.8512302699588998</v>
      </c>
      <c r="E4436">
        <v>150.388138368726</v>
      </c>
      <c r="F4436">
        <v>0.766073511154584</v>
      </c>
      <c r="G4436">
        <v>0.83318912004815504</v>
      </c>
      <c r="H4436" t="str">
        <f t="shared" si="69"/>
        <v>Q4</v>
      </c>
    </row>
    <row r="4437" spans="1:8">
      <c r="A4437">
        <v>729322</v>
      </c>
      <c r="B4437" t="s">
        <v>420</v>
      </c>
      <c r="C4437">
        <v>172</v>
      </c>
      <c r="D4437">
        <v>0.87416238086514697</v>
      </c>
      <c r="E4437">
        <v>150.35592950880499</v>
      </c>
      <c r="F4437">
        <v>0.95082953989691898</v>
      </c>
      <c r="G4437">
        <v>0.83315149919115195</v>
      </c>
      <c r="H4437" t="str">
        <f t="shared" si="69"/>
        <v>Q2</v>
      </c>
    </row>
    <row r="4438" spans="1:8">
      <c r="A4438">
        <v>622969</v>
      </c>
      <c r="B4438" t="s">
        <v>4765</v>
      </c>
      <c r="C4438">
        <v>70</v>
      </c>
      <c r="D4438">
        <v>2.1477481922400798</v>
      </c>
      <c r="E4438">
        <v>150.342373456806</v>
      </c>
      <c r="F4438">
        <v>0.87555020503367098</v>
      </c>
      <c r="G4438">
        <v>0.83311387833414796</v>
      </c>
      <c r="H4438" t="str">
        <f t="shared" si="69"/>
        <v>Q4</v>
      </c>
    </row>
    <row r="4439" spans="1:8">
      <c r="A4439">
        <v>804992</v>
      </c>
      <c r="B4439" t="s">
        <v>2222</v>
      </c>
      <c r="C4439">
        <v>61</v>
      </c>
      <c r="D4439">
        <v>2.4642400748905602</v>
      </c>
      <c r="E4439">
        <v>150.318644568324</v>
      </c>
      <c r="F4439">
        <v>0.86035137880440904</v>
      </c>
      <c r="G4439">
        <v>0.83307625747714498</v>
      </c>
      <c r="H4439" t="str">
        <f t="shared" si="69"/>
        <v>Q4</v>
      </c>
    </row>
    <row r="4440" spans="1:8">
      <c r="A4440">
        <v>622094</v>
      </c>
      <c r="B4440" t="s">
        <v>1786</v>
      </c>
      <c r="C4440">
        <v>61</v>
      </c>
      <c r="D4440">
        <v>2.4638232194864398</v>
      </c>
      <c r="E4440">
        <v>150.29321638867299</v>
      </c>
      <c r="F4440">
        <v>0.86035137880440904</v>
      </c>
      <c r="G4440">
        <v>0.83303863662014199</v>
      </c>
      <c r="H4440" t="str">
        <f t="shared" si="69"/>
        <v>Q4</v>
      </c>
    </row>
    <row r="4441" spans="1:8">
      <c r="A4441">
        <v>812525</v>
      </c>
      <c r="B4441" t="s">
        <v>5120</v>
      </c>
      <c r="C4441">
        <v>91</v>
      </c>
      <c r="D4441">
        <v>1.6514806537428399</v>
      </c>
      <c r="E4441">
        <v>150.28473949059801</v>
      </c>
      <c r="F4441">
        <v>0.90350250178699099</v>
      </c>
      <c r="G4441">
        <v>0.83300101576313901</v>
      </c>
      <c r="H4441" t="str">
        <f t="shared" si="69"/>
        <v>Q4</v>
      </c>
    </row>
    <row r="4442" spans="1:8">
      <c r="A4442">
        <v>804666</v>
      </c>
      <c r="B4442" t="s">
        <v>3818</v>
      </c>
      <c r="C4442">
        <v>32</v>
      </c>
      <c r="D4442">
        <v>4.6954450081102603</v>
      </c>
      <c r="E4442">
        <v>150.25424025952799</v>
      </c>
      <c r="F4442">
        <v>0.77096422256498998</v>
      </c>
      <c r="G4442">
        <v>0.83296339490613602</v>
      </c>
      <c r="H4442" t="str">
        <f t="shared" si="69"/>
        <v>Q4</v>
      </c>
    </row>
    <row r="4443" spans="1:8">
      <c r="A4443">
        <v>392938</v>
      </c>
      <c r="B4443" t="s">
        <v>4812</v>
      </c>
      <c r="C4443">
        <v>35</v>
      </c>
      <c r="D4443">
        <v>4.2922034407300602</v>
      </c>
      <c r="E4443">
        <v>150.22712042555199</v>
      </c>
      <c r="F4443">
        <v>0.78420676423008895</v>
      </c>
      <c r="G4443">
        <v>0.83292577404913304</v>
      </c>
      <c r="H4443" t="str">
        <f t="shared" si="69"/>
        <v>Q4</v>
      </c>
    </row>
    <row r="4444" spans="1:8">
      <c r="A4444">
        <v>694030</v>
      </c>
      <c r="B4444" t="s">
        <v>2103</v>
      </c>
      <c r="C4444">
        <v>49</v>
      </c>
      <c r="D4444">
        <v>3.0650293549560801</v>
      </c>
      <c r="E4444">
        <v>150.186438392848</v>
      </c>
      <c r="F4444">
        <v>0.83258718633610496</v>
      </c>
      <c r="G4444">
        <v>0.83288815319213005</v>
      </c>
      <c r="H4444" t="str">
        <f t="shared" si="69"/>
        <v>Q4</v>
      </c>
    </row>
    <row r="4445" spans="1:8">
      <c r="A4445">
        <v>810156</v>
      </c>
      <c r="B4445" t="s">
        <v>2560</v>
      </c>
      <c r="C4445">
        <v>32</v>
      </c>
      <c r="D4445">
        <v>4.6923200134187901</v>
      </c>
      <c r="E4445">
        <v>150.154240429401</v>
      </c>
      <c r="F4445">
        <v>0.77096422256498998</v>
      </c>
      <c r="G4445">
        <v>0.83285053233512696</v>
      </c>
      <c r="H4445" t="str">
        <f t="shared" si="69"/>
        <v>Q4</v>
      </c>
    </row>
    <row r="4446" spans="1:8">
      <c r="A4446">
        <v>790350</v>
      </c>
      <c r="B4446" t="s">
        <v>2582</v>
      </c>
      <c r="C4446">
        <v>26</v>
      </c>
      <c r="D4446">
        <v>5.7687094005254602</v>
      </c>
      <c r="E4446">
        <v>149.98644441366201</v>
      </c>
      <c r="F4446">
        <v>0.73706783040517698</v>
      </c>
      <c r="G4446">
        <v>0.83281291147812297</v>
      </c>
      <c r="H4446" t="str">
        <f t="shared" si="69"/>
        <v>Q3</v>
      </c>
    </row>
    <row r="4447" spans="1:8">
      <c r="A4447">
        <v>728090</v>
      </c>
      <c r="B4447" t="s">
        <v>1156</v>
      </c>
      <c r="C4447">
        <v>18</v>
      </c>
      <c r="D4447">
        <v>8.3316385332081104</v>
      </c>
      <c r="E4447">
        <v>149.96949359774601</v>
      </c>
      <c r="F4447">
        <v>0.67044129265264696</v>
      </c>
      <c r="G4447">
        <v>0.83277529062111999</v>
      </c>
      <c r="H4447" t="str">
        <f t="shared" si="69"/>
        <v>Q3</v>
      </c>
    </row>
    <row r="4448" spans="1:8">
      <c r="A4448">
        <v>790907</v>
      </c>
      <c r="B4448" t="s">
        <v>3144</v>
      </c>
      <c r="C4448">
        <v>18</v>
      </c>
      <c r="D4448">
        <v>8.3302260686953904</v>
      </c>
      <c r="E4448">
        <v>149.94406923651701</v>
      </c>
      <c r="F4448">
        <v>0.67044129265264696</v>
      </c>
      <c r="G4448">
        <v>0.83273766976411701</v>
      </c>
      <c r="H4448" t="str">
        <f t="shared" si="69"/>
        <v>Q3</v>
      </c>
    </row>
    <row r="4449" spans="1:8">
      <c r="A4449">
        <v>392938</v>
      </c>
      <c r="B4449" t="s">
        <v>4813</v>
      </c>
      <c r="C4449">
        <v>31</v>
      </c>
      <c r="D4449">
        <v>4.8366321190711004</v>
      </c>
      <c r="E4449">
        <v>149.93559569120401</v>
      </c>
      <c r="F4449">
        <v>0.766073511154584</v>
      </c>
      <c r="G4449">
        <v>0.83270004890711402</v>
      </c>
      <c r="H4449" t="str">
        <f t="shared" si="69"/>
        <v>Q4</v>
      </c>
    </row>
    <row r="4450" spans="1:8">
      <c r="A4450">
        <v>718272</v>
      </c>
      <c r="B4450" t="s">
        <v>4668</v>
      </c>
      <c r="C4450">
        <v>64</v>
      </c>
      <c r="D4450">
        <v>2.3419756354996899</v>
      </c>
      <c r="E4450">
        <v>149.88644067198001</v>
      </c>
      <c r="F4450">
        <v>0.86633309506790601</v>
      </c>
      <c r="G4450">
        <v>0.83266242805011104</v>
      </c>
      <c r="H4450" t="str">
        <f t="shared" si="69"/>
        <v>Q4</v>
      </c>
    </row>
    <row r="4451" spans="1:8">
      <c r="A4451">
        <v>490436</v>
      </c>
      <c r="B4451" t="s">
        <v>227</v>
      </c>
      <c r="C4451">
        <v>95</v>
      </c>
      <c r="D4451">
        <v>1.57775193992022</v>
      </c>
      <c r="E4451">
        <v>149.886434292421</v>
      </c>
      <c r="F4451">
        <v>0.90760317520033096</v>
      </c>
      <c r="G4451">
        <v>0.83262480719310805</v>
      </c>
      <c r="H4451" t="str">
        <f t="shared" si="69"/>
        <v>Q4</v>
      </c>
    </row>
    <row r="4452" spans="1:8">
      <c r="A4452">
        <v>715312</v>
      </c>
      <c r="B4452" t="s">
        <v>2148</v>
      </c>
      <c r="C4452">
        <v>58</v>
      </c>
      <c r="D4452">
        <v>2.5831384552193102</v>
      </c>
      <c r="E4452">
        <v>149.82203040272</v>
      </c>
      <c r="F4452">
        <v>0.853993453970881</v>
      </c>
      <c r="G4452">
        <v>0.83258718633610496</v>
      </c>
      <c r="H4452" t="str">
        <f t="shared" si="69"/>
        <v>Q4</v>
      </c>
    </row>
    <row r="4453" spans="1:8">
      <c r="A4453">
        <v>748032</v>
      </c>
      <c r="B4453" t="s">
        <v>403</v>
      </c>
      <c r="C4453">
        <v>23</v>
      </c>
      <c r="D4453">
        <v>6.5100220234497703</v>
      </c>
      <c r="E4453">
        <v>149.73050653934499</v>
      </c>
      <c r="F4453">
        <v>0.71547345848538402</v>
      </c>
      <c r="G4453">
        <v>0.83254956547910197</v>
      </c>
      <c r="H4453" t="str">
        <f t="shared" si="69"/>
        <v>Q3</v>
      </c>
    </row>
    <row r="4454" spans="1:8">
      <c r="A4454">
        <v>704698</v>
      </c>
      <c r="B4454" t="s">
        <v>5183</v>
      </c>
      <c r="C4454">
        <v>24</v>
      </c>
      <c r="D4454">
        <v>6.2382062897086099</v>
      </c>
      <c r="E4454">
        <v>149.716950953007</v>
      </c>
      <c r="F4454">
        <v>0.72284714645799597</v>
      </c>
      <c r="G4454">
        <v>0.83251194462209899</v>
      </c>
      <c r="H4454" t="str">
        <f t="shared" si="69"/>
        <v>Q3</v>
      </c>
    </row>
    <row r="4455" spans="1:8">
      <c r="A4455">
        <v>456163</v>
      </c>
      <c r="B4455" t="s">
        <v>5207</v>
      </c>
      <c r="C4455">
        <v>47</v>
      </c>
      <c r="D4455">
        <v>3.18503421037755</v>
      </c>
      <c r="E4455">
        <v>149.69660788774499</v>
      </c>
      <c r="F4455">
        <v>0.82641736578759295</v>
      </c>
      <c r="G4455">
        <v>0.832474323765095</v>
      </c>
      <c r="H4455" t="str">
        <f t="shared" si="69"/>
        <v>Q4</v>
      </c>
    </row>
    <row r="4456" spans="1:8">
      <c r="A4456">
        <v>673643</v>
      </c>
      <c r="B4456" t="s">
        <v>1226</v>
      </c>
      <c r="C4456">
        <v>55</v>
      </c>
      <c r="D4456">
        <v>2.72061632099477</v>
      </c>
      <c r="E4456">
        <v>149.633897654712</v>
      </c>
      <c r="F4456">
        <v>0.84763552913735396</v>
      </c>
      <c r="G4456">
        <v>0.83243670290809202</v>
      </c>
      <c r="H4456" t="str">
        <f t="shared" si="69"/>
        <v>Q4</v>
      </c>
    </row>
    <row r="4457" spans="1:8">
      <c r="A4457">
        <v>770700</v>
      </c>
      <c r="B4457" t="s">
        <v>2590</v>
      </c>
      <c r="C4457">
        <v>48</v>
      </c>
      <c r="D4457">
        <v>3.11691379950692</v>
      </c>
      <c r="E4457">
        <v>149.611862376332</v>
      </c>
      <c r="F4457">
        <v>0.82957751777585498</v>
      </c>
      <c r="G4457">
        <v>0.83239908205108903</v>
      </c>
      <c r="H4457" t="str">
        <f t="shared" si="69"/>
        <v>Q4</v>
      </c>
    </row>
    <row r="4458" spans="1:8">
      <c r="A4458">
        <v>783310</v>
      </c>
      <c r="B4458" t="s">
        <v>4215</v>
      </c>
      <c r="C4458">
        <v>21</v>
      </c>
      <c r="D4458">
        <v>7.1242128809293099</v>
      </c>
      <c r="E4458">
        <v>149.60847049951599</v>
      </c>
      <c r="F4458">
        <v>0.70008652797110704</v>
      </c>
      <c r="G4458">
        <v>0.83236146119408605</v>
      </c>
      <c r="H4458" t="str">
        <f t="shared" si="69"/>
        <v>Q3</v>
      </c>
    </row>
    <row r="4459" spans="1:8">
      <c r="A4459">
        <v>746518</v>
      </c>
      <c r="B4459" t="s">
        <v>490</v>
      </c>
      <c r="C4459">
        <v>47</v>
      </c>
      <c r="D4459">
        <v>3.18146406256772</v>
      </c>
      <c r="E4459">
        <v>149.528810940683</v>
      </c>
      <c r="F4459">
        <v>0.82641736578759295</v>
      </c>
      <c r="G4459">
        <v>0.83232384033708295</v>
      </c>
      <c r="H4459" t="str">
        <f t="shared" si="69"/>
        <v>Q4</v>
      </c>
    </row>
    <row r="4460" spans="1:8">
      <c r="A4460">
        <v>686028</v>
      </c>
      <c r="B4460" t="s">
        <v>639</v>
      </c>
      <c r="C4460">
        <v>29</v>
      </c>
      <c r="D4460">
        <v>5.1552894300427896</v>
      </c>
      <c r="E4460">
        <v>149.503393471241</v>
      </c>
      <c r="F4460">
        <v>0.75501297919566601</v>
      </c>
      <c r="G4460">
        <v>0.83228621948007997</v>
      </c>
      <c r="H4460" t="str">
        <f t="shared" si="69"/>
        <v>Q3</v>
      </c>
    </row>
    <row r="4461" spans="1:8">
      <c r="A4461">
        <v>783624</v>
      </c>
      <c r="B4461" t="s">
        <v>4776</v>
      </c>
      <c r="C4461">
        <v>16</v>
      </c>
      <c r="D4461">
        <v>9.3375000637024606</v>
      </c>
      <c r="E4461">
        <v>149.400001019239</v>
      </c>
      <c r="F4461">
        <v>0.64756781159474797</v>
      </c>
      <c r="G4461">
        <v>0.83224859862307698</v>
      </c>
      <c r="H4461" t="str">
        <f t="shared" si="69"/>
        <v>Q3</v>
      </c>
    </row>
    <row r="4462" spans="1:8">
      <c r="A4462">
        <v>643591</v>
      </c>
      <c r="B4462" t="s">
        <v>2948</v>
      </c>
      <c r="C4462">
        <v>36</v>
      </c>
      <c r="D4462">
        <v>4.1499058897089602</v>
      </c>
      <c r="E4462">
        <v>149.396612029523</v>
      </c>
      <c r="F4462">
        <v>0.78890937135547901</v>
      </c>
      <c r="G4462">
        <v>0.832210977766074</v>
      </c>
      <c r="H4462" t="str">
        <f t="shared" si="69"/>
        <v>Q4</v>
      </c>
    </row>
    <row r="4463" spans="1:8">
      <c r="A4463">
        <v>751560</v>
      </c>
      <c r="B4463" t="s">
        <v>2200</v>
      </c>
      <c r="C4463">
        <v>54</v>
      </c>
      <c r="D4463">
        <v>2.7654111212878298</v>
      </c>
      <c r="E4463">
        <v>149.33220054954299</v>
      </c>
      <c r="F4463">
        <v>0.84515255257514799</v>
      </c>
      <c r="G4463">
        <v>0.83217335690907002</v>
      </c>
      <c r="H4463" t="str">
        <f t="shared" si="69"/>
        <v>Q4</v>
      </c>
    </row>
    <row r="4464" spans="1:8">
      <c r="A4464">
        <v>701359</v>
      </c>
      <c r="B4464" t="s">
        <v>1035</v>
      </c>
      <c r="C4464">
        <v>14</v>
      </c>
      <c r="D4464">
        <v>10.662348781313201</v>
      </c>
      <c r="E4464">
        <v>149.27288293838501</v>
      </c>
      <c r="F4464">
        <v>0.62070651969451895</v>
      </c>
      <c r="G4464">
        <v>0.83213573605206703</v>
      </c>
      <c r="H4464" t="str">
        <f t="shared" si="69"/>
        <v>Q3</v>
      </c>
    </row>
    <row r="4465" spans="1:8">
      <c r="A4465">
        <v>641187</v>
      </c>
      <c r="B4465" t="s">
        <v>1243</v>
      </c>
      <c r="C4465">
        <v>35</v>
      </c>
      <c r="D4465">
        <v>4.2641647426145397</v>
      </c>
      <c r="E4465">
        <v>149.24576599150899</v>
      </c>
      <c r="F4465">
        <v>0.78420676423008895</v>
      </c>
      <c r="G4465">
        <v>0.83209811519506405</v>
      </c>
      <c r="H4465" t="str">
        <f t="shared" si="69"/>
        <v>Q4</v>
      </c>
    </row>
    <row r="4466" spans="1:8">
      <c r="A4466">
        <v>637274</v>
      </c>
      <c r="B4466" t="s">
        <v>716</v>
      </c>
      <c r="C4466">
        <v>31</v>
      </c>
      <c r="D4466">
        <v>4.8136687356858499</v>
      </c>
      <c r="E4466">
        <v>149.22373080626099</v>
      </c>
      <c r="F4466">
        <v>0.766073511154584</v>
      </c>
      <c r="G4466">
        <v>0.83206049433806095</v>
      </c>
      <c r="H4466" t="str">
        <f t="shared" si="69"/>
        <v>Q4</v>
      </c>
    </row>
    <row r="4467" spans="1:8">
      <c r="A4467">
        <v>611584</v>
      </c>
      <c r="B4467" t="s">
        <v>3819</v>
      </c>
      <c r="C4467">
        <v>76</v>
      </c>
      <c r="D4467">
        <v>1.9625110809054001</v>
      </c>
      <c r="E4467">
        <v>149.15084214881099</v>
      </c>
      <c r="F4467">
        <v>0.88612166585154795</v>
      </c>
      <c r="G4467">
        <v>0.83202287348105797</v>
      </c>
      <c r="H4467" t="str">
        <f t="shared" si="69"/>
        <v>Q4</v>
      </c>
    </row>
    <row r="4468" spans="1:8">
      <c r="A4468">
        <v>830166</v>
      </c>
      <c r="B4468" t="s">
        <v>619</v>
      </c>
      <c r="C4468">
        <v>16</v>
      </c>
      <c r="D4468">
        <v>9.3216102104633993</v>
      </c>
      <c r="E4468">
        <v>149.14576336741399</v>
      </c>
      <c r="F4468">
        <v>0.64756781159474797</v>
      </c>
      <c r="G4468">
        <v>0.83198525262405498</v>
      </c>
      <c r="H4468" t="str">
        <f t="shared" si="69"/>
        <v>Q3</v>
      </c>
    </row>
    <row r="4469" spans="1:8">
      <c r="A4469">
        <v>685007</v>
      </c>
      <c r="B4469" t="s">
        <v>3830</v>
      </c>
      <c r="C4469">
        <v>15</v>
      </c>
      <c r="D4469">
        <v>9.9414691329002398</v>
      </c>
      <c r="E4469">
        <v>149.122036993504</v>
      </c>
      <c r="F4469">
        <v>0.63496482449870195</v>
      </c>
      <c r="G4469">
        <v>0.831947631767052</v>
      </c>
      <c r="H4469" t="str">
        <f t="shared" si="69"/>
        <v>Q3</v>
      </c>
    </row>
    <row r="4470" spans="1:8">
      <c r="A4470">
        <v>654266</v>
      </c>
      <c r="B4470" t="s">
        <v>4670</v>
      </c>
      <c r="C4470">
        <v>78</v>
      </c>
      <c r="D4470">
        <v>1.91138626601643</v>
      </c>
      <c r="E4470">
        <v>149.088128749281</v>
      </c>
      <c r="F4470">
        <v>0.88867988412776</v>
      </c>
      <c r="G4470">
        <v>0.83191001091004901</v>
      </c>
      <c r="H4470" t="str">
        <f t="shared" si="69"/>
        <v>Q4</v>
      </c>
    </row>
    <row r="4471" spans="1:8">
      <c r="A4471">
        <v>771414</v>
      </c>
      <c r="B4471" t="s">
        <v>2854</v>
      </c>
      <c r="C4471">
        <v>36</v>
      </c>
      <c r="D4471">
        <v>4.1402071714401201</v>
      </c>
      <c r="E4471">
        <v>149.047458171844</v>
      </c>
      <c r="F4471">
        <v>0.78890937135547901</v>
      </c>
      <c r="G4471">
        <v>0.83187239005304503</v>
      </c>
      <c r="H4471" t="str">
        <f t="shared" si="69"/>
        <v>Q4</v>
      </c>
    </row>
    <row r="4472" spans="1:8">
      <c r="A4472">
        <v>793850</v>
      </c>
      <c r="B4472" t="s">
        <v>367</v>
      </c>
      <c r="C4472">
        <v>27</v>
      </c>
      <c r="D4472">
        <v>5.5192719317144796</v>
      </c>
      <c r="E4472">
        <v>149.02034215629101</v>
      </c>
      <c r="F4472">
        <v>0.74312478838267904</v>
      </c>
      <c r="G4472">
        <v>0.83183476919604205</v>
      </c>
      <c r="H4472" t="str">
        <f t="shared" si="69"/>
        <v>Q3</v>
      </c>
    </row>
    <row r="4473" spans="1:8">
      <c r="A4473">
        <v>723939</v>
      </c>
      <c r="B4473" t="s">
        <v>2828</v>
      </c>
      <c r="C4473">
        <v>30</v>
      </c>
      <c r="D4473">
        <v>4.9667231241862</v>
      </c>
      <c r="E4473">
        <v>149.00169372558599</v>
      </c>
      <c r="F4473">
        <v>0.760430382604116</v>
      </c>
      <c r="G4473">
        <v>0.83179714833903895</v>
      </c>
      <c r="H4473" t="str">
        <f t="shared" si="69"/>
        <v>Q3</v>
      </c>
    </row>
    <row r="4474" spans="1:8">
      <c r="A4474">
        <v>490176</v>
      </c>
      <c r="B4474" t="s">
        <v>1233</v>
      </c>
      <c r="C4474">
        <v>81</v>
      </c>
      <c r="D4474">
        <v>1.83892025221369</v>
      </c>
      <c r="E4474">
        <v>148.95254042930901</v>
      </c>
      <c r="F4474">
        <v>0.89293104096911302</v>
      </c>
      <c r="G4474">
        <v>0.83175952748203597</v>
      </c>
      <c r="H4474" t="str">
        <f t="shared" si="69"/>
        <v>Q4</v>
      </c>
    </row>
    <row r="4475" spans="1:8">
      <c r="A4475">
        <v>711427</v>
      </c>
      <c r="B4475" t="s">
        <v>2483</v>
      </c>
      <c r="C4475">
        <v>44</v>
      </c>
      <c r="D4475">
        <v>3.3846687335013002</v>
      </c>
      <c r="E4475">
        <v>148.92542427405701</v>
      </c>
      <c r="F4475">
        <v>0.817689326962868</v>
      </c>
      <c r="G4475">
        <v>0.83172190662503298</v>
      </c>
      <c r="H4475" t="str">
        <f t="shared" si="69"/>
        <v>Q4</v>
      </c>
    </row>
    <row r="4476" spans="1:8">
      <c r="A4476">
        <v>694478</v>
      </c>
      <c r="B4476" t="s">
        <v>559</v>
      </c>
      <c r="C4476">
        <v>23</v>
      </c>
      <c r="D4476">
        <v>6.4684599637985203</v>
      </c>
      <c r="E4476">
        <v>148.774579167366</v>
      </c>
      <c r="F4476">
        <v>0.71547345848538402</v>
      </c>
      <c r="G4476">
        <v>0.83168428576803</v>
      </c>
      <c r="H4476" t="str">
        <f t="shared" si="69"/>
        <v>Q3</v>
      </c>
    </row>
    <row r="4477" spans="1:8">
      <c r="A4477">
        <v>721589</v>
      </c>
      <c r="B4477" t="s">
        <v>4940</v>
      </c>
      <c r="C4477">
        <v>47</v>
      </c>
      <c r="D4477">
        <v>3.1653083940135698</v>
      </c>
      <c r="E4477">
        <v>148.769494518638</v>
      </c>
      <c r="F4477">
        <v>0.82641736578759295</v>
      </c>
      <c r="G4477">
        <v>0.83164666491102701</v>
      </c>
      <c r="H4477" t="str">
        <f t="shared" si="69"/>
        <v>Q4</v>
      </c>
    </row>
    <row r="4478" spans="1:8">
      <c r="A4478">
        <v>611635</v>
      </c>
      <c r="B4478" t="s">
        <v>4773</v>
      </c>
      <c r="C4478">
        <v>51</v>
      </c>
      <c r="D4478">
        <v>2.91575274119774</v>
      </c>
      <c r="E4478">
        <v>148.703389801085</v>
      </c>
      <c r="F4478">
        <v>0.83762838117452298</v>
      </c>
      <c r="G4478">
        <v>0.83160904405402403</v>
      </c>
      <c r="H4478" t="str">
        <f t="shared" si="69"/>
        <v>Q4</v>
      </c>
    </row>
    <row r="4479" spans="1:8">
      <c r="A4479">
        <v>640743</v>
      </c>
      <c r="B4479" t="s">
        <v>3384</v>
      </c>
      <c r="C4479">
        <v>33</v>
      </c>
      <c r="D4479">
        <v>4.5046739195558203</v>
      </c>
      <c r="E4479">
        <v>148.65423934534201</v>
      </c>
      <c r="F4479">
        <v>0.77551634626236798</v>
      </c>
      <c r="G4479">
        <v>0.83157142319702004</v>
      </c>
      <c r="H4479" t="str">
        <f t="shared" si="69"/>
        <v>Q4</v>
      </c>
    </row>
    <row r="4480" spans="1:8">
      <c r="A4480">
        <v>748853</v>
      </c>
      <c r="B4480" t="s">
        <v>1681</v>
      </c>
      <c r="C4480">
        <v>39</v>
      </c>
      <c r="D4480">
        <v>3.81099520585476</v>
      </c>
      <c r="E4480">
        <v>148.628813028336</v>
      </c>
      <c r="F4480">
        <v>0.80087280388247195</v>
      </c>
      <c r="G4480">
        <v>0.83153380234001695</v>
      </c>
      <c r="H4480" t="str">
        <f t="shared" si="69"/>
        <v>Q4</v>
      </c>
    </row>
    <row r="4481" spans="1:8">
      <c r="A4481">
        <v>691162</v>
      </c>
      <c r="B4481" t="s">
        <v>3152</v>
      </c>
      <c r="C4481">
        <v>75</v>
      </c>
      <c r="D4481">
        <v>1.98144627983371</v>
      </c>
      <c r="E4481">
        <v>148.60847098752899</v>
      </c>
      <c r="F4481">
        <v>0.88420300214438896</v>
      </c>
      <c r="G4481">
        <v>0.83149618148301396</v>
      </c>
      <c r="H4481" t="str">
        <f t="shared" si="69"/>
        <v>Q4</v>
      </c>
    </row>
    <row r="4482" spans="1:8">
      <c r="A4482">
        <v>724399</v>
      </c>
      <c r="B4482" t="s">
        <v>1054</v>
      </c>
      <c r="C4482">
        <v>133</v>
      </c>
      <c r="D4482">
        <v>1.1172295346702099</v>
      </c>
      <c r="E4482">
        <v>148.59152811113699</v>
      </c>
      <c r="F4482">
        <v>0.93476543395658596</v>
      </c>
      <c r="G4482">
        <v>0.83145856062601098</v>
      </c>
      <c r="H4482" t="str">
        <f t="shared" si="69"/>
        <v>Q4</v>
      </c>
    </row>
    <row r="4483" spans="1:8">
      <c r="A4483">
        <v>812432</v>
      </c>
      <c r="B4483" t="s">
        <v>3075</v>
      </c>
      <c r="C4483">
        <v>62</v>
      </c>
      <c r="D4483">
        <v>2.3943958488563402</v>
      </c>
      <c r="E4483">
        <v>148.45254262909299</v>
      </c>
      <c r="F4483">
        <v>0.86238290508257798</v>
      </c>
      <c r="G4483">
        <v>0.83142093976900799</v>
      </c>
      <c r="H4483" t="str">
        <f t="shared" ref="H4483:H4546" si="70">IF(C4483&gt;$J$2,
   IF(D4483&gt;$J$3,"Q1","Q2"),
   IF(D4483&gt;$J$3,"Q3","Q4"))</f>
        <v>Q4</v>
      </c>
    </row>
    <row r="4484" spans="1:8">
      <c r="A4484">
        <v>781785</v>
      </c>
      <c r="B4484" t="s">
        <v>276</v>
      </c>
      <c r="C4484">
        <v>20</v>
      </c>
      <c r="D4484">
        <v>7.4182200804352796</v>
      </c>
      <c r="E4484">
        <v>148.364401608706</v>
      </c>
      <c r="F4484">
        <v>0.69196042285843296</v>
      </c>
      <c r="G4484">
        <v>0.83138331891200501</v>
      </c>
      <c r="H4484" t="str">
        <f t="shared" si="70"/>
        <v>Q3</v>
      </c>
    </row>
    <row r="4485" spans="1:8">
      <c r="A4485">
        <v>751372</v>
      </c>
      <c r="B4485" t="s">
        <v>2911</v>
      </c>
      <c r="C4485">
        <v>60</v>
      </c>
      <c r="D4485">
        <v>2.4714689329266499</v>
      </c>
      <c r="E4485">
        <v>148.288135975599</v>
      </c>
      <c r="F4485">
        <v>0.85805650652721899</v>
      </c>
      <c r="G4485">
        <v>0.83134569805500202</v>
      </c>
      <c r="H4485" t="str">
        <f t="shared" si="70"/>
        <v>Q4</v>
      </c>
    </row>
    <row r="4486" spans="1:8">
      <c r="A4486">
        <v>754758</v>
      </c>
      <c r="B4486" t="s">
        <v>312</v>
      </c>
      <c r="C4486">
        <v>94</v>
      </c>
      <c r="D4486">
        <v>1.5771546589329499</v>
      </c>
      <c r="E4486">
        <v>148.25253793969799</v>
      </c>
      <c r="F4486">
        <v>0.906700274632256</v>
      </c>
      <c r="G4486">
        <v>0.83130807719799904</v>
      </c>
      <c r="H4486" t="str">
        <f t="shared" si="70"/>
        <v>Q4</v>
      </c>
    </row>
    <row r="4487" spans="1:8">
      <c r="A4487">
        <v>669993</v>
      </c>
      <c r="B4487" t="s">
        <v>2785</v>
      </c>
      <c r="C4487">
        <v>41</v>
      </c>
      <c r="D4487">
        <v>3.6136419989350399</v>
      </c>
      <c r="E4487">
        <v>148.15932195633599</v>
      </c>
      <c r="F4487">
        <v>0.80787028328505295</v>
      </c>
      <c r="G4487">
        <v>0.83127045634099594</v>
      </c>
      <c r="H4487" t="str">
        <f t="shared" si="70"/>
        <v>Q4</v>
      </c>
    </row>
    <row r="4488" spans="1:8">
      <c r="A4488">
        <v>408104</v>
      </c>
      <c r="B4488" t="s">
        <v>4814</v>
      </c>
      <c r="C4488">
        <v>48</v>
      </c>
      <c r="D4488">
        <v>3.0856284662149802</v>
      </c>
      <c r="E4488">
        <v>148.11016637831901</v>
      </c>
      <c r="F4488">
        <v>0.82957751777585498</v>
      </c>
      <c r="G4488">
        <v>0.83123283548399196</v>
      </c>
      <c r="H4488" t="str">
        <f t="shared" si="70"/>
        <v>Q4</v>
      </c>
    </row>
    <row r="4489" spans="1:8">
      <c r="A4489">
        <v>799044</v>
      </c>
      <c r="B4489" t="s">
        <v>661</v>
      </c>
      <c r="C4489">
        <v>32</v>
      </c>
      <c r="D4489">
        <v>4.6243115328252298</v>
      </c>
      <c r="E4489">
        <v>147.97796905040701</v>
      </c>
      <c r="F4489">
        <v>0.77096422256498998</v>
      </c>
      <c r="G4489">
        <v>0.83119521462698898</v>
      </c>
      <c r="H4489" t="str">
        <f t="shared" si="70"/>
        <v>Q4</v>
      </c>
    </row>
    <row r="4490" spans="1:8">
      <c r="A4490">
        <v>595928</v>
      </c>
      <c r="B4490" t="s">
        <v>2599</v>
      </c>
      <c r="C4490">
        <v>65</v>
      </c>
      <c r="D4490">
        <v>2.2763494129937398</v>
      </c>
      <c r="E4490">
        <v>147.962711844593</v>
      </c>
      <c r="F4490">
        <v>0.86802603363304598</v>
      </c>
      <c r="G4490">
        <v>0.83115759376998599</v>
      </c>
      <c r="H4490" t="str">
        <f t="shared" si="70"/>
        <v>Q4</v>
      </c>
    </row>
    <row r="4491" spans="1:8">
      <c r="A4491">
        <v>741143</v>
      </c>
      <c r="B4491" t="s">
        <v>4343</v>
      </c>
      <c r="C4491">
        <v>26</v>
      </c>
      <c r="D4491">
        <v>5.68943933512156</v>
      </c>
      <c r="E4491">
        <v>147.925422713161</v>
      </c>
      <c r="F4491">
        <v>0.73706783040517698</v>
      </c>
      <c r="G4491">
        <v>0.83111997291298301</v>
      </c>
      <c r="H4491" t="str">
        <f t="shared" si="70"/>
        <v>Q3</v>
      </c>
    </row>
    <row r="4492" spans="1:8">
      <c r="A4492">
        <v>756413</v>
      </c>
      <c r="B4492" t="s">
        <v>4194</v>
      </c>
      <c r="C4492">
        <v>65</v>
      </c>
      <c r="D4492">
        <v>2.2756974830722001</v>
      </c>
      <c r="E4492">
        <v>147.92033639969301</v>
      </c>
      <c r="F4492">
        <v>0.86802603363304598</v>
      </c>
      <c r="G4492">
        <v>0.83108235205598002</v>
      </c>
      <c r="H4492" t="str">
        <f t="shared" si="70"/>
        <v>Q4</v>
      </c>
    </row>
    <row r="4493" spans="1:8">
      <c r="A4493">
        <v>746644</v>
      </c>
      <c r="B4493" t="s">
        <v>1933</v>
      </c>
      <c r="C4493">
        <v>38</v>
      </c>
      <c r="D4493">
        <v>3.89183765571368</v>
      </c>
      <c r="E4493">
        <v>147.88983091712001</v>
      </c>
      <c r="F4493">
        <v>0.79696023475414801</v>
      </c>
      <c r="G4493">
        <v>0.83104473119897704</v>
      </c>
      <c r="H4493" t="str">
        <f t="shared" si="70"/>
        <v>Q4</v>
      </c>
    </row>
    <row r="4494" spans="1:8">
      <c r="A4494">
        <v>779241</v>
      </c>
      <c r="B4494" t="s">
        <v>3012</v>
      </c>
      <c r="C4494">
        <v>15</v>
      </c>
      <c r="D4494">
        <v>9.8589831590652501</v>
      </c>
      <c r="E4494">
        <v>147.88474738597901</v>
      </c>
      <c r="F4494">
        <v>0.63496482449870195</v>
      </c>
      <c r="G4494">
        <v>0.83100711034197405</v>
      </c>
      <c r="H4494" t="str">
        <f t="shared" si="70"/>
        <v>Q3</v>
      </c>
    </row>
    <row r="4495" spans="1:8">
      <c r="A4495">
        <v>765988</v>
      </c>
      <c r="B4495" t="s">
        <v>3042</v>
      </c>
      <c r="C4495">
        <v>70</v>
      </c>
      <c r="D4495">
        <v>2.1118643254573901</v>
      </c>
      <c r="E4495">
        <v>147.83050278201699</v>
      </c>
      <c r="F4495">
        <v>0.87555020503367098</v>
      </c>
      <c r="G4495">
        <v>0.83096948948497096</v>
      </c>
      <c r="H4495" t="str">
        <f t="shared" si="70"/>
        <v>Q4</v>
      </c>
    </row>
    <row r="4496" spans="1:8">
      <c r="A4496">
        <v>719214</v>
      </c>
      <c r="B4496" t="s">
        <v>3974</v>
      </c>
      <c r="C4496">
        <v>102</v>
      </c>
      <c r="D4496">
        <v>1.44896971098348</v>
      </c>
      <c r="E4496">
        <v>147.794910520315</v>
      </c>
      <c r="F4496">
        <v>0.91332154546480604</v>
      </c>
      <c r="G4496">
        <v>0.83093186862796697</v>
      </c>
      <c r="H4496" t="str">
        <f t="shared" si="70"/>
        <v>Q4</v>
      </c>
    </row>
    <row r="4497" spans="1:8">
      <c r="A4497">
        <v>569246</v>
      </c>
      <c r="B4497" t="s">
        <v>5074</v>
      </c>
      <c r="C4497">
        <v>49</v>
      </c>
      <c r="D4497">
        <v>3.0154271583472001</v>
      </c>
      <c r="E4497">
        <v>147.75593075901301</v>
      </c>
      <c r="F4497">
        <v>0.83258718633610496</v>
      </c>
      <c r="G4497">
        <v>0.83089424777096399</v>
      </c>
      <c r="H4497" t="str">
        <f t="shared" si="70"/>
        <v>Q4</v>
      </c>
    </row>
    <row r="4498" spans="1:8">
      <c r="A4498">
        <v>768921</v>
      </c>
      <c r="B4498" t="s">
        <v>4969</v>
      </c>
      <c r="C4498">
        <v>115</v>
      </c>
      <c r="D4498">
        <v>1.2846867991206401</v>
      </c>
      <c r="E4498">
        <v>147.73898189887399</v>
      </c>
      <c r="F4498">
        <v>0.92370490199766797</v>
      </c>
      <c r="G4498">
        <v>0.830856626913961</v>
      </c>
      <c r="H4498" t="str">
        <f t="shared" si="70"/>
        <v>Q4</v>
      </c>
    </row>
    <row r="4499" spans="1:8">
      <c r="A4499">
        <v>805388</v>
      </c>
      <c r="B4499" t="s">
        <v>3931</v>
      </c>
      <c r="C4499">
        <v>45</v>
      </c>
      <c r="D4499">
        <v>3.2822221558955</v>
      </c>
      <c r="E4499">
        <v>147.69999701529699</v>
      </c>
      <c r="F4499">
        <v>0.82069899552311798</v>
      </c>
      <c r="G4499">
        <v>0.83081900605695802</v>
      </c>
      <c r="H4499" t="str">
        <f t="shared" si="70"/>
        <v>Q4</v>
      </c>
    </row>
    <row r="4500" spans="1:8">
      <c r="A4500">
        <v>736311</v>
      </c>
      <c r="B4500" t="s">
        <v>3709</v>
      </c>
      <c r="C4500">
        <v>13</v>
      </c>
      <c r="D4500">
        <v>11.356844867651301</v>
      </c>
      <c r="E4500">
        <v>147.638983279467</v>
      </c>
      <c r="F4500">
        <v>0.60539483089424795</v>
      </c>
      <c r="G4500">
        <v>0.83078138519995504</v>
      </c>
      <c r="H4500" t="str">
        <f t="shared" si="70"/>
        <v>Q3</v>
      </c>
    </row>
    <row r="4501" spans="1:8">
      <c r="A4501">
        <v>807466</v>
      </c>
      <c r="B4501" t="s">
        <v>512</v>
      </c>
      <c r="C4501">
        <v>41</v>
      </c>
      <c r="D4501">
        <v>3.5964034588598599</v>
      </c>
      <c r="E4501">
        <v>147.45254181325399</v>
      </c>
      <c r="F4501">
        <v>0.80787028328505295</v>
      </c>
      <c r="G4501">
        <v>0.83074376434295205</v>
      </c>
      <c r="H4501" t="str">
        <f t="shared" si="70"/>
        <v>Q4</v>
      </c>
    </row>
    <row r="4502" spans="1:8">
      <c r="A4502">
        <v>724164</v>
      </c>
      <c r="B4502" t="s">
        <v>691</v>
      </c>
      <c r="C4502">
        <v>24</v>
      </c>
      <c r="D4502">
        <v>6.1427965605010604</v>
      </c>
      <c r="E4502">
        <v>147.42711745202499</v>
      </c>
      <c r="F4502">
        <v>0.72284714645799597</v>
      </c>
      <c r="G4502">
        <v>0.83070614348594896</v>
      </c>
      <c r="H4502" t="str">
        <f t="shared" si="70"/>
        <v>Q3</v>
      </c>
    </row>
    <row r="4503" spans="1:8">
      <c r="A4503">
        <v>735152</v>
      </c>
      <c r="B4503" t="s">
        <v>2736</v>
      </c>
      <c r="C4503">
        <v>20</v>
      </c>
      <c r="D4503">
        <v>7.37059330567718</v>
      </c>
      <c r="E4503">
        <v>147.41186611354399</v>
      </c>
      <c r="F4503">
        <v>0.69196042285843296</v>
      </c>
      <c r="G4503">
        <v>0.83066852262894597</v>
      </c>
      <c r="H4503" t="str">
        <f t="shared" si="70"/>
        <v>Q3</v>
      </c>
    </row>
    <row r="4504" spans="1:8">
      <c r="A4504">
        <v>760830</v>
      </c>
      <c r="B4504" t="s">
        <v>5170</v>
      </c>
      <c r="C4504">
        <v>46</v>
      </c>
      <c r="D4504">
        <v>3.2043109192391501</v>
      </c>
      <c r="E4504">
        <v>147.39830228500099</v>
      </c>
      <c r="F4504">
        <v>0.82378390579737404</v>
      </c>
      <c r="G4504">
        <v>0.83063090177194199</v>
      </c>
      <c r="H4504" t="str">
        <f t="shared" si="70"/>
        <v>Q4</v>
      </c>
    </row>
    <row r="4505" spans="1:8">
      <c r="A4505">
        <v>768549</v>
      </c>
      <c r="B4505" t="s">
        <v>3706</v>
      </c>
      <c r="C4505">
        <v>9</v>
      </c>
      <c r="D4505">
        <v>16.3672318061193</v>
      </c>
      <c r="E4505">
        <v>147.305086255074</v>
      </c>
      <c r="F4505">
        <v>0.52428426319551602</v>
      </c>
      <c r="G4505">
        <v>0.830593280914939</v>
      </c>
      <c r="H4505" t="str">
        <f t="shared" si="70"/>
        <v>Q3</v>
      </c>
    </row>
    <row r="4506" spans="1:8">
      <c r="A4506">
        <v>639511</v>
      </c>
      <c r="B4506" t="s">
        <v>3813</v>
      </c>
      <c r="C4506">
        <v>42</v>
      </c>
      <c r="D4506">
        <v>3.5071428399532998</v>
      </c>
      <c r="E4506">
        <v>147.299999278039</v>
      </c>
      <c r="F4506">
        <v>0.81103043527331597</v>
      </c>
      <c r="G4506">
        <v>0.83055566005793602</v>
      </c>
      <c r="H4506" t="str">
        <f t="shared" si="70"/>
        <v>Q4</v>
      </c>
    </row>
    <row r="4507" spans="1:8">
      <c r="A4507">
        <v>477163</v>
      </c>
      <c r="B4507" t="s">
        <v>4364</v>
      </c>
      <c r="C4507">
        <v>27</v>
      </c>
      <c r="D4507">
        <v>5.4524167716779104</v>
      </c>
      <c r="E4507">
        <v>147.215252835304</v>
      </c>
      <c r="F4507">
        <v>0.74312478838267904</v>
      </c>
      <c r="G4507">
        <v>0.83051803920093303</v>
      </c>
      <c r="H4507" t="str">
        <f t="shared" si="70"/>
        <v>Q3</v>
      </c>
    </row>
    <row r="4508" spans="1:8">
      <c r="A4508">
        <v>743641</v>
      </c>
      <c r="B4508" t="s">
        <v>1105</v>
      </c>
      <c r="C4508">
        <v>51</v>
      </c>
      <c r="D4508">
        <v>2.8852109779037698</v>
      </c>
      <c r="E4508">
        <v>147.145759873092</v>
      </c>
      <c r="F4508">
        <v>0.83762838117452298</v>
      </c>
      <c r="G4508">
        <v>0.83048041834393005</v>
      </c>
      <c r="H4508" t="str">
        <f t="shared" si="70"/>
        <v>Q4</v>
      </c>
    </row>
    <row r="4509" spans="1:8">
      <c r="A4509">
        <v>734623</v>
      </c>
      <c r="B4509" t="s">
        <v>4374</v>
      </c>
      <c r="C4509">
        <v>48</v>
      </c>
      <c r="D4509">
        <v>3.06306492420845</v>
      </c>
      <c r="E4509">
        <v>147.02711636200499</v>
      </c>
      <c r="F4509">
        <v>0.82957751777585498</v>
      </c>
      <c r="G4509">
        <v>0.83044279748692695</v>
      </c>
      <c r="H4509" t="str">
        <f t="shared" si="70"/>
        <v>Q4</v>
      </c>
    </row>
    <row r="4510" spans="1:8">
      <c r="A4510">
        <v>721021</v>
      </c>
      <c r="B4510" t="s">
        <v>2677</v>
      </c>
      <c r="C4510">
        <v>29</v>
      </c>
      <c r="D4510">
        <v>5.0668031362623998</v>
      </c>
      <c r="E4510">
        <v>146.93729095161001</v>
      </c>
      <c r="F4510">
        <v>0.75501297919566601</v>
      </c>
      <c r="G4510">
        <v>0.83040517662992397</v>
      </c>
      <c r="H4510" t="str">
        <f t="shared" si="70"/>
        <v>Q3</v>
      </c>
    </row>
    <row r="4511" spans="1:8">
      <c r="A4511">
        <v>765599</v>
      </c>
      <c r="B4511" t="s">
        <v>4684</v>
      </c>
      <c r="C4511">
        <v>49</v>
      </c>
      <c r="D4511">
        <v>2.9973019218566499</v>
      </c>
      <c r="E4511">
        <v>146.867794170976</v>
      </c>
      <c r="F4511">
        <v>0.83258718633610496</v>
      </c>
      <c r="G4511">
        <v>0.83036755577292098</v>
      </c>
      <c r="H4511" t="str">
        <f t="shared" si="70"/>
        <v>Q4</v>
      </c>
    </row>
    <row r="4512" spans="1:8">
      <c r="A4512">
        <v>748344</v>
      </c>
      <c r="B4512" t="s">
        <v>3520</v>
      </c>
      <c r="C4512">
        <v>28</v>
      </c>
      <c r="D4512">
        <v>5.2449756701077703</v>
      </c>
      <c r="E4512">
        <v>146.859318763018</v>
      </c>
      <c r="F4512">
        <v>0.74974605921522897</v>
      </c>
      <c r="G4512">
        <v>0.830329934915917</v>
      </c>
      <c r="H4512" t="str">
        <f t="shared" si="70"/>
        <v>Q3</v>
      </c>
    </row>
    <row r="4513" spans="1:8">
      <c r="A4513">
        <v>777743</v>
      </c>
      <c r="B4513" t="s">
        <v>1980</v>
      </c>
      <c r="C4513">
        <v>37</v>
      </c>
      <c r="D4513">
        <v>3.96743014807234</v>
      </c>
      <c r="E4513">
        <v>146.79491547867701</v>
      </c>
      <c r="F4513">
        <v>0.79304766562582296</v>
      </c>
      <c r="G4513">
        <v>0.83029231405891402</v>
      </c>
      <c r="H4513" t="str">
        <f t="shared" si="70"/>
        <v>Q4</v>
      </c>
    </row>
    <row r="4514" spans="1:8">
      <c r="A4514">
        <v>665657</v>
      </c>
      <c r="B4514" t="s">
        <v>1128</v>
      </c>
      <c r="C4514">
        <v>70</v>
      </c>
      <c r="D4514">
        <v>2.0968764248703202</v>
      </c>
      <c r="E4514">
        <v>146.781349740922</v>
      </c>
      <c r="F4514">
        <v>0.87555020503367098</v>
      </c>
      <c r="G4514">
        <v>0.83025469320191103</v>
      </c>
      <c r="H4514" t="str">
        <f t="shared" si="70"/>
        <v>Q4</v>
      </c>
    </row>
    <row r="4515" spans="1:8">
      <c r="A4515">
        <v>752471</v>
      </c>
      <c r="B4515" t="s">
        <v>904</v>
      </c>
      <c r="C4515">
        <v>31</v>
      </c>
      <c r="D4515">
        <v>4.73302358220662</v>
      </c>
      <c r="E4515">
        <v>146.723731048405</v>
      </c>
      <c r="F4515">
        <v>0.766073511154584</v>
      </c>
      <c r="G4515">
        <v>0.83021707234490805</v>
      </c>
      <c r="H4515" t="str">
        <f t="shared" si="70"/>
        <v>Q4</v>
      </c>
    </row>
    <row r="4516" spans="1:8">
      <c r="A4516">
        <v>801327</v>
      </c>
      <c r="B4516" t="s">
        <v>2404</v>
      </c>
      <c r="C4516">
        <v>14</v>
      </c>
      <c r="D4516">
        <v>10.476513206958799</v>
      </c>
      <c r="E4516">
        <v>146.67118489742299</v>
      </c>
      <c r="F4516">
        <v>0.62070651969451895</v>
      </c>
      <c r="G4516">
        <v>0.83017945148790495</v>
      </c>
      <c r="H4516" t="str">
        <f t="shared" si="70"/>
        <v>Q3</v>
      </c>
    </row>
    <row r="4517" spans="1:8">
      <c r="A4517">
        <v>619464</v>
      </c>
      <c r="B4517" t="s">
        <v>2897</v>
      </c>
      <c r="C4517">
        <v>141</v>
      </c>
      <c r="D4517">
        <v>1.04008893340377</v>
      </c>
      <c r="E4517">
        <v>146.65253960993101</v>
      </c>
      <c r="F4517">
        <v>0.939242315939957</v>
      </c>
      <c r="G4517">
        <v>0.83014183063090197</v>
      </c>
      <c r="H4517" t="str">
        <f t="shared" si="70"/>
        <v>Q4</v>
      </c>
    </row>
    <row r="4518" spans="1:8">
      <c r="A4518">
        <v>615959</v>
      </c>
      <c r="B4518" t="s">
        <v>4465</v>
      </c>
      <c r="C4518">
        <v>78</v>
      </c>
      <c r="D4518">
        <v>1.8791394541040101</v>
      </c>
      <c r="E4518">
        <v>146.57287742011201</v>
      </c>
      <c r="F4518">
        <v>0.88867988412776</v>
      </c>
      <c r="G4518">
        <v>0.83010420977389898</v>
      </c>
      <c r="H4518" t="str">
        <f t="shared" si="70"/>
        <v>Q4</v>
      </c>
    </row>
    <row r="4519" spans="1:8">
      <c r="A4519">
        <v>804084</v>
      </c>
      <c r="B4519" t="s">
        <v>2939</v>
      </c>
      <c r="C4519">
        <v>15</v>
      </c>
      <c r="D4519">
        <v>9.7655369838078805</v>
      </c>
      <c r="E4519">
        <v>146.483054757118</v>
      </c>
      <c r="F4519">
        <v>0.63496482449870195</v>
      </c>
      <c r="G4519">
        <v>0.830066588916896</v>
      </c>
      <c r="H4519" t="str">
        <f t="shared" si="70"/>
        <v>Q3</v>
      </c>
    </row>
    <row r="4520" spans="1:8">
      <c r="A4520">
        <v>443078</v>
      </c>
      <c r="B4520" t="s">
        <v>791</v>
      </c>
      <c r="C4520">
        <v>27</v>
      </c>
      <c r="D4520">
        <v>5.4250470535070798</v>
      </c>
      <c r="E4520">
        <v>146.47627044469101</v>
      </c>
      <c r="F4520">
        <v>0.74312478838267904</v>
      </c>
      <c r="G4520">
        <v>0.83002896805989201</v>
      </c>
      <c r="H4520" t="str">
        <f t="shared" si="70"/>
        <v>Q3</v>
      </c>
    </row>
    <row r="4521" spans="1:8">
      <c r="A4521">
        <v>747444</v>
      </c>
      <c r="B4521" t="s">
        <v>400</v>
      </c>
      <c r="C4521">
        <v>111</v>
      </c>
      <c r="D4521">
        <v>1.31959076341544</v>
      </c>
      <c r="E4521">
        <v>146.474574739113</v>
      </c>
      <c r="F4521">
        <v>0.92084571686543004</v>
      </c>
      <c r="G4521">
        <v>0.82999134720288903</v>
      </c>
      <c r="H4521" t="str">
        <f t="shared" si="70"/>
        <v>Q4</v>
      </c>
    </row>
    <row r="4522" spans="1:8">
      <c r="A4522">
        <v>716118</v>
      </c>
      <c r="B4522" t="s">
        <v>4168</v>
      </c>
      <c r="C4522">
        <v>30</v>
      </c>
      <c r="D4522">
        <v>4.8812430227796204</v>
      </c>
      <c r="E4522">
        <v>146.43729068338899</v>
      </c>
      <c r="F4522">
        <v>0.760430382604116</v>
      </c>
      <c r="G4522">
        <v>0.82995372634588604</v>
      </c>
      <c r="H4522" t="str">
        <f t="shared" si="70"/>
        <v>Q4</v>
      </c>
    </row>
    <row r="4523" spans="1:8">
      <c r="A4523">
        <v>802549</v>
      </c>
      <c r="B4523" t="s">
        <v>3908</v>
      </c>
      <c r="C4523">
        <v>15</v>
      </c>
      <c r="D4523">
        <v>9.7534464796384199</v>
      </c>
      <c r="E4523">
        <v>146.30169719457601</v>
      </c>
      <c r="F4523">
        <v>0.63496482449870195</v>
      </c>
      <c r="G4523">
        <v>0.82991610548888295</v>
      </c>
      <c r="H4523" t="str">
        <f t="shared" si="70"/>
        <v>Q3</v>
      </c>
    </row>
    <row r="4524" spans="1:8">
      <c r="A4524">
        <v>700402</v>
      </c>
      <c r="B4524" t="s">
        <v>777</v>
      </c>
      <c r="C4524">
        <v>112</v>
      </c>
      <c r="D4524">
        <v>1.3055387269040299</v>
      </c>
      <c r="E4524">
        <v>146.220337413251</v>
      </c>
      <c r="F4524">
        <v>0.92156051314848997</v>
      </c>
      <c r="G4524">
        <v>0.82987848463187996</v>
      </c>
      <c r="H4524" t="str">
        <f t="shared" si="70"/>
        <v>Q4</v>
      </c>
    </row>
    <row r="4525" spans="1:8">
      <c r="A4525">
        <v>665228</v>
      </c>
      <c r="B4525" t="s">
        <v>171</v>
      </c>
      <c r="C4525">
        <v>37</v>
      </c>
      <c r="D4525">
        <v>3.9515803630992399</v>
      </c>
      <c r="E4525">
        <v>146.20847343467199</v>
      </c>
      <c r="F4525">
        <v>0.79304766562582296</v>
      </c>
      <c r="G4525">
        <v>0.82984086377487698</v>
      </c>
      <c r="H4525" t="str">
        <f t="shared" si="70"/>
        <v>Q4</v>
      </c>
    </row>
    <row r="4526" spans="1:8">
      <c r="A4526">
        <v>739455</v>
      </c>
      <c r="B4526" t="s">
        <v>387</v>
      </c>
      <c r="C4526">
        <v>69</v>
      </c>
      <c r="D4526">
        <v>2.1179561990826099</v>
      </c>
      <c r="E4526">
        <v>146.13897773670001</v>
      </c>
      <c r="F4526">
        <v>0.87393250818253598</v>
      </c>
      <c r="G4526">
        <v>0.829803242917874</v>
      </c>
      <c r="H4526" t="str">
        <f t="shared" si="70"/>
        <v>Q4</v>
      </c>
    </row>
    <row r="4527" spans="1:8">
      <c r="A4527">
        <v>787387</v>
      </c>
      <c r="B4527" t="s">
        <v>3932</v>
      </c>
      <c r="C4527">
        <v>90</v>
      </c>
      <c r="D4527">
        <v>1.62257997215622</v>
      </c>
      <c r="E4527">
        <v>146.03219749406</v>
      </c>
      <c r="F4527">
        <v>0.90267484293292199</v>
      </c>
      <c r="G4527">
        <v>0.82976562206087101</v>
      </c>
      <c r="H4527" t="str">
        <f t="shared" si="70"/>
        <v>Q4</v>
      </c>
    </row>
    <row r="4528" spans="1:8">
      <c r="A4528">
        <v>796424</v>
      </c>
      <c r="B4528" t="s">
        <v>2643</v>
      </c>
      <c r="C4528">
        <v>37</v>
      </c>
      <c r="D4528">
        <v>3.9465414863583201</v>
      </c>
      <c r="E4528">
        <v>146.022034995258</v>
      </c>
      <c r="F4528">
        <v>0.79304766562582296</v>
      </c>
      <c r="G4528">
        <v>0.82972800120386703</v>
      </c>
      <c r="H4528" t="str">
        <f t="shared" si="70"/>
        <v>Q4</v>
      </c>
    </row>
    <row r="4529" spans="1:8">
      <c r="A4529">
        <v>787420</v>
      </c>
      <c r="B4529" t="s">
        <v>3169</v>
      </c>
      <c r="C4529">
        <v>17</v>
      </c>
      <c r="D4529">
        <v>8.5885343744474305</v>
      </c>
      <c r="E4529">
        <v>146.005084365606</v>
      </c>
      <c r="F4529">
        <v>0.65926789812271902</v>
      </c>
      <c r="G4529">
        <v>0.82969038034686404</v>
      </c>
      <c r="H4529" t="str">
        <f t="shared" si="70"/>
        <v>Q3</v>
      </c>
    </row>
    <row r="4530" spans="1:8">
      <c r="A4530">
        <v>752379</v>
      </c>
      <c r="B4530" t="s">
        <v>3120</v>
      </c>
      <c r="C4530">
        <v>50</v>
      </c>
      <c r="D4530">
        <v>2.9196271132677798</v>
      </c>
      <c r="E4530">
        <v>145.981355663389</v>
      </c>
      <c r="F4530">
        <v>0.83559685489635405</v>
      </c>
      <c r="G4530">
        <v>0.82965275948986095</v>
      </c>
      <c r="H4530" t="str">
        <f t="shared" si="70"/>
        <v>Q4</v>
      </c>
    </row>
    <row r="4531" spans="1:8">
      <c r="A4531">
        <v>754219</v>
      </c>
      <c r="B4531" t="s">
        <v>508</v>
      </c>
      <c r="C4531">
        <v>30</v>
      </c>
      <c r="D4531">
        <v>4.8642938708265602</v>
      </c>
      <c r="E4531">
        <v>145.92881612479701</v>
      </c>
      <c r="F4531">
        <v>0.760430382604116</v>
      </c>
      <c r="G4531">
        <v>0.82961513863285796</v>
      </c>
      <c r="H4531" t="str">
        <f t="shared" si="70"/>
        <v>Q4</v>
      </c>
    </row>
    <row r="4532" spans="1:8">
      <c r="A4532">
        <v>652747</v>
      </c>
      <c r="B4532" t="s">
        <v>1071</v>
      </c>
      <c r="C4532">
        <v>36</v>
      </c>
      <c r="D4532">
        <v>4.0529190692015797</v>
      </c>
      <c r="E4532">
        <v>145.90508649125701</v>
      </c>
      <c r="F4532">
        <v>0.78890937135547901</v>
      </c>
      <c r="G4532">
        <v>0.82957751777585498</v>
      </c>
      <c r="H4532" t="str">
        <f t="shared" si="70"/>
        <v>Q4</v>
      </c>
    </row>
    <row r="4533" spans="1:8">
      <c r="A4533">
        <v>764077</v>
      </c>
      <c r="B4533" t="s">
        <v>1768</v>
      </c>
      <c r="C4533">
        <v>26</v>
      </c>
      <c r="D4533">
        <v>5.6095177307724997</v>
      </c>
      <c r="E4533">
        <v>145.84746100008499</v>
      </c>
      <c r="F4533">
        <v>0.73706783040517698</v>
      </c>
      <c r="G4533">
        <v>0.82953989691885199</v>
      </c>
      <c r="H4533" t="str">
        <f t="shared" si="70"/>
        <v>Q3</v>
      </c>
    </row>
    <row r="4534" spans="1:8">
      <c r="A4534">
        <v>559139</v>
      </c>
      <c r="B4534" t="s">
        <v>2372</v>
      </c>
      <c r="C4534">
        <v>37</v>
      </c>
      <c r="D4534">
        <v>3.9396243824346602</v>
      </c>
      <c r="E4534">
        <v>145.76610215008299</v>
      </c>
      <c r="F4534">
        <v>0.79304766562582296</v>
      </c>
      <c r="G4534">
        <v>0.82950227606184901</v>
      </c>
      <c r="H4534" t="str">
        <f t="shared" si="70"/>
        <v>Q4</v>
      </c>
    </row>
    <row r="4535" spans="1:8">
      <c r="A4535">
        <v>776890</v>
      </c>
      <c r="B4535" t="s">
        <v>2227</v>
      </c>
      <c r="C4535">
        <v>42</v>
      </c>
      <c r="D4535">
        <v>3.46969330151166</v>
      </c>
      <c r="E4535">
        <v>145.72711866348999</v>
      </c>
      <c r="F4535">
        <v>0.81103043527331597</v>
      </c>
      <c r="G4535">
        <v>0.82946465520484602</v>
      </c>
      <c r="H4535" t="str">
        <f t="shared" si="70"/>
        <v>Q4</v>
      </c>
    </row>
    <row r="4536" spans="1:8">
      <c r="A4536">
        <v>837360</v>
      </c>
      <c r="B4536" t="s">
        <v>1795</v>
      </c>
      <c r="C4536">
        <v>26</v>
      </c>
      <c r="D4536">
        <v>5.6043677605115496</v>
      </c>
      <c r="E4536">
        <v>145.7135617733</v>
      </c>
      <c r="F4536">
        <v>0.73706783040517698</v>
      </c>
      <c r="G4536">
        <v>0.82942703434784204</v>
      </c>
      <c r="H4536" t="str">
        <f t="shared" si="70"/>
        <v>Q3</v>
      </c>
    </row>
    <row r="4537" spans="1:8">
      <c r="A4537">
        <v>805372</v>
      </c>
      <c r="B4537" t="s">
        <v>3227</v>
      </c>
      <c r="C4537">
        <v>45</v>
      </c>
      <c r="D4537">
        <v>3.23732574366861</v>
      </c>
      <c r="E4537">
        <v>145.67965846508699</v>
      </c>
      <c r="F4537">
        <v>0.82069899552311798</v>
      </c>
      <c r="G4537">
        <v>0.82938941349083894</v>
      </c>
      <c r="H4537" t="str">
        <f t="shared" si="70"/>
        <v>Q4</v>
      </c>
    </row>
    <row r="4538" spans="1:8">
      <c r="A4538">
        <v>829977</v>
      </c>
      <c r="B4538" t="s">
        <v>2384</v>
      </c>
      <c r="C4538">
        <v>92</v>
      </c>
      <c r="D4538">
        <v>1.58347452018896</v>
      </c>
      <c r="E4538">
        <v>145.67965585738401</v>
      </c>
      <c r="F4538">
        <v>0.90429253978405599</v>
      </c>
      <c r="G4538">
        <v>0.82935179263383596</v>
      </c>
      <c r="H4538" t="str">
        <f t="shared" si="70"/>
        <v>Q4</v>
      </c>
    </row>
    <row r="4539" spans="1:8">
      <c r="A4539">
        <v>774148</v>
      </c>
      <c r="B4539" t="s">
        <v>5016</v>
      </c>
      <c r="C4539">
        <v>52</v>
      </c>
      <c r="D4539">
        <v>2.8010756207200198</v>
      </c>
      <c r="E4539">
        <v>145.655932277441</v>
      </c>
      <c r="F4539">
        <v>0.84003611602272299</v>
      </c>
      <c r="G4539">
        <v>0.82931417177683298</v>
      </c>
      <c r="H4539" t="str">
        <f t="shared" si="70"/>
        <v>Q4</v>
      </c>
    </row>
    <row r="4540" spans="1:8">
      <c r="A4540">
        <v>810908</v>
      </c>
      <c r="B4540" t="s">
        <v>4309</v>
      </c>
      <c r="C4540">
        <v>52</v>
      </c>
      <c r="D4540">
        <v>2.7994784454886701</v>
      </c>
      <c r="E4540">
        <v>145.572879165411</v>
      </c>
      <c r="F4540">
        <v>0.84003611602272299</v>
      </c>
      <c r="G4540">
        <v>0.82927655091982999</v>
      </c>
      <c r="H4540" t="str">
        <f t="shared" si="70"/>
        <v>Q4</v>
      </c>
    </row>
    <row r="4541" spans="1:8">
      <c r="A4541">
        <v>774998</v>
      </c>
      <c r="B4541" t="s">
        <v>3622</v>
      </c>
      <c r="C4541">
        <v>31</v>
      </c>
      <c r="D4541">
        <v>4.6958448004818703</v>
      </c>
      <c r="E4541">
        <v>145.57118881493801</v>
      </c>
      <c r="F4541">
        <v>0.766073511154584</v>
      </c>
      <c r="G4541">
        <v>0.82923893006282701</v>
      </c>
      <c r="H4541" t="str">
        <f t="shared" si="70"/>
        <v>Q4</v>
      </c>
    </row>
    <row r="4542" spans="1:8">
      <c r="A4542">
        <v>787660</v>
      </c>
      <c r="B4542" t="s">
        <v>3920</v>
      </c>
      <c r="C4542">
        <v>11</v>
      </c>
      <c r="D4542">
        <v>13.2268109782176</v>
      </c>
      <c r="E4542">
        <v>145.494920760393</v>
      </c>
      <c r="F4542">
        <v>0.56957977502727497</v>
      </c>
      <c r="G4542">
        <v>0.82920130920582402</v>
      </c>
      <c r="H4542" t="str">
        <f t="shared" si="70"/>
        <v>Q3</v>
      </c>
    </row>
    <row r="4543" spans="1:8">
      <c r="A4543">
        <v>738777</v>
      </c>
      <c r="B4543" t="s">
        <v>3714</v>
      </c>
      <c r="C4543">
        <v>30</v>
      </c>
      <c r="D4543">
        <v>4.8459322936832896</v>
      </c>
      <c r="E4543">
        <v>145.377968810499</v>
      </c>
      <c r="F4543">
        <v>0.760430382604116</v>
      </c>
      <c r="G4543">
        <v>0.82916368834882104</v>
      </c>
      <c r="H4543" t="str">
        <f t="shared" si="70"/>
        <v>Q4</v>
      </c>
    </row>
    <row r="4544" spans="1:8">
      <c r="A4544">
        <v>573608</v>
      </c>
      <c r="B4544" t="s">
        <v>4397</v>
      </c>
      <c r="C4544">
        <v>46</v>
      </c>
      <c r="D4544">
        <v>3.1597641134715602</v>
      </c>
      <c r="E4544">
        <v>145.34914921969201</v>
      </c>
      <c r="F4544">
        <v>0.82378390579737404</v>
      </c>
      <c r="G4544">
        <v>0.82912606749181705</v>
      </c>
      <c r="H4544" t="str">
        <f t="shared" si="70"/>
        <v>Q4</v>
      </c>
    </row>
    <row r="4545" spans="1:8">
      <c r="A4545">
        <v>726355</v>
      </c>
      <c r="B4545" t="s">
        <v>4331</v>
      </c>
      <c r="C4545">
        <v>18</v>
      </c>
      <c r="D4545">
        <v>8.0727872749169691</v>
      </c>
      <c r="E4545">
        <v>145.310170948505</v>
      </c>
      <c r="F4545">
        <v>0.67044129265264696</v>
      </c>
      <c r="G4545">
        <v>0.82908844663481396</v>
      </c>
      <c r="H4545" t="str">
        <f t="shared" si="70"/>
        <v>Q3</v>
      </c>
    </row>
    <row r="4546" spans="1:8">
      <c r="A4546">
        <v>616635</v>
      </c>
      <c r="B4546" t="s">
        <v>3898</v>
      </c>
      <c r="C4546">
        <v>22</v>
      </c>
      <c r="D4546">
        <v>6.6026193343780299</v>
      </c>
      <c r="E4546">
        <v>145.25762535631699</v>
      </c>
      <c r="F4546">
        <v>0.707723561942741</v>
      </c>
      <c r="G4546">
        <v>0.82905082577781097</v>
      </c>
      <c r="H4546" t="str">
        <f t="shared" si="70"/>
        <v>Q3</v>
      </c>
    </row>
    <row r="4547" spans="1:8">
      <c r="A4547">
        <v>749854</v>
      </c>
      <c r="B4547" t="s">
        <v>4213</v>
      </c>
      <c r="C4547">
        <v>26</v>
      </c>
      <c r="D4547">
        <v>5.58487628228389</v>
      </c>
      <c r="E4547">
        <v>145.20678333938099</v>
      </c>
      <c r="F4547">
        <v>0.73706783040517698</v>
      </c>
      <c r="G4547">
        <v>0.82901320492080799</v>
      </c>
      <c r="H4547" t="str">
        <f t="shared" ref="H4547:H4610" si="71">IF(C4547&gt;$J$2,
   IF(D4547&gt;$J$3,"Q1","Q2"),
   IF(D4547&gt;$J$3,"Q3","Q4"))</f>
        <v>Q3</v>
      </c>
    </row>
    <row r="4548" spans="1:8">
      <c r="A4548">
        <v>659854</v>
      </c>
      <c r="B4548" t="s">
        <v>396</v>
      </c>
      <c r="C4548">
        <v>89</v>
      </c>
      <c r="D4548">
        <v>1.6314606067169899</v>
      </c>
      <c r="E4548">
        <v>145.19999399781199</v>
      </c>
      <c r="F4548">
        <v>0.90135811293781298</v>
      </c>
      <c r="G4548">
        <v>0.828975584063805</v>
      </c>
      <c r="H4548" t="str">
        <f t="shared" si="71"/>
        <v>Q4</v>
      </c>
    </row>
    <row r="4549" spans="1:8">
      <c r="A4549">
        <v>775838</v>
      </c>
      <c r="B4549" t="s">
        <v>1182</v>
      </c>
      <c r="C4549">
        <v>78</v>
      </c>
      <c r="D4549">
        <v>1.86121251959449</v>
      </c>
      <c r="E4549">
        <v>145.17457652837001</v>
      </c>
      <c r="F4549">
        <v>0.88867988412776</v>
      </c>
      <c r="G4549">
        <v>0.82893796320680202</v>
      </c>
      <c r="H4549" t="str">
        <f t="shared" si="71"/>
        <v>Q4</v>
      </c>
    </row>
    <row r="4550" spans="1:8">
      <c r="A4550">
        <v>814666</v>
      </c>
      <c r="B4550" t="s">
        <v>845</v>
      </c>
      <c r="C4550">
        <v>23</v>
      </c>
      <c r="D4550">
        <v>6.3113485098532998</v>
      </c>
      <c r="E4550">
        <v>145.161015726626</v>
      </c>
      <c r="F4550">
        <v>0.71547345848538402</v>
      </c>
      <c r="G4550">
        <v>0.82890034234979904</v>
      </c>
      <c r="H4550" t="str">
        <f t="shared" si="71"/>
        <v>Q3</v>
      </c>
    </row>
    <row r="4551" spans="1:8">
      <c r="A4551">
        <v>656519</v>
      </c>
      <c r="B4551" t="s">
        <v>249</v>
      </c>
      <c r="C4551">
        <v>49</v>
      </c>
      <c r="D4551">
        <v>2.9585610428939102</v>
      </c>
      <c r="E4551">
        <v>144.969491101801</v>
      </c>
      <c r="F4551">
        <v>0.83258718633610496</v>
      </c>
      <c r="G4551">
        <v>0.82886272149279605</v>
      </c>
      <c r="H4551" t="str">
        <f t="shared" si="71"/>
        <v>Q4</v>
      </c>
    </row>
    <row r="4552" spans="1:8">
      <c r="A4552">
        <v>718618</v>
      </c>
      <c r="B4552" t="s">
        <v>5080</v>
      </c>
      <c r="C4552">
        <v>31</v>
      </c>
      <c r="D4552">
        <v>4.6740842862956002</v>
      </c>
      <c r="E4552">
        <v>144.89661287516401</v>
      </c>
      <c r="F4552">
        <v>0.766073511154584</v>
      </c>
      <c r="G4552">
        <v>0.82882510063579296</v>
      </c>
      <c r="H4552" t="str">
        <f t="shared" si="71"/>
        <v>Q4</v>
      </c>
    </row>
    <row r="4553" spans="1:8">
      <c r="A4553">
        <v>788489</v>
      </c>
      <c r="B4553" t="s">
        <v>463</v>
      </c>
      <c r="C4553">
        <v>30</v>
      </c>
      <c r="D4553">
        <v>4.82943513120214</v>
      </c>
      <c r="E4553">
        <v>144.88305393606399</v>
      </c>
      <c r="F4553">
        <v>0.760430382604116</v>
      </c>
      <c r="G4553">
        <v>0.82878747977878897</v>
      </c>
      <c r="H4553" t="str">
        <f t="shared" si="71"/>
        <v>Q4</v>
      </c>
    </row>
    <row r="4554" spans="1:8">
      <c r="A4554">
        <v>552473</v>
      </c>
      <c r="B4554" t="s">
        <v>1295</v>
      </c>
      <c r="C4554">
        <v>84</v>
      </c>
      <c r="D4554">
        <v>1.72391041830581</v>
      </c>
      <c r="E4554">
        <v>144.80847513768799</v>
      </c>
      <c r="F4554">
        <v>0.89639215981340103</v>
      </c>
      <c r="G4554">
        <v>0.82874985892178599</v>
      </c>
      <c r="H4554" t="str">
        <f t="shared" si="71"/>
        <v>Q4</v>
      </c>
    </row>
    <row r="4555" spans="1:8">
      <c r="A4555">
        <v>674891</v>
      </c>
      <c r="B4555" t="s">
        <v>2162</v>
      </c>
      <c r="C4555">
        <v>42</v>
      </c>
      <c r="D4555">
        <v>3.44644870076861</v>
      </c>
      <c r="E4555">
        <v>144.75084543228101</v>
      </c>
      <c r="F4555">
        <v>0.81103043527331597</v>
      </c>
      <c r="G4555">
        <v>0.828712238064783</v>
      </c>
      <c r="H4555" t="str">
        <f t="shared" si="71"/>
        <v>Q4</v>
      </c>
    </row>
    <row r="4556" spans="1:8">
      <c r="A4556">
        <v>767423</v>
      </c>
      <c r="B4556" t="s">
        <v>2441</v>
      </c>
      <c r="C4556">
        <v>61</v>
      </c>
      <c r="D4556">
        <v>2.3721589401486498</v>
      </c>
      <c r="E4556">
        <v>144.70169534906699</v>
      </c>
      <c r="F4556">
        <v>0.86035137880440904</v>
      </c>
      <c r="G4556">
        <v>0.82867461720778002</v>
      </c>
      <c r="H4556" t="str">
        <f t="shared" si="71"/>
        <v>Q4</v>
      </c>
    </row>
    <row r="4557" spans="1:8">
      <c r="A4557">
        <v>807691</v>
      </c>
      <c r="B4557" t="s">
        <v>4323</v>
      </c>
      <c r="C4557">
        <v>45</v>
      </c>
      <c r="D4557">
        <v>3.2140112626883699</v>
      </c>
      <c r="E4557">
        <v>144.63050682097699</v>
      </c>
      <c r="F4557">
        <v>0.82069899552311798</v>
      </c>
      <c r="G4557">
        <v>0.82863699635077703</v>
      </c>
      <c r="H4557" t="str">
        <f t="shared" si="71"/>
        <v>Q4</v>
      </c>
    </row>
    <row r="4558" spans="1:8">
      <c r="A4558">
        <v>732207</v>
      </c>
      <c r="B4558" t="s">
        <v>1660</v>
      </c>
      <c r="C4558">
        <v>67</v>
      </c>
      <c r="D4558">
        <v>2.1573487613628202</v>
      </c>
      <c r="E4558">
        <v>144.54236701130901</v>
      </c>
      <c r="F4558">
        <v>0.87118618562130801</v>
      </c>
      <c r="G4558">
        <v>0.82859937549377405</v>
      </c>
      <c r="H4558" t="str">
        <f t="shared" si="71"/>
        <v>Q4</v>
      </c>
    </row>
    <row r="4559" spans="1:8">
      <c r="A4559">
        <v>748272</v>
      </c>
      <c r="B4559" t="s">
        <v>2382</v>
      </c>
      <c r="C4559">
        <v>29</v>
      </c>
      <c r="D4559">
        <v>4.9837522915211201</v>
      </c>
      <c r="E4559">
        <v>144.52881645411301</v>
      </c>
      <c r="F4559">
        <v>0.75501297919566601</v>
      </c>
      <c r="G4559">
        <v>0.82856175463677095</v>
      </c>
      <c r="H4559" t="str">
        <f t="shared" si="71"/>
        <v>Q3</v>
      </c>
    </row>
    <row r="4560" spans="1:8">
      <c r="A4560">
        <v>669500</v>
      </c>
      <c r="B4560" t="s">
        <v>850</v>
      </c>
      <c r="C4560">
        <v>50</v>
      </c>
      <c r="D4560">
        <v>2.8902372438460602</v>
      </c>
      <c r="E4560">
        <v>144.511862192303</v>
      </c>
      <c r="F4560">
        <v>0.83559685489635405</v>
      </c>
      <c r="G4560">
        <v>0.82852413377976797</v>
      </c>
      <c r="H4560" t="str">
        <f t="shared" si="71"/>
        <v>Q4</v>
      </c>
    </row>
    <row r="4561" spans="1:8">
      <c r="A4561">
        <v>760866</v>
      </c>
      <c r="B4561" t="s">
        <v>558</v>
      </c>
      <c r="C4561">
        <v>33</v>
      </c>
      <c r="D4561">
        <v>4.3785824920191896</v>
      </c>
      <c r="E4561">
        <v>144.49322223663299</v>
      </c>
      <c r="F4561">
        <v>0.77551634626236798</v>
      </c>
      <c r="G4561">
        <v>0.82848651292276398</v>
      </c>
      <c r="H4561" t="str">
        <f t="shared" si="71"/>
        <v>Q4</v>
      </c>
    </row>
    <row r="4562" spans="1:8">
      <c r="A4562">
        <v>721365</v>
      </c>
      <c r="B4562" t="s">
        <v>2249</v>
      </c>
      <c r="C4562">
        <v>60</v>
      </c>
      <c r="D4562">
        <v>2.40793786322077</v>
      </c>
      <c r="E4562">
        <v>144.47627179324601</v>
      </c>
      <c r="F4562">
        <v>0.85805650652721899</v>
      </c>
      <c r="G4562">
        <v>0.828448892065761</v>
      </c>
      <c r="H4562" t="str">
        <f t="shared" si="71"/>
        <v>Q4</v>
      </c>
    </row>
    <row r="4563" spans="1:8">
      <c r="A4563">
        <v>690980</v>
      </c>
      <c r="B4563" t="s">
        <v>3434</v>
      </c>
      <c r="C4563">
        <v>43</v>
      </c>
      <c r="D4563">
        <v>3.3597555531318801</v>
      </c>
      <c r="E4563">
        <v>144.469488784671</v>
      </c>
      <c r="F4563">
        <v>0.81437869154659304</v>
      </c>
      <c r="G4563">
        <v>0.82841127120875802</v>
      </c>
      <c r="H4563" t="str">
        <f t="shared" si="71"/>
        <v>Q4</v>
      </c>
    </row>
    <row r="4564" spans="1:8">
      <c r="A4564">
        <v>739296</v>
      </c>
      <c r="B4564" t="s">
        <v>4247</v>
      </c>
      <c r="C4564">
        <v>26</v>
      </c>
      <c r="D4564">
        <v>5.5558670455446597</v>
      </c>
      <c r="E4564">
        <v>144.45254318416099</v>
      </c>
      <c r="F4564">
        <v>0.73706783040517698</v>
      </c>
      <c r="G4564">
        <v>0.82837365035175503</v>
      </c>
      <c r="H4564" t="str">
        <f t="shared" si="71"/>
        <v>Q3</v>
      </c>
    </row>
    <row r="4565" spans="1:8">
      <c r="A4565">
        <v>501722</v>
      </c>
      <c r="B4565" t="s">
        <v>1819</v>
      </c>
      <c r="C4565">
        <v>43</v>
      </c>
      <c r="D4565">
        <v>3.35766652728929</v>
      </c>
      <c r="E4565">
        <v>144.37966067343999</v>
      </c>
      <c r="F4565">
        <v>0.81437869154659304</v>
      </c>
      <c r="G4565">
        <v>0.82833602949475205</v>
      </c>
      <c r="H4565" t="str">
        <f t="shared" si="71"/>
        <v>Q4</v>
      </c>
    </row>
    <row r="4566" spans="1:8">
      <c r="A4566">
        <v>758151</v>
      </c>
      <c r="B4566" t="s">
        <v>2877</v>
      </c>
      <c r="C4566">
        <v>29</v>
      </c>
      <c r="D4566">
        <v>4.9780830612470401</v>
      </c>
      <c r="E4566">
        <v>144.364408776164</v>
      </c>
      <c r="F4566">
        <v>0.75501297919566601</v>
      </c>
      <c r="G4566">
        <v>0.82829840863774895</v>
      </c>
      <c r="H4566" t="str">
        <f t="shared" si="71"/>
        <v>Q3</v>
      </c>
    </row>
    <row r="4567" spans="1:8">
      <c r="A4567">
        <v>784284</v>
      </c>
      <c r="B4567" t="s">
        <v>4052</v>
      </c>
      <c r="C4567">
        <v>19</v>
      </c>
      <c r="D4567">
        <v>7.5975914926905403</v>
      </c>
      <c r="E4567">
        <v>144.35423836112</v>
      </c>
      <c r="F4567">
        <v>0.68195327489560198</v>
      </c>
      <c r="G4567">
        <v>0.82826078778074597</v>
      </c>
      <c r="H4567" t="str">
        <f t="shared" si="71"/>
        <v>Q3</v>
      </c>
    </row>
    <row r="4568" spans="1:8">
      <c r="A4568">
        <v>776440</v>
      </c>
      <c r="B4568" t="s">
        <v>4065</v>
      </c>
      <c r="C4568">
        <v>36</v>
      </c>
      <c r="D4568">
        <v>4.0098399337795003</v>
      </c>
      <c r="E4568">
        <v>144.35423761606199</v>
      </c>
      <c r="F4568">
        <v>0.78890937135547901</v>
      </c>
      <c r="G4568">
        <v>0.82822316692374298</v>
      </c>
      <c r="H4568" t="str">
        <f t="shared" si="71"/>
        <v>Q4</v>
      </c>
    </row>
    <row r="4569" spans="1:8">
      <c r="A4569">
        <v>804664</v>
      </c>
      <c r="B4569" t="s">
        <v>2446</v>
      </c>
      <c r="C4569">
        <v>43</v>
      </c>
      <c r="D4569">
        <v>3.35656287755037</v>
      </c>
      <c r="E4569">
        <v>144.332203734666</v>
      </c>
      <c r="F4569">
        <v>0.81437869154659304</v>
      </c>
      <c r="G4569">
        <v>0.828185546066739</v>
      </c>
      <c r="H4569" t="str">
        <f t="shared" si="71"/>
        <v>Q4</v>
      </c>
    </row>
    <row r="4570" spans="1:8">
      <c r="A4570">
        <v>638628</v>
      </c>
      <c r="B4570" t="s">
        <v>3273</v>
      </c>
      <c r="C4570">
        <v>49</v>
      </c>
      <c r="D4570">
        <v>2.9452438409231099</v>
      </c>
      <c r="E4570">
        <v>144.31694820523299</v>
      </c>
      <c r="F4570">
        <v>0.83258718633610496</v>
      </c>
      <c r="G4570">
        <v>0.82814792520973601</v>
      </c>
      <c r="H4570" t="str">
        <f t="shared" si="71"/>
        <v>Q4</v>
      </c>
    </row>
    <row r="4571" spans="1:8">
      <c r="A4571">
        <v>606696</v>
      </c>
      <c r="B4571" t="s">
        <v>4512</v>
      </c>
      <c r="C4571">
        <v>30</v>
      </c>
      <c r="D4571">
        <v>4.80898304531972</v>
      </c>
      <c r="E4571">
        <v>144.269491359591</v>
      </c>
      <c r="F4571">
        <v>0.760430382604116</v>
      </c>
      <c r="G4571">
        <v>0.82811030435273303</v>
      </c>
      <c r="H4571" t="str">
        <f t="shared" si="71"/>
        <v>Q4</v>
      </c>
    </row>
    <row r="4572" spans="1:8">
      <c r="A4572">
        <v>756624</v>
      </c>
      <c r="B4572" t="s">
        <v>4156</v>
      </c>
      <c r="C4572">
        <v>58</v>
      </c>
      <c r="D4572">
        <v>2.4868497544706898</v>
      </c>
      <c r="E4572">
        <v>144.23728575929999</v>
      </c>
      <c r="F4572">
        <v>0.853993453970881</v>
      </c>
      <c r="G4572">
        <v>0.82807268349573004</v>
      </c>
      <c r="H4572" t="str">
        <f t="shared" si="71"/>
        <v>Q4</v>
      </c>
    </row>
    <row r="4573" spans="1:8">
      <c r="A4573">
        <v>786024</v>
      </c>
      <c r="B4573" t="s">
        <v>614</v>
      </c>
      <c r="C4573">
        <v>30</v>
      </c>
      <c r="D4573">
        <v>4.8073446998993603</v>
      </c>
      <c r="E4573">
        <v>144.22034099698101</v>
      </c>
      <c r="F4573">
        <v>0.760430382604116</v>
      </c>
      <c r="G4573">
        <v>0.82803506263872695</v>
      </c>
      <c r="H4573" t="str">
        <f t="shared" si="71"/>
        <v>Q4</v>
      </c>
    </row>
    <row r="4574" spans="1:8">
      <c r="A4574">
        <v>750481</v>
      </c>
      <c r="B4574" t="s">
        <v>3966</v>
      </c>
      <c r="C4574">
        <v>46</v>
      </c>
      <c r="D4574">
        <v>3.1349668036336502</v>
      </c>
      <c r="E4574">
        <v>144.208472967148</v>
      </c>
      <c r="F4574">
        <v>0.82378390579737404</v>
      </c>
      <c r="G4574">
        <v>0.82799744178172396</v>
      </c>
      <c r="H4574" t="str">
        <f t="shared" si="71"/>
        <v>Q4</v>
      </c>
    </row>
    <row r="4575" spans="1:8">
      <c r="A4575">
        <v>626148</v>
      </c>
      <c r="B4575" t="s">
        <v>1826</v>
      </c>
      <c r="C4575">
        <v>61</v>
      </c>
      <c r="D4575">
        <v>2.3630452983569898</v>
      </c>
      <c r="E4575">
        <v>144.14576319977601</v>
      </c>
      <c r="F4575">
        <v>0.86035137880440904</v>
      </c>
      <c r="G4575">
        <v>0.82795982092472098</v>
      </c>
      <c r="H4575" t="str">
        <f t="shared" si="71"/>
        <v>Q4</v>
      </c>
    </row>
    <row r="4576" spans="1:8">
      <c r="A4576">
        <v>786022</v>
      </c>
      <c r="B4576" t="s">
        <v>5109</v>
      </c>
      <c r="C4576">
        <v>30</v>
      </c>
      <c r="D4576">
        <v>4.8041243975361203</v>
      </c>
      <c r="E4576">
        <v>144.12373192608399</v>
      </c>
      <c r="F4576">
        <v>0.760430382604116</v>
      </c>
      <c r="G4576">
        <v>0.82792220006771799</v>
      </c>
      <c r="H4576" t="str">
        <f t="shared" si="71"/>
        <v>Q4</v>
      </c>
    </row>
    <row r="4577" spans="1:8">
      <c r="A4577">
        <v>639656</v>
      </c>
      <c r="B4577" t="s">
        <v>615</v>
      </c>
      <c r="C4577">
        <v>79</v>
      </c>
      <c r="D4577">
        <v>1.8242865659390799</v>
      </c>
      <c r="E4577">
        <v>144.11863870918799</v>
      </c>
      <c r="F4577">
        <v>0.89022233926488803</v>
      </c>
      <c r="G4577">
        <v>0.82788457921071401</v>
      </c>
      <c r="H4577" t="str">
        <f t="shared" si="71"/>
        <v>Q4</v>
      </c>
    </row>
    <row r="4578" spans="1:8">
      <c r="A4578">
        <v>662917</v>
      </c>
      <c r="B4578" t="s">
        <v>4416</v>
      </c>
      <c r="C4578">
        <v>63</v>
      </c>
      <c r="D4578">
        <v>2.2861178269580198</v>
      </c>
      <c r="E4578">
        <v>144.02542309835599</v>
      </c>
      <c r="F4578">
        <v>0.86445205221775001</v>
      </c>
      <c r="G4578">
        <v>0.82784695835371103</v>
      </c>
      <c r="H4578" t="str">
        <f t="shared" si="71"/>
        <v>Q4</v>
      </c>
    </row>
    <row r="4579" spans="1:8">
      <c r="A4579">
        <v>693915</v>
      </c>
      <c r="B4579" t="s">
        <v>707</v>
      </c>
      <c r="C4579">
        <v>35</v>
      </c>
      <c r="D4579">
        <v>4.1149152708905099</v>
      </c>
      <c r="E4579">
        <v>144.02203448116799</v>
      </c>
      <c r="F4579">
        <v>0.78420676423008895</v>
      </c>
      <c r="G4579">
        <v>0.82780933749670804</v>
      </c>
      <c r="H4579" t="str">
        <f t="shared" si="71"/>
        <v>Q4</v>
      </c>
    </row>
    <row r="4580" spans="1:8">
      <c r="A4580">
        <v>645709</v>
      </c>
      <c r="B4580" t="s">
        <v>3080</v>
      </c>
      <c r="C4580">
        <v>61</v>
      </c>
      <c r="D4580">
        <v>2.3580994762358101</v>
      </c>
      <c r="E4580">
        <v>143.844068050385</v>
      </c>
      <c r="F4580">
        <v>0.86035137880440904</v>
      </c>
      <c r="G4580">
        <v>0.82777171663970495</v>
      </c>
      <c r="H4580" t="str">
        <f t="shared" si="71"/>
        <v>Q4</v>
      </c>
    </row>
    <row r="4581" spans="1:8">
      <c r="A4581">
        <v>762174</v>
      </c>
      <c r="B4581" t="s">
        <v>4098</v>
      </c>
      <c r="C4581">
        <v>13</v>
      </c>
      <c r="D4581">
        <v>11.0551497684075</v>
      </c>
      <c r="E4581">
        <v>143.71694698929801</v>
      </c>
      <c r="F4581">
        <v>0.60539483089424795</v>
      </c>
      <c r="G4581">
        <v>0.82773409578270196</v>
      </c>
      <c r="H4581" t="str">
        <f t="shared" si="71"/>
        <v>Q3</v>
      </c>
    </row>
    <row r="4582" spans="1:8">
      <c r="A4582">
        <v>852092</v>
      </c>
      <c r="B4582" t="s">
        <v>4592</v>
      </c>
      <c r="C4582">
        <v>56</v>
      </c>
      <c r="D4582">
        <v>2.56564771823053</v>
      </c>
      <c r="E4582">
        <v>143.67627222090999</v>
      </c>
      <c r="F4582">
        <v>0.85004326398555397</v>
      </c>
      <c r="G4582">
        <v>0.82769647492569898</v>
      </c>
      <c r="H4582" t="str">
        <f t="shared" si="71"/>
        <v>Q4</v>
      </c>
    </row>
    <row r="4583" spans="1:8">
      <c r="A4583">
        <v>700268</v>
      </c>
      <c r="B4583" t="s">
        <v>1624</v>
      </c>
      <c r="C4583">
        <v>48</v>
      </c>
      <c r="D4583">
        <v>2.9929025603147799</v>
      </c>
      <c r="E4583">
        <v>143.65932289510999</v>
      </c>
      <c r="F4583">
        <v>0.82957751777585498</v>
      </c>
      <c r="G4583">
        <v>0.82765885406869599</v>
      </c>
      <c r="H4583" t="str">
        <f t="shared" si="71"/>
        <v>Q4</v>
      </c>
    </row>
    <row r="4584" spans="1:8">
      <c r="A4584">
        <v>762247</v>
      </c>
      <c r="B4584" t="s">
        <v>4218</v>
      </c>
      <c r="C4584">
        <v>22</v>
      </c>
      <c r="D4584">
        <v>6.5296609631993601</v>
      </c>
      <c r="E4584">
        <v>143.65254119038599</v>
      </c>
      <c r="F4584">
        <v>0.707723561942741</v>
      </c>
      <c r="G4584">
        <v>0.82762123321169301</v>
      </c>
      <c r="H4584" t="str">
        <f t="shared" si="71"/>
        <v>Q3</v>
      </c>
    </row>
    <row r="4585" spans="1:8">
      <c r="A4585">
        <v>763668</v>
      </c>
      <c r="B4585" t="s">
        <v>2823</v>
      </c>
      <c r="C4585">
        <v>38</v>
      </c>
      <c r="D4585">
        <v>3.7782337835156601</v>
      </c>
      <c r="E4585">
        <v>143.57288377359501</v>
      </c>
      <c r="F4585">
        <v>0.79696023475414801</v>
      </c>
      <c r="G4585">
        <v>0.82758361235468902</v>
      </c>
      <c r="H4585" t="str">
        <f t="shared" si="71"/>
        <v>Q4</v>
      </c>
    </row>
    <row r="4586" spans="1:8">
      <c r="A4586">
        <v>735307</v>
      </c>
      <c r="B4586" t="s">
        <v>1094</v>
      </c>
      <c r="C4586">
        <v>31</v>
      </c>
      <c r="D4586">
        <v>4.6299070780796399</v>
      </c>
      <c r="E4586">
        <v>143.52711942046901</v>
      </c>
      <c r="F4586">
        <v>0.766073511154584</v>
      </c>
      <c r="G4586">
        <v>0.82754599149768604</v>
      </c>
      <c r="H4586" t="str">
        <f t="shared" si="71"/>
        <v>Q4</v>
      </c>
    </row>
    <row r="4587" spans="1:8">
      <c r="A4587">
        <v>741717</v>
      </c>
      <c r="B4587" t="s">
        <v>4080</v>
      </c>
      <c r="C4587">
        <v>25</v>
      </c>
      <c r="D4587">
        <v>5.7406103163957596</v>
      </c>
      <c r="E4587">
        <v>143.51525790989399</v>
      </c>
      <c r="F4587">
        <v>0.72991986757458305</v>
      </c>
      <c r="G4587">
        <v>0.82750837064068306</v>
      </c>
      <c r="H4587" t="str">
        <f t="shared" si="71"/>
        <v>Q3</v>
      </c>
    </row>
    <row r="4588" spans="1:8">
      <c r="A4588">
        <v>672625</v>
      </c>
      <c r="B4588" t="s">
        <v>1109</v>
      </c>
      <c r="C4588">
        <v>48</v>
      </c>
      <c r="D4588">
        <v>2.9894773780445898</v>
      </c>
      <c r="E4588">
        <v>143.49491414613999</v>
      </c>
      <c r="F4588">
        <v>0.82957751777585498</v>
      </c>
      <c r="G4588">
        <v>0.82747074978367996</v>
      </c>
      <c r="H4588" t="str">
        <f t="shared" si="71"/>
        <v>Q4</v>
      </c>
    </row>
    <row r="4589" spans="1:8">
      <c r="A4589">
        <v>744324</v>
      </c>
      <c r="B4589" t="s">
        <v>3362</v>
      </c>
      <c r="C4589">
        <v>15</v>
      </c>
      <c r="D4589">
        <v>9.5595482736825907</v>
      </c>
      <c r="E4589">
        <v>143.393224105239</v>
      </c>
      <c r="F4589">
        <v>0.63496482449870195</v>
      </c>
      <c r="G4589">
        <v>0.82743312892667698</v>
      </c>
      <c r="H4589" t="str">
        <f t="shared" si="71"/>
        <v>Q3</v>
      </c>
    </row>
    <row r="4590" spans="1:8">
      <c r="A4590">
        <v>734874</v>
      </c>
      <c r="B4590" t="s">
        <v>266</v>
      </c>
      <c r="C4590">
        <v>26</v>
      </c>
      <c r="D4590">
        <v>5.5142112004642296</v>
      </c>
      <c r="E4590">
        <v>143.36949121206999</v>
      </c>
      <c r="F4590">
        <v>0.73706783040517698</v>
      </c>
      <c r="G4590">
        <v>0.82739550806967399</v>
      </c>
      <c r="H4590" t="str">
        <f t="shared" si="71"/>
        <v>Q3</v>
      </c>
    </row>
    <row r="4591" spans="1:8">
      <c r="A4591">
        <v>738010</v>
      </c>
      <c r="B4591" t="s">
        <v>1585</v>
      </c>
      <c r="C4591">
        <v>58</v>
      </c>
      <c r="D4591">
        <v>2.47168323378368</v>
      </c>
      <c r="E4591">
        <v>143.35762755945299</v>
      </c>
      <c r="F4591">
        <v>0.853993453970881</v>
      </c>
      <c r="G4591">
        <v>0.82735788721267101</v>
      </c>
      <c r="H4591" t="str">
        <f t="shared" si="71"/>
        <v>Q4</v>
      </c>
    </row>
    <row r="4592" spans="1:8">
      <c r="A4592">
        <v>762264</v>
      </c>
      <c r="B4592" t="s">
        <v>1009</v>
      </c>
      <c r="C4592">
        <v>52</v>
      </c>
      <c r="D4592">
        <v>2.7553454453412201</v>
      </c>
      <c r="E4592">
        <v>143.27796315774299</v>
      </c>
      <c r="F4592">
        <v>0.84003611602272299</v>
      </c>
      <c r="G4592">
        <v>0.82732026635566802</v>
      </c>
      <c r="H4592" t="str">
        <f t="shared" si="71"/>
        <v>Q4</v>
      </c>
    </row>
    <row r="4593" spans="1:8">
      <c r="A4593">
        <v>746281</v>
      </c>
      <c r="B4593" t="s">
        <v>1856</v>
      </c>
      <c r="C4593">
        <v>37</v>
      </c>
      <c r="D4593">
        <v>3.8704993606016398</v>
      </c>
      <c r="E4593">
        <v>143.20847634226101</v>
      </c>
      <c r="F4593">
        <v>0.79304766562582296</v>
      </c>
      <c r="G4593">
        <v>0.82728264549866404</v>
      </c>
      <c r="H4593" t="str">
        <f t="shared" si="71"/>
        <v>Q4</v>
      </c>
    </row>
    <row r="4594" spans="1:8">
      <c r="A4594">
        <v>774343</v>
      </c>
      <c r="B4594" t="s">
        <v>4644</v>
      </c>
      <c r="C4594">
        <v>22</v>
      </c>
      <c r="D4594">
        <v>6.5077041021802202</v>
      </c>
      <c r="E4594">
        <v>143.169490247965</v>
      </c>
      <c r="F4594">
        <v>0.707723561942741</v>
      </c>
      <c r="G4594">
        <v>0.82724502464166105</v>
      </c>
      <c r="H4594" t="str">
        <f t="shared" si="71"/>
        <v>Q3</v>
      </c>
    </row>
    <row r="4595" spans="1:8">
      <c r="A4595">
        <v>725543</v>
      </c>
      <c r="B4595" t="s">
        <v>3873</v>
      </c>
      <c r="C4595">
        <v>30</v>
      </c>
      <c r="D4595">
        <v>4.77107353508472</v>
      </c>
      <c r="E4595">
        <v>143.13220605254199</v>
      </c>
      <c r="F4595">
        <v>0.760430382604116</v>
      </c>
      <c r="G4595">
        <v>0.82720740378465796</v>
      </c>
      <c r="H4595" t="str">
        <f t="shared" si="71"/>
        <v>Q4</v>
      </c>
    </row>
    <row r="4596" spans="1:8">
      <c r="A4596">
        <v>699622</v>
      </c>
      <c r="B4596" t="s">
        <v>1550</v>
      </c>
      <c r="C4596">
        <v>27</v>
      </c>
      <c r="D4596">
        <v>5.2998744641189202</v>
      </c>
      <c r="E4596">
        <v>143.09661053121101</v>
      </c>
      <c r="F4596">
        <v>0.74312478838267904</v>
      </c>
      <c r="G4596">
        <v>0.82716978292765497</v>
      </c>
      <c r="H4596" t="str">
        <f t="shared" si="71"/>
        <v>Q3</v>
      </c>
    </row>
    <row r="4597" spans="1:8">
      <c r="A4597">
        <v>613456</v>
      </c>
      <c r="B4597" t="s">
        <v>5030</v>
      </c>
      <c r="C4597">
        <v>115</v>
      </c>
      <c r="D4597">
        <v>1.2441267105548299</v>
      </c>
      <c r="E4597">
        <v>143.074571713805</v>
      </c>
      <c r="F4597">
        <v>0.92370490199766797</v>
      </c>
      <c r="G4597">
        <v>0.82713216207065199</v>
      </c>
      <c r="H4597" t="str">
        <f t="shared" si="71"/>
        <v>Q4</v>
      </c>
    </row>
    <row r="4598" spans="1:8">
      <c r="A4598">
        <v>408647</v>
      </c>
      <c r="B4598" t="s">
        <v>978</v>
      </c>
      <c r="C4598">
        <v>112</v>
      </c>
      <c r="D4598">
        <v>1.27705807119907</v>
      </c>
      <c r="E4598">
        <v>143.03050397429601</v>
      </c>
      <c r="F4598">
        <v>0.92156051314848997</v>
      </c>
      <c r="G4598">
        <v>0.827094541213649</v>
      </c>
      <c r="H4598" t="str">
        <f t="shared" si="71"/>
        <v>Q4</v>
      </c>
    </row>
    <row r="4599" spans="1:8">
      <c r="A4599">
        <v>684062</v>
      </c>
      <c r="B4599" t="s">
        <v>5072</v>
      </c>
      <c r="C4599">
        <v>91</v>
      </c>
      <c r="D4599">
        <v>1.57144713614668</v>
      </c>
      <c r="E4599">
        <v>143.001689389348</v>
      </c>
      <c r="F4599">
        <v>0.90350250178699099</v>
      </c>
      <c r="G4599">
        <v>0.82705692035664602</v>
      </c>
      <c r="H4599" t="str">
        <f t="shared" si="71"/>
        <v>Q4</v>
      </c>
    </row>
    <row r="4600" spans="1:8">
      <c r="A4600">
        <v>751942</v>
      </c>
      <c r="B4600" t="s">
        <v>4612</v>
      </c>
      <c r="C4600">
        <v>60</v>
      </c>
      <c r="D4600">
        <v>2.38293786688397</v>
      </c>
      <c r="E4600">
        <v>142.976272013038</v>
      </c>
      <c r="F4600">
        <v>0.85805650652721899</v>
      </c>
      <c r="G4600">
        <v>0.82701929949964303</v>
      </c>
      <c r="H4600" t="str">
        <f t="shared" si="71"/>
        <v>Q4</v>
      </c>
    </row>
    <row r="4601" spans="1:8">
      <c r="A4601">
        <v>658487</v>
      </c>
      <c r="B4601" t="s">
        <v>2943</v>
      </c>
      <c r="C4601">
        <v>66</v>
      </c>
      <c r="D4601">
        <v>2.1657421592284298</v>
      </c>
      <c r="E4601">
        <v>142.93898250907699</v>
      </c>
      <c r="F4601">
        <v>0.86968135134118396</v>
      </c>
      <c r="G4601">
        <v>0.82698167864263905</v>
      </c>
      <c r="H4601" t="str">
        <f t="shared" si="71"/>
        <v>Q4</v>
      </c>
    </row>
    <row r="4602" spans="1:8">
      <c r="A4602">
        <v>686030</v>
      </c>
      <c r="B4602" t="s">
        <v>173</v>
      </c>
      <c r="C4602">
        <v>32</v>
      </c>
      <c r="D4602">
        <v>4.4657310034381199</v>
      </c>
      <c r="E4602">
        <v>142.90339211002001</v>
      </c>
      <c r="F4602">
        <v>0.77096422256498998</v>
      </c>
      <c r="G4602">
        <v>0.82694405778563596</v>
      </c>
      <c r="H4602" t="str">
        <f t="shared" si="71"/>
        <v>Q4</v>
      </c>
    </row>
    <row r="4603" spans="1:8">
      <c r="A4603">
        <v>680441</v>
      </c>
      <c r="B4603" t="s">
        <v>4999</v>
      </c>
      <c r="C4603">
        <v>60</v>
      </c>
      <c r="D4603">
        <v>2.38115818550189</v>
      </c>
      <c r="E4603">
        <v>142.869491130114</v>
      </c>
      <c r="F4603">
        <v>0.85805650652721899</v>
      </c>
      <c r="G4603">
        <v>0.82690643692863297</v>
      </c>
      <c r="H4603" t="str">
        <f t="shared" si="71"/>
        <v>Q4</v>
      </c>
    </row>
    <row r="4604" spans="1:8">
      <c r="A4604">
        <v>756415</v>
      </c>
      <c r="B4604" t="s">
        <v>4569</v>
      </c>
      <c r="C4604">
        <v>45</v>
      </c>
      <c r="D4604">
        <v>3.1733333029680799</v>
      </c>
      <c r="E4604">
        <v>142.799998633564</v>
      </c>
      <c r="F4604">
        <v>0.82069899552311798</v>
      </c>
      <c r="G4604">
        <v>0.82686881607162999</v>
      </c>
      <c r="H4604" t="str">
        <f t="shared" si="71"/>
        <v>Q4</v>
      </c>
    </row>
    <row r="4605" spans="1:8">
      <c r="A4605">
        <v>750064</v>
      </c>
      <c r="B4605" t="s">
        <v>1533</v>
      </c>
      <c r="C4605">
        <v>45</v>
      </c>
      <c r="D4605">
        <v>3.1728813134961702</v>
      </c>
      <c r="E4605">
        <v>142.77965910732701</v>
      </c>
      <c r="F4605">
        <v>0.82069899552311798</v>
      </c>
      <c r="G4605">
        <v>0.826831195214627</v>
      </c>
      <c r="H4605" t="str">
        <f t="shared" si="71"/>
        <v>Q4</v>
      </c>
    </row>
    <row r="4606" spans="1:8">
      <c r="A4606">
        <v>690541</v>
      </c>
      <c r="B4606" t="s">
        <v>2293</v>
      </c>
      <c r="C4606">
        <v>52</v>
      </c>
      <c r="D4606">
        <v>2.7455996865263401</v>
      </c>
      <c r="E4606">
        <v>142.771183699369</v>
      </c>
      <c r="F4606">
        <v>0.84003611602272299</v>
      </c>
      <c r="G4606">
        <v>0.82679357435762402</v>
      </c>
      <c r="H4606" t="str">
        <f t="shared" si="71"/>
        <v>Q4</v>
      </c>
    </row>
    <row r="4607" spans="1:8">
      <c r="A4607">
        <v>734327</v>
      </c>
      <c r="B4607" t="s">
        <v>1012</v>
      </c>
      <c r="C4607">
        <v>41</v>
      </c>
      <c r="D4607">
        <v>3.48172799297949</v>
      </c>
      <c r="E4607">
        <v>142.75084771215899</v>
      </c>
      <c r="F4607">
        <v>0.80787028328505295</v>
      </c>
      <c r="G4607">
        <v>0.82675595350062103</v>
      </c>
      <c r="H4607" t="str">
        <f t="shared" si="71"/>
        <v>Q4</v>
      </c>
    </row>
    <row r="4608" spans="1:8">
      <c r="A4608">
        <v>722051</v>
      </c>
      <c r="B4608" t="s">
        <v>3190</v>
      </c>
      <c r="C4608">
        <v>17</v>
      </c>
      <c r="D4608">
        <v>8.3937188720001892</v>
      </c>
      <c r="E4608">
        <v>142.69322082400299</v>
      </c>
      <c r="F4608">
        <v>0.65926789812271902</v>
      </c>
      <c r="G4608">
        <v>0.82671833264361805</v>
      </c>
      <c r="H4608" t="str">
        <f t="shared" si="71"/>
        <v>Q3</v>
      </c>
    </row>
    <row r="4609" spans="1:8">
      <c r="A4609">
        <v>776739</v>
      </c>
      <c r="B4609" t="s">
        <v>1217</v>
      </c>
      <c r="C4609">
        <v>7</v>
      </c>
      <c r="D4609">
        <v>20.375544684273901</v>
      </c>
      <c r="E4609">
        <v>142.62881278991699</v>
      </c>
      <c r="F4609">
        <v>0.46627290169670099</v>
      </c>
      <c r="G4609">
        <v>0.82668071178661495</v>
      </c>
      <c r="H4609" t="str">
        <f t="shared" si="71"/>
        <v>Q3</v>
      </c>
    </row>
    <row r="4610" spans="1:8">
      <c r="A4610">
        <v>432566</v>
      </c>
      <c r="B4610" t="s">
        <v>3396</v>
      </c>
      <c r="C4610">
        <v>107</v>
      </c>
      <c r="D4610">
        <v>1.33283697482129</v>
      </c>
      <c r="E4610">
        <v>142.61355630587801</v>
      </c>
      <c r="F4610">
        <v>0.91791129001918703</v>
      </c>
      <c r="G4610">
        <v>0.82664309092961097</v>
      </c>
      <c r="H4610" t="str">
        <f t="shared" si="71"/>
        <v>Q4</v>
      </c>
    </row>
    <row r="4611" spans="1:8">
      <c r="A4611">
        <v>793371</v>
      </c>
      <c r="B4611" t="s">
        <v>991</v>
      </c>
      <c r="C4611">
        <v>88</v>
      </c>
      <c r="D4611">
        <v>1.6197418434206701</v>
      </c>
      <c r="E4611">
        <v>142.53728222101901</v>
      </c>
      <c r="F4611">
        <v>0.90045521236973802</v>
      </c>
      <c r="G4611">
        <v>0.82660547007260798</v>
      </c>
      <c r="H4611" t="str">
        <f t="shared" ref="H4611:H4674" si="72">IF(C4611&gt;$J$2,
   IF(D4611&gt;$J$3,"Q1","Q2"),
   IF(D4611&gt;$J$3,"Q3","Q4"))</f>
        <v>Q4</v>
      </c>
    </row>
    <row r="4612" spans="1:8">
      <c r="A4612">
        <v>729617</v>
      </c>
      <c r="B4612" t="s">
        <v>1384</v>
      </c>
      <c r="C4612">
        <v>71</v>
      </c>
      <c r="D4612">
        <v>2.0057053357677601</v>
      </c>
      <c r="E4612">
        <v>142.40507883951099</v>
      </c>
      <c r="F4612">
        <v>0.87799556073887397</v>
      </c>
      <c r="G4612">
        <v>0.826567849215605</v>
      </c>
      <c r="H4612" t="str">
        <f t="shared" si="72"/>
        <v>Q4</v>
      </c>
    </row>
    <row r="4613" spans="1:8">
      <c r="A4613">
        <v>821759</v>
      </c>
      <c r="B4613" t="s">
        <v>594</v>
      </c>
      <c r="C4613">
        <v>27</v>
      </c>
      <c r="D4613">
        <v>5.2741369163548502</v>
      </c>
      <c r="E4613">
        <v>142.40169674158099</v>
      </c>
      <c r="F4613">
        <v>0.74312478838267904</v>
      </c>
      <c r="G4613">
        <v>0.82653022835860201</v>
      </c>
      <c r="H4613" t="str">
        <f t="shared" si="72"/>
        <v>Q3</v>
      </c>
    </row>
    <row r="4614" spans="1:8">
      <c r="A4614">
        <v>787181</v>
      </c>
      <c r="B4614" t="s">
        <v>4852</v>
      </c>
      <c r="C4614">
        <v>35</v>
      </c>
      <c r="D4614">
        <v>4.0682324554239004</v>
      </c>
      <c r="E4614">
        <v>142.38813593983701</v>
      </c>
      <c r="F4614">
        <v>0.78420676423008895</v>
      </c>
      <c r="G4614">
        <v>0.82649260750159903</v>
      </c>
      <c r="H4614" t="str">
        <f t="shared" si="72"/>
        <v>Q4</v>
      </c>
    </row>
    <row r="4615" spans="1:8">
      <c r="A4615">
        <v>711032</v>
      </c>
      <c r="B4615" t="s">
        <v>1452</v>
      </c>
      <c r="C4615">
        <v>67</v>
      </c>
      <c r="D4615">
        <v>2.1243865379312998</v>
      </c>
      <c r="E4615">
        <v>142.33389804139699</v>
      </c>
      <c r="F4615">
        <v>0.87118618562130801</v>
      </c>
      <c r="G4615">
        <v>0.82645498664459605</v>
      </c>
      <c r="H4615" t="str">
        <f t="shared" si="72"/>
        <v>Q4</v>
      </c>
    </row>
    <row r="4616" spans="1:8">
      <c r="A4616">
        <v>761559</v>
      </c>
      <c r="B4616" t="s">
        <v>4330</v>
      </c>
      <c r="C4616">
        <v>19</v>
      </c>
      <c r="D4616">
        <v>7.4904549278710997</v>
      </c>
      <c r="E4616">
        <v>142.31864362955099</v>
      </c>
      <c r="F4616">
        <v>0.68195327489560198</v>
      </c>
      <c r="G4616">
        <v>0.82641736578759295</v>
      </c>
      <c r="H4616" t="str">
        <f t="shared" si="72"/>
        <v>Q3</v>
      </c>
    </row>
    <row r="4617" spans="1:8">
      <c r="A4617">
        <v>348870</v>
      </c>
      <c r="B4617" t="s">
        <v>3112</v>
      </c>
      <c r="C4617">
        <v>92</v>
      </c>
      <c r="D4617">
        <v>1.54640746313026</v>
      </c>
      <c r="E4617">
        <v>142.26948660798399</v>
      </c>
      <c r="F4617">
        <v>0.90429253978405599</v>
      </c>
      <c r="G4617">
        <v>0.82637974493058997</v>
      </c>
      <c r="H4617" t="str">
        <f t="shared" si="72"/>
        <v>Q4</v>
      </c>
    </row>
    <row r="4618" spans="1:8">
      <c r="A4618">
        <v>823107</v>
      </c>
      <c r="B4618" t="s">
        <v>1772</v>
      </c>
      <c r="C4618">
        <v>11</v>
      </c>
      <c r="D4618">
        <v>12.927735325964999</v>
      </c>
      <c r="E4618">
        <v>142.20508858561499</v>
      </c>
      <c r="F4618">
        <v>0.56957977502727497</v>
      </c>
      <c r="G4618">
        <v>0.82634212407358598</v>
      </c>
      <c r="H4618" t="str">
        <f t="shared" si="72"/>
        <v>Q3</v>
      </c>
    </row>
    <row r="4619" spans="1:8">
      <c r="A4619">
        <v>747373</v>
      </c>
      <c r="B4619" t="s">
        <v>888</v>
      </c>
      <c r="C4619">
        <v>23</v>
      </c>
      <c r="D4619">
        <v>6.1826086805566502</v>
      </c>
      <c r="E4619">
        <v>142.199999652803</v>
      </c>
      <c r="F4619">
        <v>0.71547345848538402</v>
      </c>
      <c r="G4619">
        <v>0.826304503216583</v>
      </c>
      <c r="H4619" t="str">
        <f t="shared" si="72"/>
        <v>Q3</v>
      </c>
    </row>
    <row r="4620" spans="1:8">
      <c r="A4620">
        <v>748270</v>
      </c>
      <c r="B4620" t="s">
        <v>366</v>
      </c>
      <c r="C4620">
        <v>66</v>
      </c>
      <c r="D4620">
        <v>2.1545196770492798</v>
      </c>
      <c r="E4620">
        <v>142.19829868525301</v>
      </c>
      <c r="F4620">
        <v>0.86968135134118396</v>
      </c>
      <c r="G4620">
        <v>0.82626688235958001</v>
      </c>
      <c r="H4620" t="str">
        <f t="shared" si="72"/>
        <v>Q4</v>
      </c>
    </row>
    <row r="4621" spans="1:8">
      <c r="A4621">
        <v>734895</v>
      </c>
      <c r="B4621" t="s">
        <v>5237</v>
      </c>
      <c r="C4621">
        <v>25</v>
      </c>
      <c r="D4621">
        <v>5.6865086406469301</v>
      </c>
      <c r="E4621">
        <v>142.16271601617299</v>
      </c>
      <c r="F4621">
        <v>0.72991986757458305</v>
      </c>
      <c r="G4621">
        <v>0.82622926150257703</v>
      </c>
      <c r="H4621" t="str">
        <f t="shared" si="72"/>
        <v>Q3</v>
      </c>
    </row>
    <row r="4622" spans="1:8">
      <c r="A4622">
        <v>812874</v>
      </c>
      <c r="B4622" t="s">
        <v>1404</v>
      </c>
      <c r="C4622">
        <v>30</v>
      </c>
      <c r="D4622">
        <v>4.7371752435962398</v>
      </c>
      <c r="E4622">
        <v>142.11525730788699</v>
      </c>
      <c r="F4622">
        <v>0.760430382604116</v>
      </c>
      <c r="G4622">
        <v>0.82619164064557404</v>
      </c>
      <c r="H4622" t="str">
        <f t="shared" si="72"/>
        <v>Q4</v>
      </c>
    </row>
    <row r="4623" spans="1:8">
      <c r="A4623">
        <v>684273</v>
      </c>
      <c r="B4623" t="s">
        <v>4479</v>
      </c>
      <c r="C4623">
        <v>51</v>
      </c>
      <c r="D4623">
        <v>2.7853772007659399</v>
      </c>
      <c r="E4623">
        <v>142.05423723906301</v>
      </c>
      <c r="F4623">
        <v>0.83762838117452298</v>
      </c>
      <c r="G4623">
        <v>0.82615401978857095</v>
      </c>
      <c r="H4623" t="str">
        <f t="shared" si="72"/>
        <v>Q4</v>
      </c>
    </row>
    <row r="4624" spans="1:8">
      <c r="A4624">
        <v>772003</v>
      </c>
      <c r="B4624" t="s">
        <v>1323</v>
      </c>
      <c r="C4624">
        <v>31</v>
      </c>
      <c r="D4624">
        <v>4.5820667318278696</v>
      </c>
      <c r="E4624">
        <v>142.04406868666399</v>
      </c>
      <c r="F4624">
        <v>0.766073511154584</v>
      </c>
      <c r="G4624">
        <v>0.82611639893156796</v>
      </c>
      <c r="H4624" t="str">
        <f t="shared" si="72"/>
        <v>Q4</v>
      </c>
    </row>
    <row r="4625" spans="1:8">
      <c r="A4625">
        <v>736779</v>
      </c>
      <c r="B4625" t="s">
        <v>2538</v>
      </c>
      <c r="C4625">
        <v>67</v>
      </c>
      <c r="D4625">
        <v>2.1200100307477898</v>
      </c>
      <c r="E4625">
        <v>142.040672060102</v>
      </c>
      <c r="F4625">
        <v>0.87118618562130801</v>
      </c>
      <c r="G4625">
        <v>0.82607877807456498</v>
      </c>
      <c r="H4625" t="str">
        <f t="shared" si="72"/>
        <v>Q4</v>
      </c>
    </row>
    <row r="4626" spans="1:8">
      <c r="A4626">
        <v>711193</v>
      </c>
      <c r="B4626" t="s">
        <v>774</v>
      </c>
      <c r="C4626">
        <v>119</v>
      </c>
      <c r="D4626">
        <v>1.1919526997640599</v>
      </c>
      <c r="E4626">
        <v>141.84237127192301</v>
      </c>
      <c r="F4626">
        <v>0.92667694970091397</v>
      </c>
      <c r="G4626">
        <v>0.826041157217561</v>
      </c>
      <c r="H4626" t="str">
        <f t="shared" si="72"/>
        <v>Q4</v>
      </c>
    </row>
    <row r="4627" spans="1:8">
      <c r="A4627">
        <v>689594</v>
      </c>
      <c r="B4627" t="s">
        <v>1587</v>
      </c>
      <c r="C4627">
        <v>18</v>
      </c>
      <c r="D4627">
        <v>7.8795668565564698</v>
      </c>
      <c r="E4627">
        <v>141.83220341801601</v>
      </c>
      <c r="F4627">
        <v>0.67044129265264696</v>
      </c>
      <c r="G4627">
        <v>0.82600353636055801</v>
      </c>
      <c r="H4627" t="str">
        <f t="shared" si="72"/>
        <v>Q3</v>
      </c>
    </row>
    <row r="4628" spans="1:8">
      <c r="A4628">
        <v>636140</v>
      </c>
      <c r="B4628" t="s">
        <v>2500</v>
      </c>
      <c r="C4628">
        <v>66</v>
      </c>
      <c r="D4628">
        <v>2.1479198257579899</v>
      </c>
      <c r="E4628">
        <v>141.762708500028</v>
      </c>
      <c r="F4628">
        <v>0.86968135134118396</v>
      </c>
      <c r="G4628">
        <v>0.82596591550355503</v>
      </c>
      <c r="H4628" t="str">
        <f t="shared" si="72"/>
        <v>Q4</v>
      </c>
    </row>
    <row r="4629" spans="1:8">
      <c r="A4629">
        <v>789150</v>
      </c>
      <c r="B4629" t="s">
        <v>3286</v>
      </c>
      <c r="C4629">
        <v>27</v>
      </c>
      <c r="D4629">
        <v>5.2499059311769596</v>
      </c>
      <c r="E4629">
        <v>141.74746014177799</v>
      </c>
      <c r="F4629">
        <v>0.74312478838267904</v>
      </c>
      <c r="G4629">
        <v>0.82592829464655204</v>
      </c>
      <c r="H4629" t="str">
        <f t="shared" si="72"/>
        <v>Q3</v>
      </c>
    </row>
    <row r="4630" spans="1:8">
      <c r="A4630">
        <v>671636</v>
      </c>
      <c r="B4630" t="s">
        <v>1759</v>
      </c>
      <c r="C4630">
        <v>34</v>
      </c>
      <c r="D4630">
        <v>4.1626620435101103</v>
      </c>
      <c r="E4630">
        <v>141.530509479344</v>
      </c>
      <c r="F4630">
        <v>0.77969226138971404</v>
      </c>
      <c r="G4630">
        <v>0.82589067378954895</v>
      </c>
      <c r="H4630" t="str">
        <f t="shared" si="72"/>
        <v>Q4</v>
      </c>
    </row>
    <row r="4631" spans="1:8">
      <c r="A4631">
        <v>690489</v>
      </c>
      <c r="B4631" t="s">
        <v>1333</v>
      </c>
      <c r="C4631">
        <v>8</v>
      </c>
      <c r="D4631">
        <v>17.67055131495</v>
      </c>
      <c r="E4631">
        <v>141.3644105196</v>
      </c>
      <c r="F4631">
        <v>0.49768631729430801</v>
      </c>
      <c r="G4631">
        <v>0.82585305293254596</v>
      </c>
      <c r="H4631" t="str">
        <f t="shared" si="72"/>
        <v>Q3</v>
      </c>
    </row>
    <row r="4632" spans="1:8">
      <c r="A4632">
        <v>592975</v>
      </c>
      <c r="B4632" t="s">
        <v>5059</v>
      </c>
      <c r="C4632">
        <v>52</v>
      </c>
      <c r="D4632">
        <v>2.7178944079563601</v>
      </c>
      <c r="E4632">
        <v>141.33050921373101</v>
      </c>
      <c r="F4632">
        <v>0.84003611602272299</v>
      </c>
      <c r="G4632">
        <v>0.82581543207554298</v>
      </c>
      <c r="H4632" t="str">
        <f t="shared" si="72"/>
        <v>Q4</v>
      </c>
    </row>
    <row r="4633" spans="1:8">
      <c r="A4633">
        <v>735617</v>
      </c>
      <c r="B4633" t="s">
        <v>3990</v>
      </c>
      <c r="C4633">
        <v>43</v>
      </c>
      <c r="D4633">
        <v>3.2864012712136299</v>
      </c>
      <c r="E4633">
        <v>141.31525466218599</v>
      </c>
      <c r="F4633">
        <v>0.81437869154659304</v>
      </c>
      <c r="G4633">
        <v>0.82577781121853999</v>
      </c>
      <c r="H4633" t="str">
        <f t="shared" si="72"/>
        <v>Q4</v>
      </c>
    </row>
    <row r="4634" spans="1:8">
      <c r="A4634">
        <v>682006</v>
      </c>
      <c r="B4634" t="s">
        <v>4067</v>
      </c>
      <c r="C4634">
        <v>31</v>
      </c>
      <c r="D4634">
        <v>4.5583379785380096</v>
      </c>
      <c r="E4634">
        <v>141.308477334678</v>
      </c>
      <c r="F4634">
        <v>0.766073511154584</v>
      </c>
      <c r="G4634">
        <v>0.82574019036153601</v>
      </c>
      <c r="H4634" t="str">
        <f t="shared" si="72"/>
        <v>Q4</v>
      </c>
    </row>
    <row r="4635" spans="1:8">
      <c r="A4635">
        <v>690993</v>
      </c>
      <c r="B4635" t="s">
        <v>4069</v>
      </c>
      <c r="C4635">
        <v>26</v>
      </c>
      <c r="D4635">
        <v>5.4336375270325403</v>
      </c>
      <c r="E4635">
        <v>141.27457570284599</v>
      </c>
      <c r="F4635">
        <v>0.73706783040517698</v>
      </c>
      <c r="G4635">
        <v>0.82570256950453302</v>
      </c>
      <c r="H4635" t="str">
        <f t="shared" si="72"/>
        <v>Q3</v>
      </c>
    </row>
    <row r="4636" spans="1:8">
      <c r="A4636">
        <v>488614</v>
      </c>
      <c r="B4636" t="s">
        <v>1576</v>
      </c>
      <c r="C4636">
        <v>78</v>
      </c>
      <c r="D4636">
        <v>1.8111472591184701</v>
      </c>
      <c r="E4636">
        <v>141.26948621124001</v>
      </c>
      <c r="F4636">
        <v>0.88867988412776</v>
      </c>
      <c r="G4636">
        <v>0.82566494864753004</v>
      </c>
      <c r="H4636" t="str">
        <f t="shared" si="72"/>
        <v>Q4</v>
      </c>
    </row>
    <row r="4637" spans="1:8">
      <c r="A4637">
        <v>682580</v>
      </c>
      <c r="B4637" t="s">
        <v>919</v>
      </c>
      <c r="C4637">
        <v>17</v>
      </c>
      <c r="D4637">
        <v>8.3075772970914805</v>
      </c>
      <c r="E4637">
        <v>141.228814050555</v>
      </c>
      <c r="F4637">
        <v>0.65926789812271902</v>
      </c>
      <c r="G4637">
        <v>0.82562732779052705</v>
      </c>
      <c r="H4637" t="str">
        <f t="shared" si="72"/>
        <v>Q3</v>
      </c>
    </row>
    <row r="4638" spans="1:8">
      <c r="A4638">
        <v>707611</v>
      </c>
      <c r="B4638" t="s">
        <v>1758</v>
      </c>
      <c r="C4638">
        <v>121</v>
      </c>
      <c r="D4638">
        <v>1.1671242355138101</v>
      </c>
      <c r="E4638">
        <v>141.222032497171</v>
      </c>
      <c r="F4638">
        <v>0.92788081712501402</v>
      </c>
      <c r="G4638">
        <v>0.82558970693352396</v>
      </c>
      <c r="H4638" t="str">
        <f t="shared" si="72"/>
        <v>Q4</v>
      </c>
    </row>
    <row r="4639" spans="1:8">
      <c r="A4639">
        <v>637935</v>
      </c>
      <c r="B4639" t="s">
        <v>1127</v>
      </c>
      <c r="C4639">
        <v>54</v>
      </c>
      <c r="D4639">
        <v>2.6137476235076198</v>
      </c>
      <c r="E4639">
        <v>141.142371669412</v>
      </c>
      <c r="F4639">
        <v>0.84515255257514799</v>
      </c>
      <c r="G4639">
        <v>0.82555208607652097</v>
      </c>
      <c r="H4639" t="str">
        <f t="shared" si="72"/>
        <v>Q4</v>
      </c>
    </row>
    <row r="4640" spans="1:8">
      <c r="A4640">
        <v>654592</v>
      </c>
      <c r="B4640" t="s">
        <v>1338</v>
      </c>
      <c r="C4640">
        <v>57</v>
      </c>
      <c r="D4640">
        <v>2.4758846351974899</v>
      </c>
      <c r="E4640">
        <v>141.12542420625701</v>
      </c>
      <c r="F4640">
        <v>0.851849065121703</v>
      </c>
      <c r="G4640">
        <v>0.82551446521951799</v>
      </c>
      <c r="H4640" t="str">
        <f t="shared" si="72"/>
        <v>Q4</v>
      </c>
    </row>
    <row r="4641" spans="1:8">
      <c r="A4641">
        <v>633135</v>
      </c>
      <c r="B4641" t="s">
        <v>1648</v>
      </c>
      <c r="C4641">
        <v>68</v>
      </c>
      <c r="D4641">
        <v>2.0753239644417398</v>
      </c>
      <c r="E4641">
        <v>141.122029582039</v>
      </c>
      <c r="F4641">
        <v>0.87223956961739602</v>
      </c>
      <c r="G4641">
        <v>0.82547684436251501</v>
      </c>
      <c r="H4641" t="str">
        <f t="shared" si="72"/>
        <v>Q4</v>
      </c>
    </row>
    <row r="4642" spans="1:8">
      <c r="A4642">
        <v>255396</v>
      </c>
      <c r="B4642" t="s">
        <v>3460</v>
      </c>
      <c r="C4642">
        <v>37</v>
      </c>
      <c r="D4642">
        <v>3.8136050709195999</v>
      </c>
      <c r="E4642">
        <v>141.103387624025</v>
      </c>
      <c r="F4642">
        <v>0.79304766562582296</v>
      </c>
      <c r="G4642">
        <v>0.82543922350551102</v>
      </c>
      <c r="H4642" t="str">
        <f t="shared" si="72"/>
        <v>Q4</v>
      </c>
    </row>
    <row r="4643" spans="1:8">
      <c r="A4643">
        <v>766041</v>
      </c>
      <c r="B4643" t="s">
        <v>1942</v>
      </c>
      <c r="C4643">
        <v>25</v>
      </c>
      <c r="D4643">
        <v>5.6428473889827702</v>
      </c>
      <c r="E4643">
        <v>141.07118472456901</v>
      </c>
      <c r="F4643">
        <v>0.72991986757458305</v>
      </c>
      <c r="G4643">
        <v>0.82540160264850804</v>
      </c>
      <c r="H4643" t="str">
        <f t="shared" si="72"/>
        <v>Q3</v>
      </c>
    </row>
    <row r="4644" spans="1:8">
      <c r="A4644">
        <v>713205</v>
      </c>
      <c r="B4644" t="s">
        <v>3519</v>
      </c>
      <c r="C4644">
        <v>19</v>
      </c>
      <c r="D4644">
        <v>7.4225691490267396</v>
      </c>
      <c r="E4644">
        <v>141.02881383150799</v>
      </c>
      <c r="F4644">
        <v>0.68195327489560198</v>
      </c>
      <c r="G4644">
        <v>0.82536398179150505</v>
      </c>
      <c r="H4644" t="str">
        <f t="shared" si="72"/>
        <v>Q3</v>
      </c>
    </row>
    <row r="4645" spans="1:8">
      <c r="A4645">
        <v>776719</v>
      </c>
      <c r="B4645" t="s">
        <v>1215</v>
      </c>
      <c r="C4645">
        <v>14</v>
      </c>
      <c r="D4645">
        <v>10.072639424886001</v>
      </c>
      <c r="E4645">
        <v>141.016951948404</v>
      </c>
      <c r="F4645">
        <v>0.62070651969451895</v>
      </c>
      <c r="G4645">
        <v>0.82532636093450196</v>
      </c>
      <c r="H4645" t="str">
        <f t="shared" si="72"/>
        <v>Q3</v>
      </c>
    </row>
    <row r="4646" spans="1:8">
      <c r="A4646">
        <v>802568</v>
      </c>
      <c r="B4646" t="s">
        <v>3912</v>
      </c>
      <c r="C4646">
        <v>15</v>
      </c>
      <c r="D4646">
        <v>9.4009040296077693</v>
      </c>
      <c r="E4646">
        <v>141.01356044411699</v>
      </c>
      <c r="F4646">
        <v>0.63496482449870195</v>
      </c>
      <c r="G4646">
        <v>0.82528874007749897</v>
      </c>
      <c r="H4646" t="str">
        <f t="shared" si="72"/>
        <v>Q3</v>
      </c>
    </row>
    <row r="4647" spans="1:8">
      <c r="A4647">
        <v>568069</v>
      </c>
      <c r="B4647" t="s">
        <v>2634</v>
      </c>
      <c r="C4647">
        <v>53</v>
      </c>
      <c r="D4647">
        <v>2.6603133681247799</v>
      </c>
      <c r="E4647">
        <v>140.99660851061299</v>
      </c>
      <c r="F4647">
        <v>0.84218050487190099</v>
      </c>
      <c r="G4647">
        <v>0.82525111922049599</v>
      </c>
      <c r="H4647" t="str">
        <f t="shared" si="72"/>
        <v>Q4</v>
      </c>
    </row>
    <row r="4648" spans="1:8">
      <c r="A4648">
        <v>719300</v>
      </c>
      <c r="B4648" t="s">
        <v>898</v>
      </c>
      <c r="C4648">
        <v>115</v>
      </c>
      <c r="D4648">
        <v>1.22568899158226</v>
      </c>
      <c r="E4648">
        <v>140.95423403196</v>
      </c>
      <c r="F4648">
        <v>0.92370490199766797</v>
      </c>
      <c r="G4648">
        <v>0.825213498363493</v>
      </c>
      <c r="H4648" t="str">
        <f t="shared" si="72"/>
        <v>Q4</v>
      </c>
    </row>
    <row r="4649" spans="1:8">
      <c r="A4649">
        <v>797344</v>
      </c>
      <c r="B4649" t="s">
        <v>3481</v>
      </c>
      <c r="C4649">
        <v>26</v>
      </c>
      <c r="D4649">
        <v>5.4204694855098499</v>
      </c>
      <c r="E4649">
        <v>140.93220662325601</v>
      </c>
      <c r="F4649">
        <v>0.73706783040517698</v>
      </c>
      <c r="G4649">
        <v>0.82517587750649002</v>
      </c>
      <c r="H4649" t="str">
        <f t="shared" si="72"/>
        <v>Q3</v>
      </c>
    </row>
    <row r="4650" spans="1:8">
      <c r="A4650">
        <v>800867</v>
      </c>
      <c r="B4650" t="s">
        <v>3263</v>
      </c>
      <c r="C4650">
        <v>7</v>
      </c>
      <c r="D4650">
        <v>20.119854807853699</v>
      </c>
      <c r="E4650">
        <v>140.838983654976</v>
      </c>
      <c r="F4650">
        <v>0.46627290169670099</v>
      </c>
      <c r="G4650">
        <v>0.82513825664948603</v>
      </c>
      <c r="H4650" t="str">
        <f t="shared" si="72"/>
        <v>Q3</v>
      </c>
    </row>
    <row r="4651" spans="1:8">
      <c r="A4651">
        <v>771118</v>
      </c>
      <c r="B4651" t="s">
        <v>3164</v>
      </c>
      <c r="C4651">
        <v>17</v>
      </c>
      <c r="D4651">
        <v>8.2841475658556991</v>
      </c>
      <c r="E4651">
        <v>140.830508619547</v>
      </c>
      <c r="F4651">
        <v>0.65926789812271902</v>
      </c>
      <c r="G4651">
        <v>0.82510063579248305</v>
      </c>
      <c r="H4651" t="str">
        <f t="shared" si="72"/>
        <v>Q3</v>
      </c>
    </row>
    <row r="4652" spans="1:8">
      <c r="A4652">
        <v>800808</v>
      </c>
      <c r="B4652" t="s">
        <v>2578</v>
      </c>
      <c r="C4652">
        <v>43</v>
      </c>
      <c r="D4652">
        <v>3.27477330385253</v>
      </c>
      <c r="E4652">
        <v>140.815252065659</v>
      </c>
      <c r="F4652">
        <v>0.81437869154659304</v>
      </c>
      <c r="G4652">
        <v>0.82506301493547995</v>
      </c>
      <c r="H4652" t="str">
        <f t="shared" si="72"/>
        <v>Q4</v>
      </c>
    </row>
    <row r="4653" spans="1:8">
      <c r="A4653">
        <v>609146</v>
      </c>
      <c r="B4653" t="s">
        <v>2642</v>
      </c>
      <c r="C4653">
        <v>101</v>
      </c>
      <c r="D4653">
        <v>1.39407613545214</v>
      </c>
      <c r="E4653">
        <v>140.80168968066599</v>
      </c>
      <c r="F4653">
        <v>0.91245626575373395</v>
      </c>
      <c r="G4653">
        <v>0.82502539407847697</v>
      </c>
      <c r="H4653" t="str">
        <f t="shared" si="72"/>
        <v>Q4</v>
      </c>
    </row>
    <row r="4654" spans="1:8">
      <c r="A4654">
        <v>807281</v>
      </c>
      <c r="B4654" t="s">
        <v>2638</v>
      </c>
      <c r="C4654">
        <v>35</v>
      </c>
      <c r="D4654">
        <v>4.0223244471209396</v>
      </c>
      <c r="E4654">
        <v>140.78135564923301</v>
      </c>
      <c r="F4654">
        <v>0.78420676423008895</v>
      </c>
      <c r="G4654">
        <v>0.82498777322147399</v>
      </c>
      <c r="H4654" t="str">
        <f t="shared" si="72"/>
        <v>Q4</v>
      </c>
    </row>
    <row r="4655" spans="1:8">
      <c r="A4655">
        <v>700931</v>
      </c>
      <c r="B4655" t="s">
        <v>4791</v>
      </c>
      <c r="C4655">
        <v>114</v>
      </c>
      <c r="D4655">
        <v>1.2347308636986101</v>
      </c>
      <c r="E4655">
        <v>140.75931846164201</v>
      </c>
      <c r="F4655">
        <v>0.92306534742861401</v>
      </c>
      <c r="G4655">
        <v>0.824950152364471</v>
      </c>
      <c r="H4655" t="str">
        <f t="shared" si="72"/>
        <v>Q4</v>
      </c>
    </row>
    <row r="4656" spans="1:8">
      <c r="A4656">
        <v>809651</v>
      </c>
      <c r="B4656" t="s">
        <v>4719</v>
      </c>
      <c r="C4656">
        <v>36</v>
      </c>
      <c r="D4656">
        <v>3.9089924862815302</v>
      </c>
      <c r="E4656">
        <v>140.72372950613499</v>
      </c>
      <c r="F4656">
        <v>0.78890937135547901</v>
      </c>
      <c r="G4656">
        <v>0.82491253150746802</v>
      </c>
      <c r="H4656" t="str">
        <f t="shared" si="72"/>
        <v>Q4</v>
      </c>
    </row>
    <row r="4657" spans="1:8">
      <c r="A4657">
        <v>717213</v>
      </c>
      <c r="B4657" t="s">
        <v>4951</v>
      </c>
      <c r="C4657">
        <v>34</v>
      </c>
      <c r="D4657">
        <v>4.1372881325728796</v>
      </c>
      <c r="E4657">
        <v>140.66779650747799</v>
      </c>
      <c r="F4657">
        <v>0.77969226138971404</v>
      </c>
      <c r="G4657">
        <v>0.82487491065046503</v>
      </c>
      <c r="H4657" t="str">
        <f t="shared" si="72"/>
        <v>Q4</v>
      </c>
    </row>
    <row r="4658" spans="1:8">
      <c r="A4658">
        <v>639835</v>
      </c>
      <c r="B4658" t="s">
        <v>5126</v>
      </c>
      <c r="C4658">
        <v>34</v>
      </c>
      <c r="D4658">
        <v>4.1368394925752101</v>
      </c>
      <c r="E4658">
        <v>140.65254274755699</v>
      </c>
      <c r="F4658">
        <v>0.77969226138971404</v>
      </c>
      <c r="G4658">
        <v>0.82483728979346105</v>
      </c>
      <c r="H4658" t="str">
        <f t="shared" si="72"/>
        <v>Q4</v>
      </c>
    </row>
    <row r="4659" spans="1:8">
      <c r="A4659">
        <v>611929</v>
      </c>
      <c r="B4659" t="s">
        <v>2199</v>
      </c>
      <c r="C4659">
        <v>46</v>
      </c>
      <c r="D4659">
        <v>3.0574428363014801</v>
      </c>
      <c r="E4659">
        <v>140.64237046986801</v>
      </c>
      <c r="F4659">
        <v>0.82378390579737404</v>
      </c>
      <c r="G4659">
        <v>0.82479966893645795</v>
      </c>
      <c r="H4659" t="str">
        <f t="shared" si="72"/>
        <v>Q4</v>
      </c>
    </row>
    <row r="4660" spans="1:8">
      <c r="A4660">
        <v>779650</v>
      </c>
      <c r="B4660" t="s">
        <v>4177</v>
      </c>
      <c r="C4660">
        <v>41</v>
      </c>
      <c r="D4660">
        <v>3.4295163321785802</v>
      </c>
      <c r="E4660">
        <v>140.61016961932199</v>
      </c>
      <c r="F4660">
        <v>0.80787028328505295</v>
      </c>
      <c r="G4660">
        <v>0.82476204807945497</v>
      </c>
      <c r="H4660" t="str">
        <f t="shared" si="72"/>
        <v>Q4</v>
      </c>
    </row>
    <row r="4661" spans="1:8">
      <c r="A4661">
        <v>473954</v>
      </c>
      <c r="B4661" t="s">
        <v>149</v>
      </c>
      <c r="C4661">
        <v>87</v>
      </c>
      <c r="D4661">
        <v>1.61579966480876</v>
      </c>
      <c r="E4661">
        <v>140.57457083836201</v>
      </c>
      <c r="F4661">
        <v>0.89955231180166295</v>
      </c>
      <c r="G4661">
        <v>0.82472442722245198</v>
      </c>
      <c r="H4661" t="str">
        <f t="shared" si="72"/>
        <v>Q4</v>
      </c>
    </row>
    <row r="4662" spans="1:8">
      <c r="A4662">
        <v>785853</v>
      </c>
      <c r="B4662" t="s">
        <v>4671</v>
      </c>
      <c r="C4662">
        <v>47</v>
      </c>
      <c r="D4662">
        <v>2.99091235278769</v>
      </c>
      <c r="E4662">
        <v>140.572880581021</v>
      </c>
      <c r="F4662">
        <v>0.82641736578759295</v>
      </c>
      <c r="G4662">
        <v>0.824686806365449</v>
      </c>
      <c r="H4662" t="str">
        <f t="shared" si="72"/>
        <v>Q4</v>
      </c>
    </row>
    <row r="4663" spans="1:8">
      <c r="A4663">
        <v>761339</v>
      </c>
      <c r="B4663" t="s">
        <v>2561</v>
      </c>
      <c r="C4663">
        <v>72</v>
      </c>
      <c r="D4663">
        <v>1.9518596236593999</v>
      </c>
      <c r="E4663">
        <v>140.53389290347701</v>
      </c>
      <c r="F4663">
        <v>0.87957563673300498</v>
      </c>
      <c r="G4663">
        <v>0.82464918550844601</v>
      </c>
      <c r="H4663" t="str">
        <f t="shared" si="72"/>
        <v>Q4</v>
      </c>
    </row>
    <row r="4664" spans="1:8">
      <c r="A4664">
        <v>842606</v>
      </c>
      <c r="B4664" t="s">
        <v>4162</v>
      </c>
      <c r="C4664">
        <v>44</v>
      </c>
      <c r="D4664">
        <v>3.1927965623749901</v>
      </c>
      <c r="E4664">
        <v>140.4830487445</v>
      </c>
      <c r="F4664">
        <v>0.817689326962868</v>
      </c>
      <c r="G4664">
        <v>0.82461156465144303</v>
      </c>
      <c r="H4664" t="str">
        <f t="shared" si="72"/>
        <v>Q4</v>
      </c>
    </row>
    <row r="4665" spans="1:8">
      <c r="A4665">
        <v>776041</v>
      </c>
      <c r="B4665" t="s">
        <v>2130</v>
      </c>
      <c r="C4665">
        <v>111</v>
      </c>
      <c r="D4665">
        <v>1.2655825156987</v>
      </c>
      <c r="E4665">
        <v>140.47965924255499</v>
      </c>
      <c r="F4665">
        <v>0.92084571686543004</v>
      </c>
      <c r="G4665">
        <v>0.82457394379444005</v>
      </c>
      <c r="H4665" t="str">
        <f t="shared" si="72"/>
        <v>Q4</v>
      </c>
    </row>
    <row r="4666" spans="1:8">
      <c r="A4666">
        <v>697564</v>
      </c>
      <c r="B4666" t="s">
        <v>2516</v>
      </c>
      <c r="C4666">
        <v>92</v>
      </c>
      <c r="D4666">
        <v>1.5269159319122201</v>
      </c>
      <c r="E4666">
        <v>140.47626573592399</v>
      </c>
      <c r="F4666">
        <v>0.90429253978405599</v>
      </c>
      <c r="G4666">
        <v>0.82453632293743695</v>
      </c>
      <c r="H4666" t="str">
        <f t="shared" si="72"/>
        <v>Q4</v>
      </c>
    </row>
    <row r="4667" spans="1:8">
      <c r="A4667">
        <v>756713</v>
      </c>
      <c r="B4667" t="s">
        <v>5077</v>
      </c>
      <c r="C4667">
        <v>45</v>
      </c>
      <c r="D4667">
        <v>3.12161955568526</v>
      </c>
      <c r="E4667">
        <v>140.472880005836</v>
      </c>
      <c r="F4667">
        <v>0.82069899552311798</v>
      </c>
      <c r="G4667">
        <v>0.82449870208043297</v>
      </c>
      <c r="H4667" t="str">
        <f t="shared" si="72"/>
        <v>Q4</v>
      </c>
    </row>
    <row r="4668" spans="1:8">
      <c r="A4668">
        <v>707180</v>
      </c>
      <c r="B4668" t="s">
        <v>3530</v>
      </c>
      <c r="C4668">
        <v>13</v>
      </c>
      <c r="D4668">
        <v>10.8041718888741</v>
      </c>
      <c r="E4668">
        <v>140.454234555364</v>
      </c>
      <c r="F4668">
        <v>0.60539483089424795</v>
      </c>
      <c r="G4668">
        <v>0.82446108122342998</v>
      </c>
      <c r="H4668" t="str">
        <f t="shared" si="72"/>
        <v>Q3</v>
      </c>
    </row>
    <row r="4669" spans="1:8">
      <c r="A4669">
        <v>706274</v>
      </c>
      <c r="B4669" t="s">
        <v>4226</v>
      </c>
      <c r="C4669">
        <v>41</v>
      </c>
      <c r="D4669">
        <v>3.4248036173422198</v>
      </c>
      <c r="E4669">
        <v>140.41694831103101</v>
      </c>
      <c r="F4669">
        <v>0.80787028328505295</v>
      </c>
      <c r="G4669">
        <v>0.824423460366427</v>
      </c>
      <c r="H4669" t="str">
        <f t="shared" si="72"/>
        <v>Q4</v>
      </c>
    </row>
    <row r="4670" spans="1:8">
      <c r="A4670">
        <v>760919</v>
      </c>
      <c r="B4670" t="s">
        <v>1141</v>
      </c>
      <c r="C4670">
        <v>51</v>
      </c>
      <c r="D4670">
        <v>2.7526088424173101</v>
      </c>
      <c r="E4670">
        <v>140.38305096328301</v>
      </c>
      <c r="F4670">
        <v>0.83762838117452298</v>
      </c>
      <c r="G4670">
        <v>0.82438583950942401</v>
      </c>
      <c r="H4670" t="str">
        <f t="shared" si="72"/>
        <v>Q4</v>
      </c>
    </row>
    <row r="4671" spans="1:8">
      <c r="A4671">
        <v>784277</v>
      </c>
      <c r="B4671" t="s">
        <v>4825</v>
      </c>
      <c r="C4671">
        <v>11</v>
      </c>
      <c r="D4671">
        <v>12.751155956225</v>
      </c>
      <c r="E4671">
        <v>140.26271551847501</v>
      </c>
      <c r="F4671">
        <v>0.56957977502727497</v>
      </c>
      <c r="G4671">
        <v>0.82434821865242103</v>
      </c>
      <c r="H4671" t="str">
        <f t="shared" si="72"/>
        <v>Q3</v>
      </c>
    </row>
    <row r="4672" spans="1:8">
      <c r="A4672">
        <v>560214</v>
      </c>
      <c r="B4672" t="s">
        <v>2859</v>
      </c>
      <c r="C4672">
        <v>110</v>
      </c>
      <c r="D4672">
        <v>1.2738982880149401</v>
      </c>
      <c r="E4672">
        <v>140.12881168164299</v>
      </c>
      <c r="F4672">
        <v>0.92001805801136105</v>
      </c>
      <c r="G4672">
        <v>0.82431059779541804</v>
      </c>
      <c r="H4672" t="str">
        <f t="shared" si="72"/>
        <v>Q4</v>
      </c>
    </row>
    <row r="4673" spans="1:8">
      <c r="A4673">
        <v>789391</v>
      </c>
      <c r="B4673" t="s">
        <v>4279</v>
      </c>
      <c r="C4673">
        <v>29</v>
      </c>
      <c r="D4673">
        <v>4.8312683364954498</v>
      </c>
      <c r="E4673">
        <v>140.10678175836799</v>
      </c>
      <c r="F4673">
        <v>0.75501297919566601</v>
      </c>
      <c r="G4673">
        <v>0.82427297693841495</v>
      </c>
      <c r="H4673" t="str">
        <f t="shared" si="72"/>
        <v>Q4</v>
      </c>
    </row>
    <row r="4674" spans="1:8">
      <c r="A4674">
        <v>696780</v>
      </c>
      <c r="B4674" t="s">
        <v>226</v>
      </c>
      <c r="C4674">
        <v>159</v>
      </c>
      <c r="D4674">
        <v>0.88066302017314602</v>
      </c>
      <c r="E4674">
        <v>140.02542020753</v>
      </c>
      <c r="F4674">
        <v>0.94597644934351599</v>
      </c>
      <c r="G4674">
        <v>0.82423535608141196</v>
      </c>
      <c r="H4674" t="str">
        <f t="shared" si="72"/>
        <v>Q4</v>
      </c>
    </row>
    <row r="4675" spans="1:8">
      <c r="A4675">
        <v>700946</v>
      </c>
      <c r="B4675" t="s">
        <v>2699</v>
      </c>
      <c r="C4675">
        <v>107</v>
      </c>
      <c r="D4675">
        <v>1.3083953641041699</v>
      </c>
      <c r="E4675">
        <v>139.998303959146</v>
      </c>
      <c r="F4675">
        <v>0.91791129001918703</v>
      </c>
      <c r="G4675">
        <v>0.82419773522440798</v>
      </c>
      <c r="H4675" t="str">
        <f t="shared" ref="H4675:H4738" si="73">IF(C4675&gt;$J$2,
   IF(D4675&gt;$J$3,"Q1","Q2"),
   IF(D4675&gt;$J$3,"Q3","Q4"))</f>
        <v>Q4</v>
      </c>
    </row>
    <row r="4676" spans="1:8">
      <c r="A4676">
        <v>628466</v>
      </c>
      <c r="B4676" t="s">
        <v>196</v>
      </c>
      <c r="C4676">
        <v>19</v>
      </c>
      <c r="D4676">
        <v>7.3683316182149099</v>
      </c>
      <c r="E4676">
        <v>139.998300746083</v>
      </c>
      <c r="F4676">
        <v>0.68195327489560198</v>
      </c>
      <c r="G4676">
        <v>0.82416011436740499</v>
      </c>
      <c r="H4676" t="str">
        <f t="shared" si="73"/>
        <v>Q3</v>
      </c>
    </row>
    <row r="4677" spans="1:8">
      <c r="A4677">
        <v>637411</v>
      </c>
      <c r="B4677" t="s">
        <v>3102</v>
      </c>
      <c r="C4677">
        <v>44</v>
      </c>
      <c r="D4677">
        <v>3.1817410903220802</v>
      </c>
      <c r="E4677">
        <v>139.99660797417201</v>
      </c>
      <c r="F4677">
        <v>0.817689326962868</v>
      </c>
      <c r="G4677">
        <v>0.82412249351040201</v>
      </c>
      <c r="H4677" t="str">
        <f t="shared" si="73"/>
        <v>Q4</v>
      </c>
    </row>
    <row r="4678" spans="1:8">
      <c r="A4678">
        <v>664936</v>
      </c>
      <c r="B4678" t="s">
        <v>1679</v>
      </c>
      <c r="C4678">
        <v>20</v>
      </c>
      <c r="D4678">
        <v>6.9993217661976797</v>
      </c>
      <c r="E4678">
        <v>139.986435323954</v>
      </c>
      <c r="F4678">
        <v>0.69196042285843296</v>
      </c>
      <c r="G4678">
        <v>0.82408487265339903</v>
      </c>
      <c r="H4678" t="str">
        <f t="shared" si="73"/>
        <v>Q3</v>
      </c>
    </row>
    <row r="4679" spans="1:8">
      <c r="A4679">
        <v>795820</v>
      </c>
      <c r="B4679" t="s">
        <v>1900</v>
      </c>
      <c r="C4679">
        <v>58</v>
      </c>
      <c r="D4679">
        <v>2.4126534157528998</v>
      </c>
      <c r="E4679">
        <v>139.93389811366799</v>
      </c>
      <c r="F4679">
        <v>0.853993453970881</v>
      </c>
      <c r="G4679">
        <v>0.82404725179639604</v>
      </c>
      <c r="H4679" t="str">
        <f t="shared" si="73"/>
        <v>Q4</v>
      </c>
    </row>
    <row r="4680" spans="1:8">
      <c r="A4680">
        <v>661796</v>
      </c>
      <c r="B4680" t="s">
        <v>3837</v>
      </c>
      <c r="C4680">
        <v>11</v>
      </c>
      <c r="D4680">
        <v>12.719722701744599</v>
      </c>
      <c r="E4680">
        <v>139.916949719191</v>
      </c>
      <c r="F4680">
        <v>0.56957977502727497</v>
      </c>
      <c r="G4680">
        <v>0.82400963093939295</v>
      </c>
      <c r="H4680" t="str">
        <f t="shared" si="73"/>
        <v>Q3</v>
      </c>
    </row>
    <row r="4681" spans="1:8">
      <c r="A4681">
        <v>799366</v>
      </c>
      <c r="B4681" t="s">
        <v>1343</v>
      </c>
      <c r="C4681">
        <v>43</v>
      </c>
      <c r="D4681">
        <v>3.2515174817553798</v>
      </c>
      <c r="E4681">
        <v>139.815251715481</v>
      </c>
      <c r="F4681">
        <v>0.81437869154659304</v>
      </c>
      <c r="G4681">
        <v>0.82397201008238996</v>
      </c>
      <c r="H4681" t="str">
        <f t="shared" si="73"/>
        <v>Q4</v>
      </c>
    </row>
    <row r="4682" spans="1:8">
      <c r="A4682">
        <v>755225</v>
      </c>
      <c r="B4682" t="s">
        <v>4316</v>
      </c>
      <c r="C4682">
        <v>23</v>
      </c>
      <c r="D4682">
        <v>6.0772291344145097</v>
      </c>
      <c r="E4682">
        <v>139.776270091534</v>
      </c>
      <c r="F4682">
        <v>0.71547345848538402</v>
      </c>
      <c r="G4682">
        <v>0.82393438922538698</v>
      </c>
      <c r="H4682" t="str">
        <f t="shared" si="73"/>
        <v>Q3</v>
      </c>
    </row>
    <row r="4683" spans="1:8">
      <c r="A4683">
        <v>837097</v>
      </c>
      <c r="B4683" t="s">
        <v>836</v>
      </c>
      <c r="C4683">
        <v>25</v>
      </c>
      <c r="D4683">
        <v>5.5890848338604</v>
      </c>
      <c r="E4683">
        <v>139.72712084650999</v>
      </c>
      <c r="F4683">
        <v>0.72991986757458305</v>
      </c>
      <c r="G4683">
        <v>0.82389676836838299</v>
      </c>
      <c r="H4683" t="str">
        <f t="shared" si="73"/>
        <v>Q3</v>
      </c>
    </row>
    <row r="4684" spans="1:8">
      <c r="A4684">
        <v>582011</v>
      </c>
      <c r="B4684" t="s">
        <v>2984</v>
      </c>
      <c r="C4684">
        <v>70</v>
      </c>
      <c r="D4684">
        <v>1.99595639083002</v>
      </c>
      <c r="E4684">
        <v>139.716947358102</v>
      </c>
      <c r="F4684">
        <v>0.87555020503367098</v>
      </c>
      <c r="G4684">
        <v>0.82385914751138001</v>
      </c>
      <c r="H4684" t="str">
        <f t="shared" si="73"/>
        <v>Q4</v>
      </c>
    </row>
    <row r="4685" spans="1:8">
      <c r="A4685">
        <v>713380</v>
      </c>
      <c r="B4685" t="s">
        <v>3081</v>
      </c>
      <c r="C4685">
        <v>58</v>
      </c>
      <c r="D4685">
        <v>2.4087375816728498</v>
      </c>
      <c r="E4685">
        <v>139.70677973702499</v>
      </c>
      <c r="F4685">
        <v>0.853993453970881</v>
      </c>
      <c r="G4685">
        <v>0.82382152665437702</v>
      </c>
      <c r="H4685" t="str">
        <f t="shared" si="73"/>
        <v>Q4</v>
      </c>
    </row>
    <row r="4686" spans="1:8">
      <c r="A4686">
        <v>594921</v>
      </c>
      <c r="B4686" t="s">
        <v>3188</v>
      </c>
      <c r="C4686">
        <v>44</v>
      </c>
      <c r="D4686">
        <v>3.1750770285725598</v>
      </c>
      <c r="E4686">
        <v>139.70338925719301</v>
      </c>
      <c r="F4686">
        <v>0.817689326962868</v>
      </c>
      <c r="G4686">
        <v>0.82378390579737404</v>
      </c>
      <c r="H4686" t="str">
        <f t="shared" si="73"/>
        <v>Q4</v>
      </c>
    </row>
    <row r="4687" spans="1:8">
      <c r="A4687">
        <v>813602</v>
      </c>
      <c r="B4687" t="s">
        <v>1910</v>
      </c>
      <c r="C4687">
        <v>57</v>
      </c>
      <c r="D4687">
        <v>2.4504609046536601</v>
      </c>
      <c r="E4687">
        <v>139.67627156525899</v>
      </c>
      <c r="F4687">
        <v>0.851849065121703</v>
      </c>
      <c r="G4687">
        <v>0.82374628494037105</v>
      </c>
      <c r="H4687" t="str">
        <f t="shared" si="73"/>
        <v>Q4</v>
      </c>
    </row>
    <row r="4688" spans="1:8">
      <c r="A4688">
        <v>675379</v>
      </c>
      <c r="B4688" t="s">
        <v>1330</v>
      </c>
      <c r="C4688">
        <v>11</v>
      </c>
      <c r="D4688">
        <v>12.6949153840542</v>
      </c>
      <c r="E4688">
        <v>139.644069224596</v>
      </c>
      <c r="F4688">
        <v>0.56957977502727497</v>
      </c>
      <c r="G4688">
        <v>0.82370866408336796</v>
      </c>
      <c r="H4688" t="str">
        <f t="shared" si="73"/>
        <v>Q3</v>
      </c>
    </row>
    <row r="4689" spans="1:8">
      <c r="A4689">
        <v>796370</v>
      </c>
      <c r="B4689" t="s">
        <v>4790</v>
      </c>
      <c r="C4689">
        <v>9</v>
      </c>
      <c r="D4689">
        <v>15.511864506536099</v>
      </c>
      <c r="E4689">
        <v>139.60678055882499</v>
      </c>
      <c r="F4689">
        <v>0.52428426319551602</v>
      </c>
      <c r="G4689">
        <v>0.82367104322636497</v>
      </c>
      <c r="H4689" t="str">
        <f t="shared" si="73"/>
        <v>Q3</v>
      </c>
    </row>
    <row r="4690" spans="1:8">
      <c r="A4690">
        <v>772772</v>
      </c>
      <c r="B4690" t="s">
        <v>2851</v>
      </c>
      <c r="C4690">
        <v>89</v>
      </c>
      <c r="D4690">
        <v>1.56861544440218</v>
      </c>
      <c r="E4690">
        <v>139.60677455179399</v>
      </c>
      <c r="F4690">
        <v>0.90135811293781298</v>
      </c>
      <c r="G4690">
        <v>0.82363342236936199</v>
      </c>
      <c r="H4690" t="str">
        <f t="shared" si="73"/>
        <v>Q4</v>
      </c>
    </row>
    <row r="4691" spans="1:8">
      <c r="A4691">
        <v>721910</v>
      </c>
      <c r="B4691" t="s">
        <v>2796</v>
      </c>
      <c r="C4691">
        <v>28</v>
      </c>
      <c r="D4691">
        <v>4.98353520940457</v>
      </c>
      <c r="E4691">
        <v>139.53898586332801</v>
      </c>
      <c r="F4691">
        <v>0.74974605921522897</v>
      </c>
      <c r="G4691">
        <v>0.82359580151235801</v>
      </c>
      <c r="H4691" t="str">
        <f t="shared" si="73"/>
        <v>Q3</v>
      </c>
    </row>
    <row r="4692" spans="1:8">
      <c r="A4692">
        <v>696954</v>
      </c>
      <c r="B4692" t="s">
        <v>671</v>
      </c>
      <c r="C4692">
        <v>17</v>
      </c>
      <c r="D4692">
        <v>8.2077767042552701</v>
      </c>
      <c r="E4692">
        <v>139.53220397234</v>
      </c>
      <c r="F4692">
        <v>0.65926789812271902</v>
      </c>
      <c r="G4692">
        <v>0.82355818065535502</v>
      </c>
      <c r="H4692" t="str">
        <f t="shared" si="73"/>
        <v>Q3</v>
      </c>
    </row>
    <row r="4693" spans="1:8">
      <c r="A4693">
        <v>767423</v>
      </c>
      <c r="B4693" t="s">
        <v>2440</v>
      </c>
      <c r="C4693">
        <v>57</v>
      </c>
      <c r="D4693">
        <v>2.4466547722879199</v>
      </c>
      <c r="E4693">
        <v>139.45932202041101</v>
      </c>
      <c r="F4693">
        <v>0.851849065121703</v>
      </c>
      <c r="G4693">
        <v>0.82348293894134905</v>
      </c>
      <c r="H4693" t="str">
        <f t="shared" si="73"/>
        <v>Q4</v>
      </c>
    </row>
    <row r="4694" spans="1:8">
      <c r="A4694">
        <v>689014</v>
      </c>
      <c r="B4694" t="s">
        <v>738</v>
      </c>
      <c r="C4694">
        <v>34</v>
      </c>
      <c r="D4694">
        <v>4.1017447653062202</v>
      </c>
      <c r="E4694">
        <v>139.45932202041101</v>
      </c>
      <c r="F4694">
        <v>0.77969226138971404</v>
      </c>
      <c r="G4694">
        <v>0.82348293894134905</v>
      </c>
      <c r="H4694" t="str">
        <f t="shared" si="73"/>
        <v>Q4</v>
      </c>
    </row>
    <row r="4695" spans="1:8">
      <c r="A4695">
        <v>741419</v>
      </c>
      <c r="B4695" t="s">
        <v>3769</v>
      </c>
      <c r="C4695">
        <v>77</v>
      </c>
      <c r="D4695">
        <v>1.8110059491999699</v>
      </c>
      <c r="E4695">
        <v>139.44745808839801</v>
      </c>
      <c r="F4695">
        <v>0.88740077498965397</v>
      </c>
      <c r="G4695">
        <v>0.82344531808434596</v>
      </c>
      <c r="H4695" t="str">
        <f t="shared" si="73"/>
        <v>Q4</v>
      </c>
    </row>
    <row r="4696" spans="1:8">
      <c r="A4696">
        <v>676539</v>
      </c>
      <c r="B4696" t="s">
        <v>2353</v>
      </c>
      <c r="C4696">
        <v>46</v>
      </c>
      <c r="D4696">
        <v>3.0314664477887399</v>
      </c>
      <c r="E4696">
        <v>139.447456598282</v>
      </c>
      <c r="F4696">
        <v>0.82378390579737404</v>
      </c>
      <c r="G4696">
        <v>0.82340769722734297</v>
      </c>
      <c r="H4696" t="str">
        <f t="shared" si="73"/>
        <v>Q4</v>
      </c>
    </row>
    <row r="4697" spans="1:8">
      <c r="A4697">
        <v>749120</v>
      </c>
      <c r="B4697" t="s">
        <v>1191</v>
      </c>
      <c r="C4697">
        <v>31</v>
      </c>
      <c r="D4697">
        <v>4.4963914119908903</v>
      </c>
      <c r="E4697">
        <v>139.388133771718</v>
      </c>
      <c r="F4697">
        <v>0.766073511154584</v>
      </c>
      <c r="G4697">
        <v>0.82337007637033999</v>
      </c>
      <c r="H4697" t="str">
        <f t="shared" si="73"/>
        <v>Q4</v>
      </c>
    </row>
    <row r="4698" spans="1:8">
      <c r="A4698">
        <v>740895</v>
      </c>
      <c r="B4698" t="s">
        <v>4505</v>
      </c>
      <c r="C4698">
        <v>60</v>
      </c>
      <c r="D4698">
        <v>2.3229943588376001</v>
      </c>
      <c r="E4698">
        <v>139.37966153025599</v>
      </c>
      <c r="F4698">
        <v>0.85805650652721899</v>
      </c>
      <c r="G4698">
        <v>0.823332455513337</v>
      </c>
      <c r="H4698" t="str">
        <f t="shared" si="73"/>
        <v>Q4</v>
      </c>
    </row>
    <row r="4699" spans="1:8">
      <c r="A4699">
        <v>763708</v>
      </c>
      <c r="B4699" t="s">
        <v>3666</v>
      </c>
      <c r="C4699">
        <v>37</v>
      </c>
      <c r="D4699">
        <v>3.7658268535459398</v>
      </c>
      <c r="E4699">
        <v>139.33559358119999</v>
      </c>
      <c r="F4699">
        <v>0.79304766562582296</v>
      </c>
      <c r="G4699">
        <v>0.82329483465633302</v>
      </c>
      <c r="H4699" t="str">
        <f t="shared" si="73"/>
        <v>Q4</v>
      </c>
    </row>
    <row r="4700" spans="1:8">
      <c r="A4700">
        <v>561307</v>
      </c>
      <c r="B4700" t="s">
        <v>4677</v>
      </c>
      <c r="C4700">
        <v>58</v>
      </c>
      <c r="D4700">
        <v>2.4023378171540499</v>
      </c>
      <c r="E4700">
        <v>139.33559339493499</v>
      </c>
      <c r="F4700">
        <v>0.853993453970881</v>
      </c>
      <c r="G4700">
        <v>0.82325721379933003</v>
      </c>
      <c r="H4700" t="str">
        <f t="shared" si="73"/>
        <v>Q4</v>
      </c>
    </row>
    <row r="4701" spans="1:8">
      <c r="A4701">
        <v>740902</v>
      </c>
      <c r="B4701" t="s">
        <v>1284</v>
      </c>
      <c r="C4701">
        <v>89</v>
      </c>
      <c r="D4701">
        <v>1.5654922379285401</v>
      </c>
      <c r="E4701">
        <v>139.32880917564</v>
      </c>
      <c r="F4701">
        <v>0.90135811293781298</v>
      </c>
      <c r="G4701">
        <v>0.82321959294232705</v>
      </c>
      <c r="H4701" t="str">
        <f t="shared" si="73"/>
        <v>Q4</v>
      </c>
    </row>
    <row r="4702" spans="1:8">
      <c r="A4702">
        <v>731783</v>
      </c>
      <c r="B4702" t="s">
        <v>4243</v>
      </c>
      <c r="C4702">
        <v>23</v>
      </c>
      <c r="D4702">
        <v>6.0565953669340704</v>
      </c>
      <c r="E4702">
        <v>139.30169343948401</v>
      </c>
      <c r="F4702">
        <v>0.71547345848538402</v>
      </c>
      <c r="G4702">
        <v>0.82318197208532395</v>
      </c>
      <c r="H4702" t="str">
        <f t="shared" si="73"/>
        <v>Q3</v>
      </c>
    </row>
    <row r="4703" spans="1:8">
      <c r="A4703">
        <v>786193</v>
      </c>
      <c r="B4703" t="s">
        <v>3836</v>
      </c>
      <c r="C4703">
        <v>34</v>
      </c>
      <c r="D4703">
        <v>4.0965603664517403</v>
      </c>
      <c r="E4703">
        <v>139.283052459359</v>
      </c>
      <c r="F4703">
        <v>0.77969226138971404</v>
      </c>
      <c r="G4703">
        <v>0.82314435122832097</v>
      </c>
      <c r="H4703" t="str">
        <f t="shared" si="73"/>
        <v>Q4</v>
      </c>
    </row>
    <row r="4704" spans="1:8">
      <c r="A4704">
        <v>615021</v>
      </c>
      <c r="B4704" t="s">
        <v>2902</v>
      </c>
      <c r="C4704">
        <v>181</v>
      </c>
      <c r="D4704">
        <v>0.76943533057707103</v>
      </c>
      <c r="E4704">
        <v>139.26779483445</v>
      </c>
      <c r="F4704">
        <v>0.95387682931417195</v>
      </c>
      <c r="G4704">
        <v>0.82310673037131799</v>
      </c>
      <c r="H4704" t="str">
        <f t="shared" si="73"/>
        <v>Q2</v>
      </c>
    </row>
    <row r="4705" spans="1:8">
      <c r="A4705">
        <v>699822</v>
      </c>
      <c r="B4705" t="s">
        <v>198</v>
      </c>
      <c r="C4705">
        <v>27</v>
      </c>
      <c r="D4705">
        <v>5.1553673283369497</v>
      </c>
      <c r="E4705">
        <v>139.19491786509801</v>
      </c>
      <c r="F4705">
        <v>0.74312478838267904</v>
      </c>
      <c r="G4705">
        <v>0.823069109514315</v>
      </c>
      <c r="H4705" t="str">
        <f t="shared" si="73"/>
        <v>Q3</v>
      </c>
    </row>
    <row r="4706" spans="1:8">
      <c r="A4706">
        <v>688037</v>
      </c>
      <c r="B4706" t="s">
        <v>521</v>
      </c>
      <c r="C4706">
        <v>49</v>
      </c>
      <c r="D4706">
        <v>2.8386371438296498</v>
      </c>
      <c r="E4706">
        <v>139.09322004765301</v>
      </c>
      <c r="F4706">
        <v>0.83258718633610496</v>
      </c>
      <c r="G4706">
        <v>0.82303148865731202</v>
      </c>
      <c r="H4706" t="str">
        <f t="shared" si="73"/>
        <v>Q4</v>
      </c>
    </row>
    <row r="4707" spans="1:8">
      <c r="A4707">
        <v>798972</v>
      </c>
      <c r="B4707" t="s">
        <v>741</v>
      </c>
      <c r="C4707">
        <v>35</v>
      </c>
      <c r="D4707">
        <v>3.9737530691283101</v>
      </c>
      <c r="E4707">
        <v>139.08135741949101</v>
      </c>
      <c r="F4707">
        <v>0.78420676423008895</v>
      </c>
      <c r="G4707">
        <v>0.82299386780030803</v>
      </c>
      <c r="H4707" t="str">
        <f t="shared" si="73"/>
        <v>Q4</v>
      </c>
    </row>
    <row r="4708" spans="1:8">
      <c r="A4708">
        <v>638559</v>
      </c>
      <c r="B4708" t="s">
        <v>1753</v>
      </c>
      <c r="C4708">
        <v>29</v>
      </c>
      <c r="D4708">
        <v>4.7942139722149903</v>
      </c>
      <c r="E4708">
        <v>139.03220519423499</v>
      </c>
      <c r="F4708">
        <v>0.75501297919566601</v>
      </c>
      <c r="G4708">
        <v>0.82295624694330505</v>
      </c>
      <c r="H4708" t="str">
        <f t="shared" si="73"/>
        <v>Q4</v>
      </c>
    </row>
    <row r="4709" spans="1:8">
      <c r="A4709">
        <v>791215</v>
      </c>
      <c r="B4709" t="s">
        <v>4039</v>
      </c>
      <c r="C4709">
        <v>35</v>
      </c>
      <c r="D4709">
        <v>3.9712832921317598</v>
      </c>
      <c r="E4709">
        <v>138.99491522461199</v>
      </c>
      <c r="F4709">
        <v>0.78420676423008895</v>
      </c>
      <c r="G4709">
        <v>0.82291862608630195</v>
      </c>
      <c r="H4709" t="str">
        <f t="shared" si="73"/>
        <v>Q4</v>
      </c>
    </row>
    <row r="4710" spans="1:8">
      <c r="A4710">
        <v>711529</v>
      </c>
      <c r="B4710" t="s">
        <v>2379</v>
      </c>
      <c r="C4710">
        <v>39</v>
      </c>
      <c r="D4710">
        <v>3.5635376110290902</v>
      </c>
      <c r="E4710">
        <v>138.97796683013399</v>
      </c>
      <c r="F4710">
        <v>0.80087280388247195</v>
      </c>
      <c r="G4710">
        <v>0.82288100522929897</v>
      </c>
      <c r="H4710" t="str">
        <f t="shared" si="73"/>
        <v>Q4</v>
      </c>
    </row>
    <row r="4711" spans="1:8">
      <c r="A4711">
        <v>745977</v>
      </c>
      <c r="B4711" t="s">
        <v>3770</v>
      </c>
      <c r="C4711">
        <v>42</v>
      </c>
      <c r="D4711">
        <v>3.3083938017842298</v>
      </c>
      <c r="E4711">
        <v>138.95253967493801</v>
      </c>
      <c r="F4711">
        <v>0.81103043527331597</v>
      </c>
      <c r="G4711">
        <v>0.82284338437229598</v>
      </c>
      <c r="H4711" t="str">
        <f t="shared" si="73"/>
        <v>Q4</v>
      </c>
    </row>
    <row r="4712" spans="1:8">
      <c r="A4712">
        <v>753906</v>
      </c>
      <c r="B4712" t="s">
        <v>927</v>
      </c>
      <c r="C4712">
        <v>73</v>
      </c>
      <c r="D4712">
        <v>1.90341297460541</v>
      </c>
      <c r="E4712">
        <v>138.949147146195</v>
      </c>
      <c r="F4712">
        <v>0.88111809187013301</v>
      </c>
      <c r="G4712">
        <v>0.822805763515293</v>
      </c>
      <c r="H4712" t="str">
        <f t="shared" si="73"/>
        <v>Q4</v>
      </c>
    </row>
    <row r="4713" spans="1:8">
      <c r="A4713">
        <v>715071</v>
      </c>
      <c r="B4713" t="s">
        <v>831</v>
      </c>
      <c r="C4713">
        <v>44</v>
      </c>
      <c r="D4713">
        <v>3.1577811407094698</v>
      </c>
      <c r="E4713">
        <v>138.94237019121601</v>
      </c>
      <c r="F4713">
        <v>0.817689326962868</v>
      </c>
      <c r="G4713">
        <v>0.82276814265829001</v>
      </c>
      <c r="H4713" t="str">
        <f t="shared" si="73"/>
        <v>Q4</v>
      </c>
    </row>
    <row r="4714" spans="1:8">
      <c r="A4714">
        <v>708992</v>
      </c>
      <c r="B4714" t="s">
        <v>2433</v>
      </c>
      <c r="C4714">
        <v>44</v>
      </c>
      <c r="D4714">
        <v>3.1575500351292201</v>
      </c>
      <c r="E4714">
        <v>138.93220154568601</v>
      </c>
      <c r="F4714">
        <v>0.817689326962868</v>
      </c>
      <c r="G4714">
        <v>0.82273052180128703</v>
      </c>
      <c r="H4714" t="str">
        <f t="shared" si="73"/>
        <v>Q4</v>
      </c>
    </row>
    <row r="4715" spans="1:8">
      <c r="A4715">
        <v>798827</v>
      </c>
      <c r="B4715" t="s">
        <v>1689</v>
      </c>
      <c r="C4715">
        <v>60</v>
      </c>
      <c r="D4715">
        <v>2.3150282492861201</v>
      </c>
      <c r="E4715">
        <v>138.901694957167</v>
      </c>
      <c r="F4715">
        <v>0.85805650652721899</v>
      </c>
      <c r="G4715">
        <v>0.82269290094428305</v>
      </c>
      <c r="H4715" t="str">
        <f t="shared" si="73"/>
        <v>Q4</v>
      </c>
    </row>
    <row r="4716" spans="1:8">
      <c r="A4716">
        <v>796033</v>
      </c>
      <c r="B4716" t="s">
        <v>1957</v>
      </c>
      <c r="C4716">
        <v>35</v>
      </c>
      <c r="D4716">
        <v>3.9684261594499901</v>
      </c>
      <c r="E4716">
        <v>138.89491558074999</v>
      </c>
      <c r="F4716">
        <v>0.78420676423008895</v>
      </c>
      <c r="G4716">
        <v>0.82265528008727995</v>
      </c>
      <c r="H4716" t="str">
        <f t="shared" si="73"/>
        <v>Q4</v>
      </c>
    </row>
    <row r="4717" spans="1:8">
      <c r="A4717">
        <v>764073</v>
      </c>
      <c r="B4717" t="s">
        <v>1439</v>
      </c>
      <c r="C4717">
        <v>40</v>
      </c>
      <c r="D4717">
        <v>3.4722033794969298</v>
      </c>
      <c r="E4717">
        <v>138.888135179877</v>
      </c>
      <c r="F4717">
        <v>0.804522027011775</v>
      </c>
      <c r="G4717">
        <v>0.82261765923027697</v>
      </c>
      <c r="H4717" t="str">
        <f t="shared" si="73"/>
        <v>Q4</v>
      </c>
    </row>
    <row r="4718" spans="1:8">
      <c r="A4718">
        <v>770831</v>
      </c>
      <c r="B4718" t="s">
        <v>4127</v>
      </c>
      <c r="C4718">
        <v>19</v>
      </c>
      <c r="D4718">
        <v>7.3098127999784097</v>
      </c>
      <c r="E4718">
        <v>138.88644319958999</v>
      </c>
      <c r="F4718">
        <v>0.68195327489560198</v>
      </c>
      <c r="G4718">
        <v>0.82258003837327398</v>
      </c>
      <c r="H4718" t="str">
        <f t="shared" si="73"/>
        <v>Q3</v>
      </c>
    </row>
    <row r="4719" spans="1:8">
      <c r="A4719">
        <v>683596</v>
      </c>
      <c r="B4719" t="s">
        <v>3998</v>
      </c>
      <c r="C4719">
        <v>42</v>
      </c>
      <c r="D4719">
        <v>3.30641638221485</v>
      </c>
      <c r="E4719">
        <v>138.86948805302401</v>
      </c>
      <c r="F4719">
        <v>0.81103043527331597</v>
      </c>
      <c r="G4719">
        <v>0.822542417516271</v>
      </c>
      <c r="H4719" t="str">
        <f t="shared" si="73"/>
        <v>Q4</v>
      </c>
    </row>
    <row r="4720" spans="1:8">
      <c r="A4720">
        <v>782880</v>
      </c>
      <c r="B4720" t="s">
        <v>3377</v>
      </c>
      <c r="C4720">
        <v>30</v>
      </c>
      <c r="D4720">
        <v>4.6257627879579903</v>
      </c>
      <c r="E4720">
        <v>138.77288363874001</v>
      </c>
      <c r="F4720">
        <v>0.760430382604116</v>
      </c>
      <c r="G4720">
        <v>0.82250479665926801</v>
      </c>
      <c r="H4720" t="str">
        <f t="shared" si="73"/>
        <v>Q4</v>
      </c>
    </row>
    <row r="4721" spans="1:8">
      <c r="A4721">
        <v>647380</v>
      </c>
      <c r="B4721" t="s">
        <v>3875</v>
      </c>
      <c r="C4721">
        <v>65</v>
      </c>
      <c r="D4721">
        <v>2.1347848282983701</v>
      </c>
      <c r="E4721">
        <v>138.761013839394</v>
      </c>
      <c r="F4721">
        <v>0.86802603363304598</v>
      </c>
      <c r="G4721">
        <v>0.82246717580226503</v>
      </c>
      <c r="H4721" t="str">
        <f t="shared" si="73"/>
        <v>Q4</v>
      </c>
    </row>
    <row r="4722" spans="1:8">
      <c r="A4722">
        <v>815072</v>
      </c>
      <c r="B4722" t="s">
        <v>241</v>
      </c>
      <c r="C4722">
        <v>44</v>
      </c>
      <c r="D4722">
        <v>3.15331276082857</v>
      </c>
      <c r="E4722">
        <v>138.74576147645701</v>
      </c>
      <c r="F4722">
        <v>0.817689326962868</v>
      </c>
      <c r="G4722">
        <v>0.82242955494526204</v>
      </c>
      <c r="H4722" t="str">
        <f t="shared" si="73"/>
        <v>Q4</v>
      </c>
    </row>
    <row r="4723" spans="1:8">
      <c r="A4723">
        <v>777033</v>
      </c>
      <c r="B4723" t="s">
        <v>605</v>
      </c>
      <c r="C4723">
        <v>15</v>
      </c>
      <c r="D4723">
        <v>9.2480227723717707</v>
      </c>
      <c r="E4723">
        <v>138.72034158557699</v>
      </c>
      <c r="F4723">
        <v>0.63496482449870195</v>
      </c>
      <c r="G4723">
        <v>0.82239193408825895</v>
      </c>
      <c r="H4723" t="str">
        <f t="shared" si="73"/>
        <v>Q3</v>
      </c>
    </row>
    <row r="4724" spans="1:8">
      <c r="A4724">
        <v>594543</v>
      </c>
      <c r="B4724" t="s">
        <v>4948</v>
      </c>
      <c r="C4724">
        <v>97</v>
      </c>
      <c r="D4724">
        <v>1.4298095022203401</v>
      </c>
      <c r="E4724">
        <v>138.691521715373</v>
      </c>
      <c r="F4724">
        <v>0.909108009480456</v>
      </c>
      <c r="G4724">
        <v>0.82235431323125496</v>
      </c>
      <c r="H4724" t="str">
        <f t="shared" si="73"/>
        <v>Q4</v>
      </c>
    </row>
    <row r="4725" spans="1:8">
      <c r="A4725">
        <v>822192</v>
      </c>
      <c r="B4725" t="s">
        <v>1945</v>
      </c>
      <c r="C4725">
        <v>18</v>
      </c>
      <c r="D4725">
        <v>7.7020716129077798</v>
      </c>
      <c r="E4725">
        <v>138.63728903233999</v>
      </c>
      <c r="F4725">
        <v>0.67044129265264696</v>
      </c>
      <c r="G4725">
        <v>0.82231669237425198</v>
      </c>
      <c r="H4725" t="str">
        <f t="shared" si="73"/>
        <v>Q3</v>
      </c>
    </row>
    <row r="4726" spans="1:8">
      <c r="A4726">
        <v>568020</v>
      </c>
      <c r="B4726" t="s">
        <v>1605</v>
      </c>
      <c r="C4726">
        <v>35</v>
      </c>
      <c r="D4726">
        <v>3.95970943250826</v>
      </c>
      <c r="E4726">
        <v>138.58983013778899</v>
      </c>
      <c r="F4726">
        <v>0.78420676423008895</v>
      </c>
      <c r="G4726">
        <v>0.82227907151724899</v>
      </c>
      <c r="H4726" t="str">
        <f t="shared" si="73"/>
        <v>Q4</v>
      </c>
    </row>
    <row r="4727" spans="1:8">
      <c r="A4727">
        <v>684238</v>
      </c>
      <c r="B4727" t="s">
        <v>4276</v>
      </c>
      <c r="C4727">
        <v>66</v>
      </c>
      <c r="D4727">
        <v>2.0989984697239001</v>
      </c>
      <c r="E4727">
        <v>138.533899001777</v>
      </c>
      <c r="F4727">
        <v>0.86968135134118396</v>
      </c>
      <c r="G4727">
        <v>0.82224145066024601</v>
      </c>
      <c r="H4727" t="str">
        <f t="shared" si="73"/>
        <v>Q4</v>
      </c>
    </row>
    <row r="4728" spans="1:8">
      <c r="A4728">
        <v>732311</v>
      </c>
      <c r="B4728" t="s">
        <v>1885</v>
      </c>
      <c r="C4728">
        <v>92</v>
      </c>
      <c r="D4728">
        <v>1.5056926509082</v>
      </c>
      <c r="E4728">
        <v>138.523723883554</v>
      </c>
      <c r="F4728">
        <v>0.90429253978405599</v>
      </c>
      <c r="G4728">
        <v>0.82220382980324302</v>
      </c>
      <c r="H4728" t="str">
        <f t="shared" si="73"/>
        <v>Q4</v>
      </c>
    </row>
    <row r="4729" spans="1:8">
      <c r="A4729">
        <v>677917</v>
      </c>
      <c r="B4729" t="s">
        <v>4937</v>
      </c>
      <c r="C4729">
        <v>58</v>
      </c>
      <c r="D4729">
        <v>2.3881355974951699</v>
      </c>
      <c r="E4729">
        <v>138.51186465472</v>
      </c>
      <c r="F4729">
        <v>0.853993453970881</v>
      </c>
      <c r="G4729">
        <v>0.82216620894624004</v>
      </c>
      <c r="H4729" t="str">
        <f t="shared" si="73"/>
        <v>Q4</v>
      </c>
    </row>
    <row r="4730" spans="1:8">
      <c r="A4730">
        <v>766643</v>
      </c>
      <c r="B4730" t="s">
        <v>4444</v>
      </c>
      <c r="C4730">
        <v>24</v>
      </c>
      <c r="D4730">
        <v>5.7702683300400803</v>
      </c>
      <c r="E4730">
        <v>138.486439920962</v>
      </c>
      <c r="F4730">
        <v>0.72284714645799597</v>
      </c>
      <c r="G4730">
        <v>0.82212858808923694</v>
      </c>
      <c r="H4730" t="str">
        <f t="shared" si="73"/>
        <v>Q3</v>
      </c>
    </row>
    <row r="4731" spans="1:8">
      <c r="A4731">
        <v>792480</v>
      </c>
      <c r="B4731" t="s">
        <v>204</v>
      </c>
      <c r="C4731">
        <v>31</v>
      </c>
      <c r="D4731">
        <v>4.4671405887892197</v>
      </c>
      <c r="E4731">
        <v>138.48135825246601</v>
      </c>
      <c r="F4731">
        <v>0.766073511154584</v>
      </c>
      <c r="G4731">
        <v>0.82209096723223396</v>
      </c>
      <c r="H4731" t="str">
        <f t="shared" si="73"/>
        <v>Q4</v>
      </c>
    </row>
    <row r="4732" spans="1:8">
      <c r="A4732">
        <v>697119</v>
      </c>
      <c r="B4732" t="s">
        <v>4939</v>
      </c>
      <c r="C4732">
        <v>57</v>
      </c>
      <c r="D4732">
        <v>2.42887303445554</v>
      </c>
      <c r="E4732">
        <v>138.44576296396599</v>
      </c>
      <c r="F4732">
        <v>0.851849065121703</v>
      </c>
      <c r="G4732">
        <v>0.82205334637522998</v>
      </c>
      <c r="H4732" t="str">
        <f t="shared" si="73"/>
        <v>Q4</v>
      </c>
    </row>
    <row r="4733" spans="1:8">
      <c r="A4733">
        <v>794344</v>
      </c>
      <c r="B4733" t="s">
        <v>1481</v>
      </c>
      <c r="C4733">
        <v>47</v>
      </c>
      <c r="D4733">
        <v>2.94493328621413</v>
      </c>
      <c r="E4733">
        <v>138.41186445206401</v>
      </c>
      <c r="F4733">
        <v>0.82641736578759295</v>
      </c>
      <c r="G4733">
        <v>0.82201572551822699</v>
      </c>
      <c r="H4733" t="str">
        <f t="shared" si="73"/>
        <v>Q4</v>
      </c>
    </row>
    <row r="4734" spans="1:8">
      <c r="A4734">
        <v>690975</v>
      </c>
      <c r="B4734" t="s">
        <v>3644</v>
      </c>
      <c r="C4734">
        <v>43</v>
      </c>
      <c r="D4734">
        <v>3.2162001789655799</v>
      </c>
      <c r="E4734">
        <v>138.29660769552001</v>
      </c>
      <c r="F4734">
        <v>0.81437869154659304</v>
      </c>
      <c r="G4734">
        <v>0.82197810466122401</v>
      </c>
      <c r="H4734" t="str">
        <f t="shared" si="73"/>
        <v>Q4</v>
      </c>
    </row>
    <row r="4735" spans="1:8">
      <c r="A4735">
        <v>690935</v>
      </c>
      <c r="B4735" t="s">
        <v>4543</v>
      </c>
      <c r="C4735">
        <v>42</v>
      </c>
      <c r="D4735">
        <v>3.2904761311198998</v>
      </c>
      <c r="E4735">
        <v>138.19999750703599</v>
      </c>
      <c r="F4735">
        <v>0.81103043527331597</v>
      </c>
      <c r="G4735">
        <v>0.82194048380422102</v>
      </c>
      <c r="H4735" t="str">
        <f t="shared" si="73"/>
        <v>Q4</v>
      </c>
    </row>
    <row r="4736" spans="1:8">
      <c r="A4736">
        <v>522725</v>
      </c>
      <c r="B4736" t="s">
        <v>1907</v>
      </c>
      <c r="C4736">
        <v>91</v>
      </c>
      <c r="D4736">
        <v>1.5181038853620299</v>
      </c>
      <c r="E4736">
        <v>138.14745356794401</v>
      </c>
      <c r="F4736">
        <v>0.90350250178699099</v>
      </c>
      <c r="G4736">
        <v>0.82190286294721804</v>
      </c>
      <c r="H4736" t="str">
        <f t="shared" si="73"/>
        <v>Q4</v>
      </c>
    </row>
    <row r="4737" spans="1:8">
      <c r="A4737">
        <v>707931</v>
      </c>
      <c r="B4737" t="s">
        <v>1098</v>
      </c>
      <c r="C4737">
        <v>46</v>
      </c>
      <c r="D4737">
        <v>3.0017316969030601</v>
      </c>
      <c r="E4737">
        <v>138.079658057541</v>
      </c>
      <c r="F4737">
        <v>0.82378390579737404</v>
      </c>
      <c r="G4737">
        <v>0.82186524209021505</v>
      </c>
      <c r="H4737" t="str">
        <f t="shared" si="73"/>
        <v>Q4</v>
      </c>
    </row>
    <row r="4738" spans="1:8">
      <c r="A4738">
        <v>751680</v>
      </c>
      <c r="B4738" t="s">
        <v>4032</v>
      </c>
      <c r="C4738">
        <v>29</v>
      </c>
      <c r="D4738">
        <v>4.75990657277148</v>
      </c>
      <c r="E4738">
        <v>138.03729061037299</v>
      </c>
      <c r="F4738">
        <v>0.75501297919566601</v>
      </c>
      <c r="G4738">
        <v>0.82182762123321196</v>
      </c>
      <c r="H4738" t="str">
        <f t="shared" si="73"/>
        <v>Q4</v>
      </c>
    </row>
    <row r="4739" spans="1:8">
      <c r="A4739">
        <v>504113</v>
      </c>
      <c r="B4739" t="s">
        <v>5268</v>
      </c>
      <c r="C4739">
        <v>105</v>
      </c>
      <c r="D4739">
        <v>1.31459240158576</v>
      </c>
      <c r="E4739">
        <v>138.03220216650499</v>
      </c>
      <c r="F4739">
        <v>0.91618073059704297</v>
      </c>
      <c r="G4739">
        <v>0.82179000037620897</v>
      </c>
      <c r="H4739" t="str">
        <f t="shared" ref="H4739:H4802" si="74">IF(C4739&gt;$J$2,
   IF(D4739&gt;$J$3,"Q1","Q2"),
   IF(D4739&gt;$J$3,"Q3","Q4"))</f>
        <v>Q4</v>
      </c>
    </row>
    <row r="4740" spans="1:8">
      <c r="A4740">
        <v>640131</v>
      </c>
      <c r="B4740" t="s">
        <v>1204</v>
      </c>
      <c r="C4740">
        <v>44</v>
      </c>
      <c r="D4740">
        <v>3.1367488512346</v>
      </c>
      <c r="E4740">
        <v>138.016949454322</v>
      </c>
      <c r="F4740">
        <v>0.817689326962868</v>
      </c>
      <c r="G4740">
        <v>0.82175237951920499</v>
      </c>
      <c r="H4740" t="str">
        <f t="shared" si="74"/>
        <v>Q4</v>
      </c>
    </row>
    <row r="4741" spans="1:8">
      <c r="A4741">
        <v>794075</v>
      </c>
      <c r="B4741" t="s">
        <v>163</v>
      </c>
      <c r="C4741">
        <v>35</v>
      </c>
      <c r="D4741">
        <v>3.9427603036165202</v>
      </c>
      <c r="E4741">
        <v>137.99661062657799</v>
      </c>
      <c r="F4741">
        <v>0.78420676423008895</v>
      </c>
      <c r="G4741">
        <v>0.82171475866220201</v>
      </c>
      <c r="H4741" t="str">
        <f t="shared" si="74"/>
        <v>Q4</v>
      </c>
    </row>
    <row r="4742" spans="1:8">
      <c r="A4742">
        <v>578113</v>
      </c>
      <c r="B4742" t="s">
        <v>4925</v>
      </c>
      <c r="C4742">
        <v>52</v>
      </c>
      <c r="D4742">
        <v>2.6528683025389901</v>
      </c>
      <c r="E4742">
        <v>137.94915173202801</v>
      </c>
      <c r="F4742">
        <v>0.84003611602272299</v>
      </c>
      <c r="G4742">
        <v>0.82167713780519902</v>
      </c>
      <c r="H4742" t="str">
        <f t="shared" si="74"/>
        <v>Q4</v>
      </c>
    </row>
    <row r="4743" spans="1:8">
      <c r="A4743">
        <v>758203</v>
      </c>
      <c r="B4743" t="s">
        <v>1412</v>
      </c>
      <c r="C4743">
        <v>21</v>
      </c>
      <c r="D4743">
        <v>6.5627925807521503</v>
      </c>
      <c r="E4743">
        <v>137.818644195795</v>
      </c>
      <c r="F4743">
        <v>0.70008652797110704</v>
      </c>
      <c r="G4743">
        <v>0.82163951694819604</v>
      </c>
      <c r="H4743" t="str">
        <f t="shared" si="74"/>
        <v>Q3</v>
      </c>
    </row>
    <row r="4744" spans="1:8">
      <c r="A4744">
        <v>791733</v>
      </c>
      <c r="B4744" t="s">
        <v>1695</v>
      </c>
      <c r="C4744">
        <v>24</v>
      </c>
      <c r="D4744">
        <v>5.7418786920607099</v>
      </c>
      <c r="E4744">
        <v>137.80508860945699</v>
      </c>
      <c r="F4744">
        <v>0.72284714645799597</v>
      </c>
      <c r="G4744">
        <v>0.82160189609119305</v>
      </c>
      <c r="H4744" t="str">
        <f t="shared" si="74"/>
        <v>Q3</v>
      </c>
    </row>
    <row r="4745" spans="1:8">
      <c r="A4745">
        <v>753778</v>
      </c>
      <c r="B4745" t="s">
        <v>431</v>
      </c>
      <c r="C4745">
        <v>36</v>
      </c>
      <c r="D4745">
        <v>3.8271657656878202</v>
      </c>
      <c r="E4745">
        <v>137.77796756476201</v>
      </c>
      <c r="F4745">
        <v>0.78890937135547901</v>
      </c>
      <c r="G4745">
        <v>0.82156427523418996</v>
      </c>
      <c r="H4745" t="str">
        <f t="shared" si="74"/>
        <v>Q4</v>
      </c>
    </row>
    <row r="4746" spans="1:8">
      <c r="A4746">
        <v>723118</v>
      </c>
      <c r="B4746" t="s">
        <v>932</v>
      </c>
      <c r="C4746">
        <v>14</v>
      </c>
      <c r="D4746">
        <v>9.8409203546387793</v>
      </c>
      <c r="E4746">
        <v>137.77288496494299</v>
      </c>
      <c r="F4746">
        <v>0.62070651969451895</v>
      </c>
      <c r="G4746">
        <v>0.82152665437718697</v>
      </c>
      <c r="H4746" t="str">
        <f t="shared" si="74"/>
        <v>Q3</v>
      </c>
    </row>
    <row r="4747" spans="1:8">
      <c r="A4747">
        <v>759482</v>
      </c>
      <c r="B4747" t="s">
        <v>1653</v>
      </c>
      <c r="C4747">
        <v>88</v>
      </c>
      <c r="D4747">
        <v>1.56511935162019</v>
      </c>
      <c r="E4747">
        <v>137.730502942577</v>
      </c>
      <c r="F4747">
        <v>0.90045521236973802</v>
      </c>
      <c r="G4747">
        <v>0.82148903352018399</v>
      </c>
      <c r="H4747" t="str">
        <f t="shared" si="74"/>
        <v>Q4</v>
      </c>
    </row>
    <row r="4748" spans="1:8">
      <c r="A4748">
        <v>793099</v>
      </c>
      <c r="B4748" t="s">
        <v>4134</v>
      </c>
      <c r="C4748">
        <v>41</v>
      </c>
      <c r="D4748">
        <v>3.3587432443732199</v>
      </c>
      <c r="E4748">
        <v>137.70847301930201</v>
      </c>
      <c r="F4748">
        <v>0.80787028328505295</v>
      </c>
      <c r="G4748">
        <v>0.82145141266318</v>
      </c>
      <c r="H4748" t="str">
        <f t="shared" si="74"/>
        <v>Q4</v>
      </c>
    </row>
    <row r="4749" spans="1:8">
      <c r="A4749">
        <v>784783</v>
      </c>
      <c r="B4749" t="s">
        <v>4186</v>
      </c>
      <c r="C4749">
        <v>29</v>
      </c>
      <c r="D4749">
        <v>4.7484512537203996</v>
      </c>
      <c r="E4749">
        <v>137.70508635789199</v>
      </c>
      <c r="F4749">
        <v>0.75501297919566601</v>
      </c>
      <c r="G4749">
        <v>0.82141379180617702</v>
      </c>
      <c r="H4749" t="str">
        <f t="shared" si="74"/>
        <v>Q4</v>
      </c>
    </row>
    <row r="4750" spans="1:8">
      <c r="A4750">
        <v>453765</v>
      </c>
      <c r="B4750" t="s">
        <v>841</v>
      </c>
      <c r="C4750">
        <v>30</v>
      </c>
      <c r="D4750">
        <v>4.5894915858904497</v>
      </c>
      <c r="E4750">
        <v>137.68474757671399</v>
      </c>
      <c r="F4750">
        <v>0.760430382604116</v>
      </c>
      <c r="G4750">
        <v>0.82137617094917403</v>
      </c>
      <c r="H4750" t="str">
        <f t="shared" si="74"/>
        <v>Q4</v>
      </c>
    </row>
    <row r="4751" spans="1:8">
      <c r="A4751">
        <v>700767</v>
      </c>
      <c r="B4751" t="s">
        <v>5175</v>
      </c>
      <c r="C4751">
        <v>44</v>
      </c>
      <c r="D4751">
        <v>3.1281587075103401</v>
      </c>
      <c r="E4751">
        <v>137.63898313045499</v>
      </c>
      <c r="F4751">
        <v>0.817689326962868</v>
      </c>
      <c r="G4751">
        <v>0.82133855009217105</v>
      </c>
      <c r="H4751" t="str">
        <f t="shared" si="74"/>
        <v>Q4</v>
      </c>
    </row>
    <row r="4752" spans="1:8">
      <c r="A4752">
        <v>653275</v>
      </c>
      <c r="B4752" t="s">
        <v>1139</v>
      </c>
      <c r="C4752">
        <v>84</v>
      </c>
      <c r="D4752">
        <v>1.6378933907530799</v>
      </c>
      <c r="E4752">
        <v>137.583044823259</v>
      </c>
      <c r="F4752">
        <v>0.89639215981340103</v>
      </c>
      <c r="G4752">
        <v>0.82130092923516795</v>
      </c>
      <c r="H4752" t="str">
        <f t="shared" si="74"/>
        <v>Q4</v>
      </c>
    </row>
    <row r="4753" spans="1:8">
      <c r="A4753">
        <v>692002</v>
      </c>
      <c r="B4753" t="s">
        <v>3700</v>
      </c>
      <c r="C4753">
        <v>45</v>
      </c>
      <c r="D4753">
        <v>3.05638415945901</v>
      </c>
      <c r="E4753">
        <v>137.537287175655</v>
      </c>
      <c r="F4753">
        <v>0.82069899552311798</v>
      </c>
      <c r="G4753">
        <v>0.82126330837816497</v>
      </c>
      <c r="H4753" t="str">
        <f t="shared" si="74"/>
        <v>Q4</v>
      </c>
    </row>
    <row r="4754" spans="1:8">
      <c r="A4754">
        <v>730361</v>
      </c>
      <c r="B4754" t="s">
        <v>3496</v>
      </c>
      <c r="C4754">
        <v>24</v>
      </c>
      <c r="D4754">
        <v>5.7300849119201303</v>
      </c>
      <c r="E4754">
        <v>137.52203788608301</v>
      </c>
      <c r="F4754">
        <v>0.72284714645799597</v>
      </c>
      <c r="G4754">
        <v>0.82122568752116198</v>
      </c>
      <c r="H4754" t="str">
        <f t="shared" si="74"/>
        <v>Q3</v>
      </c>
    </row>
    <row r="4755" spans="1:8">
      <c r="A4755">
        <v>754423</v>
      </c>
      <c r="B4755" t="s">
        <v>4198</v>
      </c>
      <c r="C4755">
        <v>34</v>
      </c>
      <c r="D4755">
        <v>4.0446161456844401</v>
      </c>
      <c r="E4755">
        <v>137.516948953271</v>
      </c>
      <c r="F4755">
        <v>0.77969226138971404</v>
      </c>
      <c r="G4755">
        <v>0.821188066664159</v>
      </c>
      <c r="H4755" t="str">
        <f t="shared" si="74"/>
        <v>Q4</v>
      </c>
    </row>
    <row r="4756" spans="1:8">
      <c r="A4756">
        <v>744112</v>
      </c>
      <c r="B4756" t="s">
        <v>3752</v>
      </c>
      <c r="C4756">
        <v>43</v>
      </c>
      <c r="D4756">
        <v>3.1972407818187101</v>
      </c>
      <c r="E4756">
        <v>137.48135361820499</v>
      </c>
      <c r="F4756">
        <v>0.81437869154659304</v>
      </c>
      <c r="G4756">
        <v>0.82115044580715502</v>
      </c>
      <c r="H4756" t="str">
        <f t="shared" si="74"/>
        <v>Q4</v>
      </c>
    </row>
    <row r="4757" spans="1:8">
      <c r="A4757">
        <v>713850</v>
      </c>
      <c r="B4757" t="s">
        <v>1017</v>
      </c>
      <c r="C4757">
        <v>24</v>
      </c>
      <c r="D4757">
        <v>5.7250001700595003</v>
      </c>
      <c r="E4757">
        <v>137.40000408142799</v>
      </c>
      <c r="F4757">
        <v>0.72284714645799597</v>
      </c>
      <c r="G4757">
        <v>0.82111282495015203</v>
      </c>
      <c r="H4757" t="str">
        <f t="shared" si="74"/>
        <v>Q3</v>
      </c>
    </row>
    <row r="4758" spans="1:8">
      <c r="A4758">
        <v>751864</v>
      </c>
      <c r="B4758" t="s">
        <v>4566</v>
      </c>
      <c r="C4758">
        <v>42</v>
      </c>
      <c r="D4758">
        <v>3.2706214857864202</v>
      </c>
      <c r="E4758">
        <v>137.36610240303</v>
      </c>
      <c r="F4758">
        <v>0.81103043527331597</v>
      </c>
      <c r="G4758">
        <v>0.82107520409314905</v>
      </c>
      <c r="H4758" t="str">
        <f t="shared" si="74"/>
        <v>Q4</v>
      </c>
    </row>
    <row r="4759" spans="1:8">
      <c r="A4759">
        <v>796908</v>
      </c>
      <c r="B4759" t="s">
        <v>468</v>
      </c>
      <c r="C4759">
        <v>41</v>
      </c>
      <c r="D4759">
        <v>3.3500619777819001</v>
      </c>
      <c r="E4759">
        <v>137.35254108905801</v>
      </c>
      <c r="F4759">
        <v>0.80787028328505295</v>
      </c>
      <c r="G4759">
        <v>0.82103758323614595</v>
      </c>
      <c r="H4759" t="str">
        <f t="shared" si="74"/>
        <v>Q4</v>
      </c>
    </row>
    <row r="4760" spans="1:8">
      <c r="A4760">
        <v>640769</v>
      </c>
      <c r="B4760" t="s">
        <v>867</v>
      </c>
      <c r="C4760">
        <v>24</v>
      </c>
      <c r="D4760">
        <v>5.72288132583102</v>
      </c>
      <c r="E4760">
        <v>137.34915181994401</v>
      </c>
      <c r="F4760">
        <v>0.72284714645799597</v>
      </c>
      <c r="G4760">
        <v>0.82099996237914297</v>
      </c>
      <c r="H4760" t="str">
        <f t="shared" si="74"/>
        <v>Q3</v>
      </c>
    </row>
    <row r="4761" spans="1:8">
      <c r="A4761">
        <v>746196</v>
      </c>
      <c r="B4761" t="s">
        <v>3062</v>
      </c>
      <c r="C4761">
        <v>46</v>
      </c>
      <c r="D4761">
        <v>2.9848193992739098</v>
      </c>
      <c r="E4761">
        <v>137.30169236660001</v>
      </c>
      <c r="F4761">
        <v>0.82378390579737404</v>
      </c>
      <c r="G4761">
        <v>0.82096234152213998</v>
      </c>
      <c r="H4761" t="str">
        <f t="shared" si="74"/>
        <v>Q4</v>
      </c>
    </row>
    <row r="4762" spans="1:8">
      <c r="A4762">
        <v>699253</v>
      </c>
      <c r="B4762" t="s">
        <v>3943</v>
      </c>
      <c r="C4762">
        <v>75</v>
      </c>
      <c r="D4762">
        <v>1.8306666699548599</v>
      </c>
      <c r="E4762">
        <v>137.30000024661399</v>
      </c>
      <c r="F4762">
        <v>0.88420300214438896</v>
      </c>
      <c r="G4762">
        <v>0.820924720665137</v>
      </c>
      <c r="H4762" t="str">
        <f t="shared" si="74"/>
        <v>Q4</v>
      </c>
    </row>
    <row r="4763" spans="1:8">
      <c r="A4763">
        <v>787178</v>
      </c>
      <c r="B4763" t="s">
        <v>3890</v>
      </c>
      <c r="C4763">
        <v>12</v>
      </c>
      <c r="D4763">
        <v>11.4408190672596</v>
      </c>
      <c r="E4763">
        <v>137.28982880711601</v>
      </c>
      <c r="F4763">
        <v>0.58748730296076102</v>
      </c>
      <c r="G4763">
        <v>0.82088709980813401</v>
      </c>
      <c r="H4763" t="str">
        <f t="shared" si="74"/>
        <v>Q3</v>
      </c>
    </row>
    <row r="4764" spans="1:8">
      <c r="A4764">
        <v>749233</v>
      </c>
      <c r="B4764" t="s">
        <v>4718</v>
      </c>
      <c r="C4764">
        <v>44</v>
      </c>
      <c r="D4764">
        <v>3.12018485697494</v>
      </c>
      <c r="E4764">
        <v>137.28813370689701</v>
      </c>
      <c r="F4764">
        <v>0.817689326962868</v>
      </c>
      <c r="G4764">
        <v>0.82084947895113003</v>
      </c>
      <c r="H4764" t="str">
        <f t="shared" si="74"/>
        <v>Q4</v>
      </c>
    </row>
    <row r="4765" spans="1:8">
      <c r="A4765">
        <v>839673</v>
      </c>
      <c r="B4765" t="s">
        <v>3692</v>
      </c>
      <c r="C4765">
        <v>37</v>
      </c>
      <c r="D4765">
        <v>3.7100778817123699</v>
      </c>
      <c r="E4765">
        <v>137.27288162335799</v>
      </c>
      <c r="F4765">
        <v>0.79304766562582296</v>
      </c>
      <c r="G4765">
        <v>0.82081185809412704</v>
      </c>
      <c r="H4765" t="str">
        <f t="shared" si="74"/>
        <v>Q4</v>
      </c>
    </row>
    <row r="4766" spans="1:8">
      <c r="A4766">
        <v>762433</v>
      </c>
      <c r="B4766" t="s">
        <v>4120</v>
      </c>
      <c r="C4766">
        <v>14</v>
      </c>
      <c r="D4766">
        <v>9.8046006900923608</v>
      </c>
      <c r="E4766">
        <v>137.264409661293</v>
      </c>
      <c r="F4766">
        <v>0.62070651969451895</v>
      </c>
      <c r="G4766">
        <v>0.82077423723712395</v>
      </c>
      <c r="H4766" t="str">
        <f t="shared" si="74"/>
        <v>Q3</v>
      </c>
    </row>
    <row r="4767" spans="1:8">
      <c r="A4767">
        <v>638897</v>
      </c>
      <c r="B4767" t="s">
        <v>4393</v>
      </c>
      <c r="C4767">
        <v>45</v>
      </c>
      <c r="D4767">
        <v>3.0480978679325799</v>
      </c>
      <c r="E4767">
        <v>137.16440405696599</v>
      </c>
      <c r="F4767">
        <v>0.82069899552311798</v>
      </c>
      <c r="G4767">
        <v>0.82073661638012096</v>
      </c>
      <c r="H4767" t="str">
        <f t="shared" si="74"/>
        <v>Q4</v>
      </c>
    </row>
    <row r="4768" spans="1:8">
      <c r="A4768">
        <v>702308</v>
      </c>
      <c r="B4768" t="s">
        <v>3589</v>
      </c>
      <c r="C4768">
        <v>42</v>
      </c>
      <c r="D4768">
        <v>3.2651734715771101</v>
      </c>
      <c r="E4768">
        <v>137.13728580623899</v>
      </c>
      <c r="F4768">
        <v>0.81103043527331597</v>
      </c>
      <c r="G4768">
        <v>0.82069899552311798</v>
      </c>
      <c r="H4768" t="str">
        <f t="shared" si="74"/>
        <v>Q4</v>
      </c>
    </row>
    <row r="4769" spans="1:8">
      <c r="A4769">
        <v>754492</v>
      </c>
      <c r="B4769" t="s">
        <v>5043</v>
      </c>
      <c r="C4769">
        <v>92</v>
      </c>
      <c r="D4769">
        <v>1.49021739033861</v>
      </c>
      <c r="E4769">
        <v>137.099999911152</v>
      </c>
      <c r="F4769">
        <v>0.90429253978405599</v>
      </c>
      <c r="G4769">
        <v>0.820661374666115</v>
      </c>
      <c r="H4769" t="str">
        <f t="shared" si="74"/>
        <v>Q4</v>
      </c>
    </row>
    <row r="4770" spans="1:8">
      <c r="A4770">
        <v>802422</v>
      </c>
      <c r="B4770" t="s">
        <v>1222</v>
      </c>
      <c r="C4770">
        <v>14</v>
      </c>
      <c r="D4770">
        <v>9.7907991813761797</v>
      </c>
      <c r="E4770">
        <v>137.07118853926701</v>
      </c>
      <c r="F4770">
        <v>0.62070651969451895</v>
      </c>
      <c r="G4770">
        <v>0.82062375380911201</v>
      </c>
      <c r="H4770" t="str">
        <f t="shared" si="74"/>
        <v>Q3</v>
      </c>
    </row>
    <row r="4771" spans="1:8">
      <c r="A4771">
        <v>791927</v>
      </c>
      <c r="B4771" t="s">
        <v>2968</v>
      </c>
      <c r="C4771">
        <v>29</v>
      </c>
      <c r="D4771">
        <v>4.7264173883816296</v>
      </c>
      <c r="E4771">
        <v>137.06610426306699</v>
      </c>
      <c r="F4771">
        <v>0.75501297919566601</v>
      </c>
      <c r="G4771">
        <v>0.82058613295210903</v>
      </c>
      <c r="H4771" t="str">
        <f t="shared" si="74"/>
        <v>Q4</v>
      </c>
    </row>
    <row r="4772" spans="1:8">
      <c r="A4772">
        <v>567729</v>
      </c>
      <c r="B4772" t="s">
        <v>2846</v>
      </c>
      <c r="C4772">
        <v>105</v>
      </c>
      <c r="D4772">
        <v>1.30495559202418</v>
      </c>
      <c r="E4772">
        <v>137.02033716253899</v>
      </c>
      <c r="F4772">
        <v>0.91618073059704297</v>
      </c>
      <c r="G4772">
        <v>0.82054851209510504</v>
      </c>
      <c r="H4772" t="str">
        <f t="shared" si="74"/>
        <v>Q4</v>
      </c>
    </row>
    <row r="4773" spans="1:8">
      <c r="A4773">
        <v>716088</v>
      </c>
      <c r="B4773" t="s">
        <v>3439</v>
      </c>
      <c r="C4773">
        <v>46</v>
      </c>
      <c r="D4773">
        <v>2.97840820301486</v>
      </c>
      <c r="E4773">
        <v>137.006777338684</v>
      </c>
      <c r="F4773">
        <v>0.82378390579737404</v>
      </c>
      <c r="G4773">
        <v>0.82051089123810195</v>
      </c>
      <c r="H4773" t="str">
        <f t="shared" si="74"/>
        <v>Q4</v>
      </c>
    </row>
    <row r="4774" spans="1:8">
      <c r="A4774">
        <v>648968</v>
      </c>
      <c r="B4774" t="s">
        <v>2841</v>
      </c>
      <c r="C4774">
        <v>43</v>
      </c>
      <c r="D4774">
        <v>3.1817500382055401</v>
      </c>
      <c r="E4774">
        <v>136.81525164283801</v>
      </c>
      <c r="F4774">
        <v>0.81437869154659304</v>
      </c>
      <c r="G4774">
        <v>0.82047327038109896</v>
      </c>
      <c r="H4774" t="str">
        <f t="shared" si="74"/>
        <v>Q4</v>
      </c>
    </row>
    <row r="4775" spans="1:8">
      <c r="A4775">
        <v>688463</v>
      </c>
      <c r="B4775" t="s">
        <v>4697</v>
      </c>
      <c r="C4775">
        <v>92</v>
      </c>
      <c r="D4775">
        <v>1.48647748359034</v>
      </c>
      <c r="E4775">
        <v>136.75592849031099</v>
      </c>
      <c r="F4775">
        <v>0.90429253978405599</v>
      </c>
      <c r="G4775">
        <v>0.82043564952409598</v>
      </c>
      <c r="H4775" t="str">
        <f t="shared" si="74"/>
        <v>Q4</v>
      </c>
    </row>
    <row r="4776" spans="1:8">
      <c r="A4776">
        <v>698324</v>
      </c>
      <c r="B4776" t="s">
        <v>4834</v>
      </c>
      <c r="C4776">
        <v>133</v>
      </c>
      <c r="D4776">
        <v>1.0282273376290501</v>
      </c>
      <c r="E4776">
        <v>136.754235904664</v>
      </c>
      <c r="F4776">
        <v>0.93476543395658596</v>
      </c>
      <c r="G4776">
        <v>0.82039802866709299</v>
      </c>
      <c r="H4776" t="str">
        <f t="shared" si="74"/>
        <v>Q4</v>
      </c>
    </row>
    <row r="4777" spans="1:8">
      <c r="A4777">
        <v>570033</v>
      </c>
      <c r="B4777" t="s">
        <v>1626</v>
      </c>
      <c r="C4777">
        <v>159</v>
      </c>
      <c r="D4777">
        <v>0.85970577198145104</v>
      </c>
      <c r="E4777">
        <v>136.69321774505099</v>
      </c>
      <c r="F4777">
        <v>0.94597644934351599</v>
      </c>
      <c r="G4777">
        <v>0.82036040781009001</v>
      </c>
      <c r="H4777" t="str">
        <f t="shared" si="74"/>
        <v>Q4</v>
      </c>
    </row>
    <row r="4778" spans="1:8">
      <c r="A4778">
        <v>629042</v>
      </c>
      <c r="B4778" t="s">
        <v>714</v>
      </c>
      <c r="C4778">
        <v>19</v>
      </c>
      <c r="D4778">
        <v>7.1905439621523799</v>
      </c>
      <c r="E4778">
        <v>136.62033528089501</v>
      </c>
      <c r="F4778">
        <v>0.68195327489560198</v>
      </c>
      <c r="G4778">
        <v>0.82032278695308702</v>
      </c>
      <c r="H4778" t="str">
        <f t="shared" si="74"/>
        <v>Q3</v>
      </c>
    </row>
    <row r="4779" spans="1:8">
      <c r="A4779">
        <v>750869</v>
      </c>
      <c r="B4779" t="s">
        <v>943</v>
      </c>
      <c r="C4779">
        <v>46</v>
      </c>
      <c r="D4779">
        <v>2.9697862352527999</v>
      </c>
      <c r="E4779">
        <v>136.61016682162901</v>
      </c>
      <c r="F4779">
        <v>0.82378390579737404</v>
      </c>
      <c r="G4779">
        <v>0.82028516609608404</v>
      </c>
      <c r="H4779" t="str">
        <f t="shared" si="74"/>
        <v>Q4</v>
      </c>
    </row>
    <row r="4780" spans="1:8">
      <c r="A4780">
        <v>725354</v>
      </c>
      <c r="B4780" t="s">
        <v>3267</v>
      </c>
      <c r="C4780">
        <v>21</v>
      </c>
      <c r="D4780">
        <v>6.50484247931412</v>
      </c>
      <c r="E4780">
        <v>136.60169206559701</v>
      </c>
      <c r="F4780">
        <v>0.70008652797110704</v>
      </c>
      <c r="G4780">
        <v>0.82024754523907994</v>
      </c>
      <c r="H4780" t="str">
        <f t="shared" si="74"/>
        <v>Q3</v>
      </c>
    </row>
    <row r="4781" spans="1:8">
      <c r="A4781">
        <v>790650</v>
      </c>
      <c r="B4781" t="s">
        <v>2204</v>
      </c>
      <c r="C4781">
        <v>29</v>
      </c>
      <c r="D4781">
        <v>4.7092928904397704</v>
      </c>
      <c r="E4781">
        <v>136.569493822753</v>
      </c>
      <c r="F4781">
        <v>0.75501297919566601</v>
      </c>
      <c r="G4781">
        <v>0.82020992438207696</v>
      </c>
      <c r="H4781" t="str">
        <f t="shared" si="74"/>
        <v>Q4</v>
      </c>
    </row>
    <row r="4782" spans="1:8">
      <c r="A4782">
        <v>733560</v>
      </c>
      <c r="B4782" t="s">
        <v>4292</v>
      </c>
      <c r="C4782">
        <v>10</v>
      </c>
      <c r="D4782">
        <v>13.6538984254003</v>
      </c>
      <c r="E4782">
        <v>136.538984254003</v>
      </c>
      <c r="F4782">
        <v>0.54821112824950202</v>
      </c>
      <c r="G4782">
        <v>0.82017230352507398</v>
      </c>
      <c r="H4782" t="str">
        <f t="shared" si="74"/>
        <v>Q3</v>
      </c>
    </row>
    <row r="4783" spans="1:8">
      <c r="A4783">
        <v>727612</v>
      </c>
      <c r="B4783" t="s">
        <v>784</v>
      </c>
      <c r="C4783">
        <v>51</v>
      </c>
      <c r="D4783">
        <v>2.6765369956253799</v>
      </c>
      <c r="E4783">
        <v>136.50338677689399</v>
      </c>
      <c r="F4783">
        <v>0.83762838117452298</v>
      </c>
      <c r="G4783">
        <v>0.82013468266807099</v>
      </c>
      <c r="H4783" t="str">
        <f t="shared" si="74"/>
        <v>Q4</v>
      </c>
    </row>
    <row r="4784" spans="1:8">
      <c r="A4784">
        <v>699580</v>
      </c>
      <c r="B4784" t="s">
        <v>4863</v>
      </c>
      <c r="C4784">
        <v>46</v>
      </c>
      <c r="D4784">
        <v>2.9663227113854602</v>
      </c>
      <c r="E4784">
        <v>136.450844723731</v>
      </c>
      <c r="F4784">
        <v>0.82378390579737404</v>
      </c>
      <c r="G4784">
        <v>0.82009706181106801</v>
      </c>
      <c r="H4784" t="str">
        <f t="shared" si="74"/>
        <v>Q4</v>
      </c>
    </row>
    <row r="4785" spans="1:8">
      <c r="A4785">
        <v>282832</v>
      </c>
      <c r="B4785" t="s">
        <v>2535</v>
      </c>
      <c r="C4785">
        <v>16</v>
      </c>
      <c r="D4785">
        <v>8.5126061458140594</v>
      </c>
      <c r="E4785">
        <v>136.20169833302501</v>
      </c>
      <c r="F4785">
        <v>0.64756781159474797</v>
      </c>
      <c r="G4785">
        <v>0.82005944095406502</v>
      </c>
      <c r="H4785" t="str">
        <f t="shared" si="74"/>
        <v>Q3</v>
      </c>
    </row>
    <row r="4786" spans="1:8">
      <c r="A4786">
        <v>793045</v>
      </c>
      <c r="B4786" t="s">
        <v>3376</v>
      </c>
      <c r="C4786">
        <v>29</v>
      </c>
      <c r="D4786">
        <v>4.6960842185493199</v>
      </c>
      <c r="E4786">
        <v>136.18644233793</v>
      </c>
      <c r="F4786">
        <v>0.75501297919566601</v>
      </c>
      <c r="G4786">
        <v>0.82002182009706204</v>
      </c>
      <c r="H4786" t="str">
        <f t="shared" si="74"/>
        <v>Q4</v>
      </c>
    </row>
    <row r="4787" spans="1:8">
      <c r="A4787">
        <v>740412</v>
      </c>
      <c r="B4787" t="s">
        <v>1201</v>
      </c>
      <c r="C4787">
        <v>24</v>
      </c>
      <c r="D4787">
        <v>5.6740113999694604</v>
      </c>
      <c r="E4787">
        <v>136.17627359926701</v>
      </c>
      <c r="F4787">
        <v>0.72284714645799597</v>
      </c>
      <c r="G4787">
        <v>0.81998419924005905</v>
      </c>
      <c r="H4787" t="str">
        <f t="shared" si="74"/>
        <v>Q3</v>
      </c>
    </row>
    <row r="4788" spans="1:8">
      <c r="A4788">
        <v>816494</v>
      </c>
      <c r="B4788" t="s">
        <v>3893</v>
      </c>
      <c r="C4788">
        <v>13</v>
      </c>
      <c r="D4788">
        <v>10.4720990245159</v>
      </c>
      <c r="E4788">
        <v>136.137287318707</v>
      </c>
      <c r="F4788">
        <v>0.60539483089424795</v>
      </c>
      <c r="G4788">
        <v>0.81994657838305596</v>
      </c>
      <c r="H4788" t="str">
        <f t="shared" si="74"/>
        <v>Q3</v>
      </c>
    </row>
    <row r="4789" spans="1:8">
      <c r="A4789">
        <v>741215</v>
      </c>
      <c r="B4789" t="s">
        <v>2294</v>
      </c>
      <c r="C4789">
        <v>163</v>
      </c>
      <c r="D4789">
        <v>0.83487574382473695</v>
      </c>
      <c r="E4789">
        <v>136.08474624343199</v>
      </c>
      <c r="F4789">
        <v>0.94751890448064402</v>
      </c>
      <c r="G4789">
        <v>0.81990895752605197</v>
      </c>
      <c r="H4789" t="str">
        <f t="shared" si="74"/>
        <v>Q4</v>
      </c>
    </row>
    <row r="4790" spans="1:8">
      <c r="A4790">
        <v>701350</v>
      </c>
      <c r="B4790" t="s">
        <v>2685</v>
      </c>
      <c r="C4790">
        <v>14</v>
      </c>
      <c r="D4790">
        <v>9.7193707046764199</v>
      </c>
      <c r="E4790">
        <v>136.07118986546999</v>
      </c>
      <c r="F4790">
        <v>0.62070651969451895</v>
      </c>
      <c r="G4790">
        <v>0.81987133666904899</v>
      </c>
      <c r="H4790" t="str">
        <f t="shared" si="74"/>
        <v>Q3</v>
      </c>
    </row>
    <row r="4791" spans="1:8">
      <c r="A4791">
        <v>671217</v>
      </c>
      <c r="B4791" t="s">
        <v>4607</v>
      </c>
      <c r="C4791">
        <v>76</v>
      </c>
      <c r="D4791">
        <v>1.7900535138323901</v>
      </c>
      <c r="E4791">
        <v>136.044067051262</v>
      </c>
      <c r="F4791">
        <v>0.88612166585154795</v>
      </c>
      <c r="G4791">
        <v>0.819833715812046</v>
      </c>
      <c r="H4791" t="str">
        <f t="shared" si="74"/>
        <v>Q4</v>
      </c>
    </row>
    <row r="4792" spans="1:8">
      <c r="A4792">
        <v>861569</v>
      </c>
      <c r="B4792" t="s">
        <v>3951</v>
      </c>
      <c r="C4792">
        <v>17</v>
      </c>
      <c r="D4792">
        <v>7.9996013027780197</v>
      </c>
      <c r="E4792">
        <v>135.99322214722599</v>
      </c>
      <c r="F4792">
        <v>0.65926789812271902</v>
      </c>
      <c r="G4792">
        <v>0.81979609495504302</v>
      </c>
      <c r="H4792" t="str">
        <f t="shared" si="74"/>
        <v>Q3</v>
      </c>
    </row>
    <row r="4793" spans="1:8">
      <c r="A4793">
        <v>755814</v>
      </c>
      <c r="B4793" t="s">
        <v>1314</v>
      </c>
      <c r="C4793">
        <v>19</v>
      </c>
      <c r="D4793">
        <v>7.1552185635817702</v>
      </c>
      <c r="E4793">
        <v>135.94915270805399</v>
      </c>
      <c r="F4793">
        <v>0.68195327489560198</v>
      </c>
      <c r="G4793">
        <v>0.81975847409804004</v>
      </c>
      <c r="H4793" t="str">
        <f t="shared" si="74"/>
        <v>Q3</v>
      </c>
    </row>
    <row r="4794" spans="1:8">
      <c r="A4794">
        <v>614857</v>
      </c>
      <c r="B4794" t="s">
        <v>617</v>
      </c>
      <c r="C4794">
        <v>94</v>
      </c>
      <c r="D4794">
        <v>1.44597903102082</v>
      </c>
      <c r="E4794">
        <v>135.92202891595699</v>
      </c>
      <c r="F4794">
        <v>0.906700274632256</v>
      </c>
      <c r="G4794">
        <v>0.81972085324103705</v>
      </c>
      <c r="H4794" t="str">
        <f t="shared" si="74"/>
        <v>Q4</v>
      </c>
    </row>
    <row r="4795" spans="1:8">
      <c r="A4795">
        <v>742767</v>
      </c>
      <c r="B4795" t="s">
        <v>3691</v>
      </c>
      <c r="C4795">
        <v>35</v>
      </c>
      <c r="D4795">
        <v>3.8832445549113399</v>
      </c>
      <c r="E4795">
        <v>135.91355942189699</v>
      </c>
      <c r="F4795">
        <v>0.78420676423008895</v>
      </c>
      <c r="G4795">
        <v>0.81968323238403396</v>
      </c>
      <c r="H4795" t="str">
        <f t="shared" si="74"/>
        <v>Q4</v>
      </c>
    </row>
    <row r="4796" spans="1:8">
      <c r="A4796">
        <v>615697</v>
      </c>
      <c r="B4796" t="s">
        <v>4288</v>
      </c>
      <c r="C4796">
        <v>23</v>
      </c>
      <c r="D4796">
        <v>5.9026528797719804</v>
      </c>
      <c r="E4796">
        <v>135.761016234756</v>
      </c>
      <c r="F4796">
        <v>0.71547345848538402</v>
      </c>
      <c r="G4796">
        <v>0.81964561152703097</v>
      </c>
      <c r="H4796" t="str">
        <f t="shared" si="74"/>
        <v>Q3</v>
      </c>
    </row>
    <row r="4797" spans="1:8">
      <c r="A4797">
        <v>825196</v>
      </c>
      <c r="B4797" t="s">
        <v>2636</v>
      </c>
      <c r="C4797">
        <v>17</v>
      </c>
      <c r="D4797">
        <v>7.9832503024269599</v>
      </c>
      <c r="E4797">
        <v>135.71525514125801</v>
      </c>
      <c r="F4797">
        <v>0.65926789812271902</v>
      </c>
      <c r="G4797">
        <v>0.81960799067002699</v>
      </c>
      <c r="H4797" t="str">
        <f t="shared" si="74"/>
        <v>Q3</v>
      </c>
    </row>
    <row r="4798" spans="1:8">
      <c r="A4798">
        <v>801240</v>
      </c>
      <c r="B4798" t="s">
        <v>640</v>
      </c>
      <c r="C4798">
        <v>26</v>
      </c>
      <c r="D4798">
        <v>5.2191003297384002</v>
      </c>
      <c r="E4798">
        <v>135.69660857319801</v>
      </c>
      <c r="F4798">
        <v>0.73706783040517698</v>
      </c>
      <c r="G4798">
        <v>0.819570369813024</v>
      </c>
      <c r="H4798" t="str">
        <f t="shared" si="74"/>
        <v>Q3</v>
      </c>
    </row>
    <row r="4799" spans="1:8">
      <c r="A4799">
        <v>743214</v>
      </c>
      <c r="B4799" t="s">
        <v>1008</v>
      </c>
      <c r="C4799">
        <v>84</v>
      </c>
      <c r="D4799">
        <v>1.6152744181454199</v>
      </c>
      <c r="E4799">
        <v>135.68305112421501</v>
      </c>
      <c r="F4799">
        <v>0.89639215981340103</v>
      </c>
      <c r="G4799">
        <v>0.81953274895602102</v>
      </c>
      <c r="H4799" t="str">
        <f t="shared" si="74"/>
        <v>Q4</v>
      </c>
    </row>
    <row r="4800" spans="1:8">
      <c r="A4800">
        <v>730400</v>
      </c>
      <c r="B4800" t="s">
        <v>4047</v>
      </c>
      <c r="C4800">
        <v>51</v>
      </c>
      <c r="D4800">
        <v>2.6575938177605498</v>
      </c>
      <c r="E4800">
        <v>135.53728470578801</v>
      </c>
      <c r="F4800">
        <v>0.83762838117452298</v>
      </c>
      <c r="G4800">
        <v>0.81949512809901803</v>
      </c>
      <c r="H4800" t="str">
        <f t="shared" si="74"/>
        <v>Q4</v>
      </c>
    </row>
    <row r="4801" spans="1:8">
      <c r="A4801">
        <v>760834</v>
      </c>
      <c r="B4801" t="s">
        <v>3749</v>
      </c>
      <c r="C4801">
        <v>41</v>
      </c>
      <c r="D4801">
        <v>3.3049606604547002</v>
      </c>
      <c r="E4801">
        <v>135.50338707864299</v>
      </c>
      <c r="F4801">
        <v>0.80787028328505295</v>
      </c>
      <c r="G4801">
        <v>0.81945750724201505</v>
      </c>
      <c r="H4801" t="str">
        <f t="shared" si="74"/>
        <v>Q4</v>
      </c>
    </row>
    <row r="4802" spans="1:8">
      <c r="A4802">
        <v>698470</v>
      </c>
      <c r="B4802" t="s">
        <v>1558</v>
      </c>
      <c r="C4802">
        <v>59</v>
      </c>
      <c r="D4802">
        <v>2.29649526003938</v>
      </c>
      <c r="E4802">
        <v>135.49322034232301</v>
      </c>
      <c r="F4802">
        <v>0.85617546367706299</v>
      </c>
      <c r="G4802">
        <v>0.81941988638501195</v>
      </c>
      <c r="H4802" t="str">
        <f t="shared" si="74"/>
        <v>Q4</v>
      </c>
    </row>
    <row r="4803" spans="1:8">
      <c r="A4803">
        <v>740832</v>
      </c>
      <c r="B4803" t="s">
        <v>3197</v>
      </c>
      <c r="C4803">
        <v>72</v>
      </c>
      <c r="D4803">
        <v>1.88175607343308</v>
      </c>
      <c r="E4803">
        <v>135.48643728718201</v>
      </c>
      <c r="F4803">
        <v>0.87957563673300498</v>
      </c>
      <c r="G4803">
        <v>0.81938226552800897</v>
      </c>
      <c r="H4803" t="str">
        <f t="shared" ref="H4803:H4866" si="75">IF(C4803&gt;$J$2,
   IF(D4803&gt;$J$3,"Q1","Q2"),
   IF(D4803&gt;$J$3,"Q3","Q4"))</f>
        <v>Q4</v>
      </c>
    </row>
    <row r="4804" spans="1:8">
      <c r="A4804">
        <v>807926</v>
      </c>
      <c r="B4804" t="s">
        <v>3061</v>
      </c>
      <c r="C4804">
        <v>48</v>
      </c>
      <c r="D4804">
        <v>2.8225635061971799</v>
      </c>
      <c r="E4804">
        <v>135.48304829746499</v>
      </c>
      <c r="F4804">
        <v>0.82957751777585498</v>
      </c>
      <c r="G4804">
        <v>0.81934464467100598</v>
      </c>
      <c r="H4804" t="str">
        <f t="shared" si="75"/>
        <v>Q4</v>
      </c>
    </row>
    <row r="4805" spans="1:8">
      <c r="A4805">
        <v>818894</v>
      </c>
      <c r="B4805" t="s">
        <v>1891</v>
      </c>
      <c r="C4805">
        <v>45</v>
      </c>
      <c r="D4805">
        <v>3.01047077195512</v>
      </c>
      <c r="E4805">
        <v>135.47118473798</v>
      </c>
      <c r="F4805">
        <v>0.82069899552311798</v>
      </c>
      <c r="G4805">
        <v>0.819307023814002</v>
      </c>
      <c r="H4805" t="str">
        <f t="shared" si="75"/>
        <v>Q4</v>
      </c>
    </row>
    <row r="4806" spans="1:8">
      <c r="A4806">
        <v>705792</v>
      </c>
      <c r="B4806" t="s">
        <v>3531</v>
      </c>
      <c r="C4806">
        <v>23</v>
      </c>
      <c r="D4806">
        <v>5.88769347447416</v>
      </c>
      <c r="E4806">
        <v>135.41694991290601</v>
      </c>
      <c r="F4806">
        <v>0.71547345848538402</v>
      </c>
      <c r="G4806">
        <v>0.81926940295699902</v>
      </c>
      <c r="H4806" t="str">
        <f t="shared" si="75"/>
        <v>Q3</v>
      </c>
    </row>
    <row r="4807" spans="1:8">
      <c r="A4807">
        <v>734269</v>
      </c>
      <c r="B4807" t="s">
        <v>4623</v>
      </c>
      <c r="C4807">
        <v>39</v>
      </c>
      <c r="D4807">
        <v>3.4718818007371399</v>
      </c>
      <c r="E4807">
        <v>135.40339022874801</v>
      </c>
      <c r="F4807">
        <v>0.80087280388247195</v>
      </c>
      <c r="G4807">
        <v>0.81923178209999603</v>
      </c>
      <c r="H4807" t="str">
        <f t="shared" si="75"/>
        <v>Q4</v>
      </c>
    </row>
    <row r="4808" spans="1:8">
      <c r="A4808">
        <v>739944</v>
      </c>
      <c r="B4808" t="s">
        <v>487</v>
      </c>
      <c r="C4808">
        <v>19</v>
      </c>
      <c r="D4808">
        <v>7.1262265310475703</v>
      </c>
      <c r="E4808">
        <v>135.398304089904</v>
      </c>
      <c r="F4808">
        <v>0.68195327489560198</v>
      </c>
      <c r="G4808">
        <v>0.81919416124299305</v>
      </c>
      <c r="H4808" t="str">
        <f t="shared" si="75"/>
        <v>Q3</v>
      </c>
    </row>
    <row r="4809" spans="1:8">
      <c r="A4809">
        <v>733845</v>
      </c>
      <c r="B4809" t="s">
        <v>4299</v>
      </c>
      <c r="C4809">
        <v>16</v>
      </c>
      <c r="D4809">
        <v>8.4554026369005406</v>
      </c>
      <c r="E4809">
        <v>135.28644219040899</v>
      </c>
      <c r="F4809">
        <v>0.64756781159474797</v>
      </c>
      <c r="G4809">
        <v>0.81915654038598995</v>
      </c>
      <c r="H4809" t="str">
        <f t="shared" si="75"/>
        <v>Q3</v>
      </c>
    </row>
    <row r="4810" spans="1:8">
      <c r="A4810">
        <v>808168</v>
      </c>
      <c r="B4810" t="s">
        <v>2865</v>
      </c>
      <c r="C4810">
        <v>14</v>
      </c>
      <c r="D4810">
        <v>9.6598064793007694</v>
      </c>
      <c r="E4810">
        <v>135.237290710211</v>
      </c>
      <c r="F4810">
        <v>0.62070651969451895</v>
      </c>
      <c r="G4810">
        <v>0.81911891952898697</v>
      </c>
      <c r="H4810" t="str">
        <f t="shared" si="75"/>
        <v>Q3</v>
      </c>
    </row>
    <row r="4811" spans="1:8">
      <c r="A4811">
        <v>718575</v>
      </c>
      <c r="B4811" t="s">
        <v>2641</v>
      </c>
      <c r="C4811">
        <v>29</v>
      </c>
      <c r="D4811">
        <v>4.6589713350966102</v>
      </c>
      <c r="E4811">
        <v>135.110168717802</v>
      </c>
      <c r="F4811">
        <v>0.75501297919566601</v>
      </c>
      <c r="G4811">
        <v>0.81908129867198398</v>
      </c>
      <c r="H4811" t="str">
        <f t="shared" si="75"/>
        <v>Q4</v>
      </c>
    </row>
    <row r="4812" spans="1:8">
      <c r="A4812">
        <v>721636</v>
      </c>
      <c r="B4812" t="s">
        <v>3456</v>
      </c>
      <c r="C4812">
        <v>47</v>
      </c>
      <c r="D4812">
        <v>2.8741795371504502</v>
      </c>
      <c r="E4812">
        <v>135.086438246071</v>
      </c>
      <c r="F4812">
        <v>0.82641736578759295</v>
      </c>
      <c r="G4812">
        <v>0.819043677814981</v>
      </c>
      <c r="H4812" t="str">
        <f t="shared" si="75"/>
        <v>Q4</v>
      </c>
    </row>
    <row r="4813" spans="1:8">
      <c r="A4813">
        <v>719941</v>
      </c>
      <c r="B4813" t="s">
        <v>2365</v>
      </c>
      <c r="C4813">
        <v>45</v>
      </c>
      <c r="D4813">
        <v>3.0017702074514498</v>
      </c>
      <c r="E4813">
        <v>135.079659335315</v>
      </c>
      <c r="F4813">
        <v>0.82069899552311798</v>
      </c>
      <c r="G4813">
        <v>0.81900605695797701</v>
      </c>
      <c r="H4813" t="str">
        <f t="shared" si="75"/>
        <v>Q4</v>
      </c>
    </row>
    <row r="4814" spans="1:8">
      <c r="A4814">
        <v>834442</v>
      </c>
      <c r="B4814" t="s">
        <v>2456</v>
      </c>
      <c r="C4814">
        <v>30</v>
      </c>
      <c r="D4814">
        <v>4.5012994979818703</v>
      </c>
      <c r="E4814">
        <v>135.03898493945599</v>
      </c>
      <c r="F4814">
        <v>0.760430382604116</v>
      </c>
      <c r="G4814">
        <v>0.81896843610097403</v>
      </c>
      <c r="H4814" t="str">
        <f t="shared" si="75"/>
        <v>Q4</v>
      </c>
    </row>
    <row r="4815" spans="1:8">
      <c r="A4815">
        <v>755592</v>
      </c>
      <c r="B4815" t="s">
        <v>2987</v>
      </c>
      <c r="C4815">
        <v>25</v>
      </c>
      <c r="D4815">
        <v>5.4002713039517403</v>
      </c>
      <c r="E4815">
        <v>135.00678259879399</v>
      </c>
      <c r="F4815">
        <v>0.72991986757458305</v>
      </c>
      <c r="G4815">
        <v>0.81893081524397104</v>
      </c>
      <c r="H4815" t="str">
        <f t="shared" si="75"/>
        <v>Q3</v>
      </c>
    </row>
    <row r="4816" spans="1:8">
      <c r="A4816">
        <v>427558</v>
      </c>
      <c r="B4816" t="s">
        <v>4205</v>
      </c>
      <c r="C4816">
        <v>15</v>
      </c>
      <c r="D4816">
        <v>8.99570636451244</v>
      </c>
      <c r="E4816">
        <v>134.93559546768699</v>
      </c>
      <c r="F4816">
        <v>0.63496482449870195</v>
      </c>
      <c r="G4816">
        <v>0.81889319438696795</v>
      </c>
      <c r="H4816" t="str">
        <f t="shared" si="75"/>
        <v>Q3</v>
      </c>
    </row>
    <row r="4817" spans="1:8">
      <c r="A4817">
        <v>661818</v>
      </c>
      <c r="B4817" t="s">
        <v>2947</v>
      </c>
      <c r="C4817">
        <v>4</v>
      </c>
      <c r="D4817">
        <v>33.728814125061</v>
      </c>
      <c r="E4817">
        <v>134.915256500244</v>
      </c>
      <c r="F4817">
        <v>0.33388510590271198</v>
      </c>
      <c r="G4817">
        <v>0.81885557352996496</v>
      </c>
      <c r="H4817" t="str">
        <f t="shared" si="75"/>
        <v>Q3</v>
      </c>
    </row>
    <row r="4818" spans="1:8">
      <c r="A4818">
        <v>671949</v>
      </c>
      <c r="B4818" t="s">
        <v>3712</v>
      </c>
      <c r="C4818">
        <v>27</v>
      </c>
      <c r="D4818">
        <v>4.9946642308323499</v>
      </c>
      <c r="E4818">
        <v>134.855934232473</v>
      </c>
      <c r="F4818">
        <v>0.74312478838267904</v>
      </c>
      <c r="G4818">
        <v>0.81881795267296198</v>
      </c>
      <c r="H4818" t="str">
        <f t="shared" si="75"/>
        <v>Q3</v>
      </c>
    </row>
    <row r="4819" spans="1:8">
      <c r="A4819">
        <v>770058</v>
      </c>
      <c r="B4819" t="s">
        <v>534</v>
      </c>
      <c r="C4819">
        <v>90</v>
      </c>
      <c r="D4819">
        <v>1.4980790308780101</v>
      </c>
      <c r="E4819">
        <v>134.82711277902101</v>
      </c>
      <c r="F4819">
        <v>0.90267484293292199</v>
      </c>
      <c r="G4819">
        <v>0.81878033181595899</v>
      </c>
      <c r="H4819" t="str">
        <f t="shared" si="75"/>
        <v>Q4</v>
      </c>
    </row>
    <row r="4820" spans="1:8">
      <c r="A4820">
        <v>782141</v>
      </c>
      <c r="B4820" t="s">
        <v>1803</v>
      </c>
      <c r="C4820">
        <v>11</v>
      </c>
      <c r="D4820">
        <v>12.248690494082201</v>
      </c>
      <c r="E4820">
        <v>134.73559543490401</v>
      </c>
      <c r="F4820">
        <v>0.56957977502727497</v>
      </c>
      <c r="G4820">
        <v>0.81874271095895601</v>
      </c>
      <c r="H4820" t="str">
        <f t="shared" si="75"/>
        <v>Q3</v>
      </c>
    </row>
    <row r="4821" spans="1:8">
      <c r="A4821">
        <v>824209</v>
      </c>
      <c r="B4821" t="s">
        <v>4203</v>
      </c>
      <c r="C4821">
        <v>37</v>
      </c>
      <c r="D4821">
        <v>3.6406321652434999</v>
      </c>
      <c r="E4821">
        <v>134.70339011400901</v>
      </c>
      <c r="F4821">
        <v>0.79304766562582296</v>
      </c>
      <c r="G4821">
        <v>0.81870509010195203</v>
      </c>
      <c r="H4821" t="str">
        <f t="shared" si="75"/>
        <v>Q4</v>
      </c>
    </row>
    <row r="4822" spans="1:8">
      <c r="A4822">
        <v>781758</v>
      </c>
      <c r="B4822" t="s">
        <v>1802</v>
      </c>
      <c r="C4822">
        <v>57</v>
      </c>
      <c r="D4822">
        <v>2.3618198048911601</v>
      </c>
      <c r="E4822">
        <v>134.62372887879599</v>
      </c>
      <c r="F4822">
        <v>0.851849065121703</v>
      </c>
      <c r="G4822">
        <v>0.81866746924494904</v>
      </c>
      <c r="H4822" t="str">
        <f t="shared" si="75"/>
        <v>Q4</v>
      </c>
    </row>
    <row r="4823" spans="1:8">
      <c r="A4823">
        <v>703558</v>
      </c>
      <c r="B4823" t="s">
        <v>1497</v>
      </c>
      <c r="C4823">
        <v>69</v>
      </c>
      <c r="D4823">
        <v>1.9505280447934801</v>
      </c>
      <c r="E4823">
        <v>134.58643509075</v>
      </c>
      <c r="F4823">
        <v>0.87393250818253598</v>
      </c>
      <c r="G4823">
        <v>0.81862984838794595</v>
      </c>
      <c r="H4823" t="str">
        <f t="shared" si="75"/>
        <v>Q4</v>
      </c>
    </row>
    <row r="4824" spans="1:8">
      <c r="A4824">
        <v>407354</v>
      </c>
      <c r="B4824" t="s">
        <v>2245</v>
      </c>
      <c r="C4824">
        <v>22</v>
      </c>
      <c r="D4824">
        <v>6.1160246164284002</v>
      </c>
      <c r="E4824">
        <v>134.55254156142499</v>
      </c>
      <c r="F4824">
        <v>0.707723561942741</v>
      </c>
      <c r="G4824">
        <v>0.81859222753094296</v>
      </c>
      <c r="H4824" t="str">
        <f t="shared" si="75"/>
        <v>Q3</v>
      </c>
    </row>
    <row r="4825" spans="1:8">
      <c r="A4825">
        <v>805321</v>
      </c>
      <c r="B4825" t="s">
        <v>3967</v>
      </c>
      <c r="C4825">
        <v>29</v>
      </c>
      <c r="D4825">
        <v>4.6390415651017198</v>
      </c>
      <c r="E4825">
        <v>134.53220538795</v>
      </c>
      <c r="F4825">
        <v>0.75501297919566601</v>
      </c>
      <c r="G4825">
        <v>0.81855460667393998</v>
      </c>
      <c r="H4825" t="str">
        <f t="shared" si="75"/>
        <v>Q4</v>
      </c>
    </row>
    <row r="4826" spans="1:8">
      <c r="A4826">
        <v>712917</v>
      </c>
      <c r="B4826" t="s">
        <v>4918</v>
      </c>
      <c r="C4826">
        <v>36</v>
      </c>
      <c r="D4826">
        <v>3.73455746513274</v>
      </c>
      <c r="E4826">
        <v>134.444068744779</v>
      </c>
      <c r="F4826">
        <v>0.78890937135547901</v>
      </c>
      <c r="G4826">
        <v>0.81851698581693699</v>
      </c>
      <c r="H4826" t="str">
        <f t="shared" si="75"/>
        <v>Q4</v>
      </c>
    </row>
    <row r="4827" spans="1:8">
      <c r="A4827">
        <v>635957</v>
      </c>
      <c r="B4827" t="s">
        <v>1185</v>
      </c>
      <c r="C4827">
        <v>33</v>
      </c>
      <c r="D4827">
        <v>4.0732922314694404</v>
      </c>
      <c r="E4827">
        <v>134.418643638492</v>
      </c>
      <c r="F4827">
        <v>0.77551634626236798</v>
      </c>
      <c r="G4827">
        <v>0.81847936495993401</v>
      </c>
      <c r="H4827" t="str">
        <f t="shared" si="75"/>
        <v>Q4</v>
      </c>
    </row>
    <row r="4828" spans="1:8">
      <c r="A4828">
        <v>766639</v>
      </c>
      <c r="B4828" t="s">
        <v>1318</v>
      </c>
      <c r="C4828">
        <v>24</v>
      </c>
      <c r="D4828">
        <v>5.5995762813836301</v>
      </c>
      <c r="E4828">
        <v>134.38983075320701</v>
      </c>
      <c r="F4828">
        <v>0.72284714645799597</v>
      </c>
      <c r="G4828">
        <v>0.81844174410293102</v>
      </c>
      <c r="H4828" t="str">
        <f t="shared" si="75"/>
        <v>Q3</v>
      </c>
    </row>
    <row r="4829" spans="1:8">
      <c r="A4829">
        <v>777191</v>
      </c>
      <c r="B4829" t="s">
        <v>5222</v>
      </c>
      <c r="C4829">
        <v>58</v>
      </c>
      <c r="D4829">
        <v>2.3159848108630801</v>
      </c>
      <c r="E4829">
        <v>134.32711903005799</v>
      </c>
      <c r="F4829">
        <v>0.853993453970881</v>
      </c>
      <c r="G4829">
        <v>0.81840412324592804</v>
      </c>
      <c r="H4829" t="str">
        <f t="shared" si="75"/>
        <v>Q4</v>
      </c>
    </row>
    <row r="4830" spans="1:8">
      <c r="A4830">
        <v>624684</v>
      </c>
      <c r="B4830" t="s">
        <v>4148</v>
      </c>
      <c r="C4830">
        <v>28</v>
      </c>
      <c r="D4830">
        <v>4.7964286724371599</v>
      </c>
      <c r="E4830">
        <v>134.30000282824</v>
      </c>
      <c r="F4830">
        <v>0.74974605921522897</v>
      </c>
      <c r="G4830">
        <v>0.81836650238892406</v>
      </c>
      <c r="H4830" t="str">
        <f t="shared" si="75"/>
        <v>Q4</v>
      </c>
    </row>
    <row r="4831" spans="1:8">
      <c r="A4831">
        <v>755363</v>
      </c>
      <c r="B4831" t="s">
        <v>348</v>
      </c>
      <c r="C4831">
        <v>28</v>
      </c>
      <c r="D4831">
        <v>4.78928567442511</v>
      </c>
      <c r="E4831">
        <v>134.099998883903</v>
      </c>
      <c r="F4831">
        <v>0.74974605921522897</v>
      </c>
      <c r="G4831">
        <v>0.81832888153192096</v>
      </c>
      <c r="H4831" t="str">
        <f t="shared" si="75"/>
        <v>Q4</v>
      </c>
    </row>
    <row r="4832" spans="1:8">
      <c r="A4832">
        <v>783149</v>
      </c>
      <c r="B4832" t="s">
        <v>3328</v>
      </c>
      <c r="C4832">
        <v>43</v>
      </c>
      <c r="D4832">
        <v>3.1175797740214102</v>
      </c>
      <c r="E4832">
        <v>134.055930282921</v>
      </c>
      <c r="F4832">
        <v>0.81437869154659304</v>
      </c>
      <c r="G4832">
        <v>0.81829126067491798</v>
      </c>
      <c r="H4832" t="str">
        <f t="shared" si="75"/>
        <v>Q4</v>
      </c>
    </row>
    <row r="4833" spans="1:8">
      <c r="A4833">
        <v>794620</v>
      </c>
      <c r="B4833" t="s">
        <v>2373</v>
      </c>
      <c r="C4833">
        <v>34</v>
      </c>
      <c r="D4833">
        <v>3.9420737775371402</v>
      </c>
      <c r="E4833">
        <v>134.03050843626301</v>
      </c>
      <c r="F4833">
        <v>0.77969226138971404</v>
      </c>
      <c r="G4833">
        <v>0.81825363981791499</v>
      </c>
      <c r="H4833" t="str">
        <f t="shared" si="75"/>
        <v>Q4</v>
      </c>
    </row>
    <row r="4834" spans="1:8">
      <c r="A4834">
        <v>708993</v>
      </c>
      <c r="B4834" t="s">
        <v>2311</v>
      </c>
      <c r="C4834">
        <v>33</v>
      </c>
      <c r="D4834">
        <v>4.05983563625451</v>
      </c>
      <c r="E4834">
        <v>133.97457599639901</v>
      </c>
      <c r="F4834">
        <v>0.77551634626236798</v>
      </c>
      <c r="G4834">
        <v>0.81821601896091201</v>
      </c>
      <c r="H4834" t="str">
        <f t="shared" si="75"/>
        <v>Q4</v>
      </c>
    </row>
    <row r="4835" spans="1:8">
      <c r="A4835">
        <v>575141</v>
      </c>
      <c r="B4835" t="s">
        <v>2044</v>
      </c>
      <c r="C4835">
        <v>85</v>
      </c>
      <c r="D4835">
        <v>1.57519435400472</v>
      </c>
      <c r="E4835">
        <v>133.891520090401</v>
      </c>
      <c r="F4835">
        <v>0.89721981866746903</v>
      </c>
      <c r="G4835">
        <v>0.81817839810390902</v>
      </c>
      <c r="H4835" t="str">
        <f t="shared" si="75"/>
        <v>Q4</v>
      </c>
    </row>
    <row r="4836" spans="1:8">
      <c r="A4836">
        <v>756105</v>
      </c>
      <c r="B4836" t="s">
        <v>1386</v>
      </c>
      <c r="C4836">
        <v>107</v>
      </c>
      <c r="D4836">
        <v>1.2511800626449501</v>
      </c>
      <c r="E4836">
        <v>133.87626670301</v>
      </c>
      <c r="F4836">
        <v>0.91791129001918703</v>
      </c>
      <c r="G4836">
        <v>0.81814077724690604</v>
      </c>
      <c r="H4836" t="str">
        <f t="shared" si="75"/>
        <v>Q4</v>
      </c>
    </row>
    <row r="4837" spans="1:8">
      <c r="A4837">
        <v>713336</v>
      </c>
      <c r="B4837" t="s">
        <v>2792</v>
      </c>
      <c r="C4837">
        <v>78</v>
      </c>
      <c r="D4837">
        <v>1.71518905195766</v>
      </c>
      <c r="E4837">
        <v>133.78474605269699</v>
      </c>
      <c r="F4837">
        <v>0.88867988412776</v>
      </c>
      <c r="G4837">
        <v>0.81810315638990305</v>
      </c>
      <c r="H4837" t="str">
        <f t="shared" si="75"/>
        <v>Q4</v>
      </c>
    </row>
    <row r="4838" spans="1:8">
      <c r="A4838">
        <v>791582</v>
      </c>
      <c r="B4838" t="s">
        <v>1212</v>
      </c>
      <c r="C4838">
        <v>8</v>
      </c>
      <c r="D4838">
        <v>16.708474792540098</v>
      </c>
      <c r="E4838">
        <v>133.66779834032101</v>
      </c>
      <c r="F4838">
        <v>0.49768631729430801</v>
      </c>
      <c r="G4838">
        <v>0.81806553553289896</v>
      </c>
      <c r="H4838" t="str">
        <f t="shared" si="75"/>
        <v>Q3</v>
      </c>
    </row>
    <row r="4839" spans="1:8">
      <c r="A4839">
        <v>587228</v>
      </c>
      <c r="B4839" t="s">
        <v>2662</v>
      </c>
      <c r="C4839">
        <v>75</v>
      </c>
      <c r="D4839">
        <v>1.7820338762054799</v>
      </c>
      <c r="E4839">
        <v>133.65254071541099</v>
      </c>
      <c r="F4839">
        <v>0.88420300214438896</v>
      </c>
      <c r="G4839">
        <v>0.81802791467589597</v>
      </c>
      <c r="H4839" t="str">
        <f t="shared" si="75"/>
        <v>Q4</v>
      </c>
    </row>
    <row r="4840" spans="1:8">
      <c r="A4840">
        <v>685009</v>
      </c>
      <c r="B4840" t="s">
        <v>1373</v>
      </c>
      <c r="C4840">
        <v>70</v>
      </c>
      <c r="D4840">
        <v>1.9080629525706201</v>
      </c>
      <c r="E4840">
        <v>133.564406679943</v>
      </c>
      <c r="F4840">
        <v>0.87555020503367098</v>
      </c>
      <c r="G4840">
        <v>0.81799029381889299</v>
      </c>
      <c r="H4840" t="str">
        <f t="shared" si="75"/>
        <v>Q4</v>
      </c>
    </row>
    <row r="4841" spans="1:8">
      <c r="A4841">
        <v>717020</v>
      </c>
      <c r="B4841" t="s">
        <v>3266</v>
      </c>
      <c r="C4841">
        <v>52</v>
      </c>
      <c r="D4841">
        <v>2.5681550919006599</v>
      </c>
      <c r="E4841">
        <v>133.54406477883501</v>
      </c>
      <c r="F4841">
        <v>0.84003611602272299</v>
      </c>
      <c r="G4841">
        <v>0.81795267296189</v>
      </c>
      <c r="H4841" t="str">
        <f t="shared" si="75"/>
        <v>Q4</v>
      </c>
    </row>
    <row r="4842" spans="1:8">
      <c r="A4842">
        <v>496735</v>
      </c>
      <c r="B4842" t="s">
        <v>1578</v>
      </c>
      <c r="C4842">
        <v>46</v>
      </c>
      <c r="D4842">
        <v>2.9012527681239302</v>
      </c>
      <c r="E4842">
        <v>133.457627333701</v>
      </c>
      <c r="F4842">
        <v>0.82378390579737404</v>
      </c>
      <c r="G4842">
        <v>0.81791505210488702</v>
      </c>
      <c r="H4842" t="str">
        <f t="shared" si="75"/>
        <v>Q4</v>
      </c>
    </row>
    <row r="4843" spans="1:8">
      <c r="A4843">
        <v>741834</v>
      </c>
      <c r="B4843" t="s">
        <v>1181</v>
      </c>
      <c r="C4843">
        <v>72</v>
      </c>
      <c r="D4843">
        <v>1.8526130058388699</v>
      </c>
      <c r="E4843">
        <v>133.38813642039901</v>
      </c>
      <c r="F4843">
        <v>0.87957563673300498</v>
      </c>
      <c r="G4843">
        <v>0.81787743124788403</v>
      </c>
      <c r="H4843" t="str">
        <f t="shared" si="75"/>
        <v>Q4</v>
      </c>
    </row>
    <row r="4844" spans="1:8">
      <c r="A4844">
        <v>829380</v>
      </c>
      <c r="B4844" t="s">
        <v>1073</v>
      </c>
      <c r="C4844">
        <v>21</v>
      </c>
      <c r="D4844">
        <v>6.3510895218877597</v>
      </c>
      <c r="E4844">
        <v>133.372879959643</v>
      </c>
      <c r="F4844">
        <v>0.70008652797110704</v>
      </c>
      <c r="G4844">
        <v>0.81783981039088105</v>
      </c>
      <c r="H4844" t="str">
        <f t="shared" si="75"/>
        <v>Q3</v>
      </c>
    </row>
    <row r="4845" spans="1:8">
      <c r="A4845">
        <v>577675</v>
      </c>
      <c r="B4845" t="s">
        <v>5185</v>
      </c>
      <c r="C4845">
        <v>71</v>
      </c>
      <c r="D4845">
        <v>1.87820477253744</v>
      </c>
      <c r="E4845">
        <v>133.352538850158</v>
      </c>
      <c r="F4845">
        <v>0.87799556073887397</v>
      </c>
      <c r="G4845">
        <v>0.81780218953387795</v>
      </c>
      <c r="H4845" t="str">
        <f t="shared" si="75"/>
        <v>Q4</v>
      </c>
    </row>
    <row r="4846" spans="1:8">
      <c r="A4846">
        <v>689087</v>
      </c>
      <c r="B4846" t="s">
        <v>4091</v>
      </c>
      <c r="C4846">
        <v>23</v>
      </c>
      <c r="D4846">
        <v>5.79602059948704</v>
      </c>
      <c r="E4846">
        <v>133.30847378820201</v>
      </c>
      <c r="F4846">
        <v>0.71547345848538402</v>
      </c>
      <c r="G4846">
        <v>0.81776456867687397</v>
      </c>
      <c r="H4846" t="str">
        <f t="shared" si="75"/>
        <v>Q3</v>
      </c>
    </row>
    <row r="4847" spans="1:8">
      <c r="A4847">
        <v>510420</v>
      </c>
      <c r="B4847" t="s">
        <v>1367</v>
      </c>
      <c r="C4847">
        <v>20</v>
      </c>
      <c r="D4847">
        <v>6.6632202640175802</v>
      </c>
      <c r="E4847">
        <v>133.26440528035201</v>
      </c>
      <c r="F4847">
        <v>0.69196042285843296</v>
      </c>
      <c r="G4847">
        <v>0.81772694781987099</v>
      </c>
      <c r="H4847" t="str">
        <f t="shared" si="75"/>
        <v>Q3</v>
      </c>
    </row>
    <row r="4848" spans="1:8">
      <c r="A4848">
        <v>695166</v>
      </c>
      <c r="B4848" t="s">
        <v>1119</v>
      </c>
      <c r="C4848">
        <v>89</v>
      </c>
      <c r="D4848">
        <v>1.4965339425135</v>
      </c>
      <c r="E4848">
        <v>133.191520883702</v>
      </c>
      <c r="F4848">
        <v>0.90135811293781298</v>
      </c>
      <c r="G4848">
        <v>0.817689326962868</v>
      </c>
      <c r="H4848" t="str">
        <f t="shared" si="75"/>
        <v>Q4</v>
      </c>
    </row>
    <row r="4849" spans="1:8">
      <c r="A4849">
        <v>805505</v>
      </c>
      <c r="B4849" t="s">
        <v>1286</v>
      </c>
      <c r="C4849">
        <v>18</v>
      </c>
      <c r="D4849">
        <v>7.3989641956157204</v>
      </c>
      <c r="E4849">
        <v>133.18135552108299</v>
      </c>
      <c r="F4849">
        <v>0.67044129265264696</v>
      </c>
      <c r="G4849">
        <v>0.81765170610586502</v>
      </c>
      <c r="H4849" t="str">
        <f t="shared" si="75"/>
        <v>Q3</v>
      </c>
    </row>
    <row r="4850" spans="1:8">
      <c r="A4850">
        <v>757406</v>
      </c>
      <c r="B4850" t="s">
        <v>1513</v>
      </c>
      <c r="C4850">
        <v>14</v>
      </c>
      <c r="D4850">
        <v>9.5110170543193799</v>
      </c>
      <c r="E4850">
        <v>133.154238760471</v>
      </c>
      <c r="F4850">
        <v>0.62070651969451895</v>
      </c>
      <c r="G4850">
        <v>0.81761408524886203</v>
      </c>
      <c r="H4850" t="str">
        <f t="shared" si="75"/>
        <v>Q3</v>
      </c>
    </row>
    <row r="4851" spans="1:8">
      <c r="A4851">
        <v>702014</v>
      </c>
      <c r="B4851" t="s">
        <v>2734</v>
      </c>
      <c r="C4851">
        <v>8</v>
      </c>
      <c r="D4851">
        <v>16.6421612724662</v>
      </c>
      <c r="E4851">
        <v>133.13729017972901</v>
      </c>
      <c r="F4851">
        <v>0.49768631729430801</v>
      </c>
      <c r="G4851">
        <v>0.81757646439185905</v>
      </c>
      <c r="H4851" t="str">
        <f t="shared" si="75"/>
        <v>Q3</v>
      </c>
    </row>
    <row r="4852" spans="1:8">
      <c r="A4852">
        <v>805968</v>
      </c>
      <c r="B4852" t="s">
        <v>4710</v>
      </c>
      <c r="C4852">
        <v>14</v>
      </c>
      <c r="D4852">
        <v>9.5081114875418802</v>
      </c>
      <c r="E4852">
        <v>133.11356082558601</v>
      </c>
      <c r="F4852">
        <v>0.62070651969451895</v>
      </c>
      <c r="G4852">
        <v>0.81753884353485595</v>
      </c>
      <c r="H4852" t="str">
        <f t="shared" si="75"/>
        <v>Q3</v>
      </c>
    </row>
    <row r="4853" spans="1:8">
      <c r="A4853">
        <v>793931</v>
      </c>
      <c r="B4853" t="s">
        <v>2741</v>
      </c>
      <c r="C4853">
        <v>32</v>
      </c>
      <c r="D4853">
        <v>4.1596928029321099</v>
      </c>
      <c r="E4853">
        <v>133.110169693828</v>
      </c>
      <c r="F4853">
        <v>0.77096422256498998</v>
      </c>
      <c r="G4853">
        <v>0.81750122267785297</v>
      </c>
      <c r="H4853" t="str">
        <f t="shared" si="75"/>
        <v>Q4</v>
      </c>
    </row>
    <row r="4854" spans="1:8">
      <c r="A4854">
        <v>716107</v>
      </c>
      <c r="B4854" t="s">
        <v>1036</v>
      </c>
      <c r="C4854">
        <v>12</v>
      </c>
      <c r="D4854">
        <v>11.091525200754401</v>
      </c>
      <c r="E4854">
        <v>133.09830240905299</v>
      </c>
      <c r="F4854">
        <v>0.58748730296076102</v>
      </c>
      <c r="G4854">
        <v>0.81746360182084898</v>
      </c>
      <c r="H4854" t="str">
        <f t="shared" si="75"/>
        <v>Q3</v>
      </c>
    </row>
    <row r="4855" spans="1:8">
      <c r="A4855">
        <v>825688</v>
      </c>
      <c r="B4855" t="s">
        <v>1327</v>
      </c>
      <c r="C4855">
        <v>28</v>
      </c>
      <c r="D4855">
        <v>4.7506659158638502</v>
      </c>
      <c r="E4855">
        <v>133.01864564418801</v>
      </c>
      <c r="F4855">
        <v>0.74974605921522897</v>
      </c>
      <c r="G4855">
        <v>0.817425980963846</v>
      </c>
      <c r="H4855" t="str">
        <f t="shared" si="75"/>
        <v>Q4</v>
      </c>
    </row>
    <row r="4856" spans="1:8">
      <c r="A4856">
        <v>741714</v>
      </c>
      <c r="B4856" t="s">
        <v>2096</v>
      </c>
      <c r="C4856">
        <v>27</v>
      </c>
      <c r="D4856">
        <v>4.9255493614408703</v>
      </c>
      <c r="E4856">
        <v>132.98983275890399</v>
      </c>
      <c r="F4856">
        <v>0.74312478838267904</v>
      </c>
      <c r="G4856">
        <v>0.81738836010684301</v>
      </c>
      <c r="H4856" t="str">
        <f t="shared" si="75"/>
        <v>Q3</v>
      </c>
    </row>
    <row r="4857" spans="1:8">
      <c r="A4857">
        <v>792666</v>
      </c>
      <c r="B4857" t="s">
        <v>2345</v>
      </c>
      <c r="C4857">
        <v>56</v>
      </c>
      <c r="D4857">
        <v>2.3733050861795002</v>
      </c>
      <c r="E4857">
        <v>132.90508482605199</v>
      </c>
      <c r="F4857">
        <v>0.85004326398555397</v>
      </c>
      <c r="G4857">
        <v>0.81735073924984003</v>
      </c>
      <c r="H4857" t="str">
        <f t="shared" si="75"/>
        <v>Q4</v>
      </c>
    </row>
    <row r="4858" spans="1:8">
      <c r="A4858">
        <v>781579</v>
      </c>
      <c r="B4858" t="s">
        <v>325</v>
      </c>
      <c r="C4858">
        <v>56</v>
      </c>
      <c r="D4858">
        <v>2.3731234949082101</v>
      </c>
      <c r="E4858">
        <v>132.89491571485999</v>
      </c>
      <c r="F4858">
        <v>0.85004326398555397</v>
      </c>
      <c r="G4858">
        <v>0.81731311839283705</v>
      </c>
      <c r="H4858" t="str">
        <f t="shared" si="75"/>
        <v>Q4</v>
      </c>
    </row>
    <row r="4859" spans="1:8">
      <c r="A4859">
        <v>643985</v>
      </c>
      <c r="B4859" t="s">
        <v>2386</v>
      </c>
      <c r="C4859">
        <v>57</v>
      </c>
      <c r="D4859">
        <v>2.33092477398091</v>
      </c>
      <c r="E4859">
        <v>132.86271211691201</v>
      </c>
      <c r="F4859">
        <v>0.851849065121703</v>
      </c>
      <c r="G4859">
        <v>0.81727549753583395</v>
      </c>
      <c r="H4859" t="str">
        <f t="shared" si="75"/>
        <v>Q4</v>
      </c>
    </row>
    <row r="4860" spans="1:8">
      <c r="A4860">
        <v>759323</v>
      </c>
      <c r="B4860" t="s">
        <v>1090</v>
      </c>
      <c r="C4860">
        <v>56</v>
      </c>
      <c r="D4860">
        <v>2.37112590444407</v>
      </c>
      <c r="E4860">
        <v>132.783050648868</v>
      </c>
      <c r="F4860">
        <v>0.85004326398555397</v>
      </c>
      <c r="G4860">
        <v>0.81723787667883097</v>
      </c>
      <c r="H4860" t="str">
        <f t="shared" si="75"/>
        <v>Q4</v>
      </c>
    </row>
    <row r="4861" spans="1:8">
      <c r="A4861">
        <v>779852</v>
      </c>
      <c r="B4861" t="s">
        <v>2277</v>
      </c>
      <c r="C4861">
        <v>37</v>
      </c>
      <c r="D4861">
        <v>3.5885478596429601</v>
      </c>
      <c r="E4861">
        <v>132.776270806789</v>
      </c>
      <c r="F4861">
        <v>0.79304766562582296</v>
      </c>
      <c r="G4861">
        <v>0.81720025582182798</v>
      </c>
      <c r="H4861" t="str">
        <f t="shared" si="75"/>
        <v>Q4</v>
      </c>
    </row>
    <row r="4862" spans="1:8">
      <c r="A4862">
        <v>559642</v>
      </c>
      <c r="B4862" t="s">
        <v>4896</v>
      </c>
      <c r="C4862">
        <v>58</v>
      </c>
      <c r="D4862">
        <v>2.2867328961026598</v>
      </c>
      <c r="E4862">
        <v>132.630507973954</v>
      </c>
      <c r="F4862">
        <v>0.853993453970881</v>
      </c>
      <c r="G4862">
        <v>0.817162634964825</v>
      </c>
      <c r="H4862" t="str">
        <f t="shared" si="75"/>
        <v>Q4</v>
      </c>
    </row>
    <row r="4863" spans="1:8">
      <c r="A4863">
        <v>755575</v>
      </c>
      <c r="B4863" t="s">
        <v>2834</v>
      </c>
      <c r="C4863">
        <v>101</v>
      </c>
      <c r="D4863">
        <v>1.31312299353799</v>
      </c>
      <c r="E4863">
        <v>132.62542234733701</v>
      </c>
      <c r="F4863">
        <v>0.91245626575373395</v>
      </c>
      <c r="G4863">
        <v>0.81712501410782101</v>
      </c>
      <c r="H4863" t="str">
        <f t="shared" si="75"/>
        <v>Q4</v>
      </c>
    </row>
    <row r="4864" spans="1:8">
      <c r="A4864">
        <v>760069</v>
      </c>
      <c r="B4864" t="s">
        <v>2521</v>
      </c>
      <c r="C4864">
        <v>62</v>
      </c>
      <c r="D4864">
        <v>2.1377254472745002</v>
      </c>
      <c r="E4864">
        <v>132.538977731019</v>
      </c>
      <c r="F4864">
        <v>0.86238290508257798</v>
      </c>
      <c r="G4864">
        <v>0.81708739325081803</v>
      </c>
      <c r="H4864" t="str">
        <f t="shared" si="75"/>
        <v>Q4</v>
      </c>
    </row>
    <row r="4865" spans="1:8">
      <c r="A4865">
        <v>727756</v>
      </c>
      <c r="B4865" t="s">
        <v>750</v>
      </c>
      <c r="C4865">
        <v>84</v>
      </c>
      <c r="D4865">
        <v>1.57723964934814</v>
      </c>
      <c r="E4865">
        <v>132.48813054524399</v>
      </c>
      <c r="F4865">
        <v>0.89639215981340103</v>
      </c>
      <c r="G4865">
        <v>0.81704977239381504</v>
      </c>
      <c r="H4865" t="str">
        <f t="shared" si="75"/>
        <v>Q4</v>
      </c>
    </row>
    <row r="4866" spans="1:8">
      <c r="A4866">
        <v>590071</v>
      </c>
      <c r="B4866" t="s">
        <v>3209</v>
      </c>
      <c r="C4866">
        <v>57</v>
      </c>
      <c r="D4866">
        <v>2.3242640488764699</v>
      </c>
      <c r="E4866">
        <v>132.48305078595899</v>
      </c>
      <c r="F4866">
        <v>0.851849065121703</v>
      </c>
      <c r="G4866">
        <v>0.81701215153681195</v>
      </c>
      <c r="H4866" t="str">
        <f t="shared" si="75"/>
        <v>Q4</v>
      </c>
    </row>
    <row r="4867" spans="1:8">
      <c r="A4867">
        <v>640029</v>
      </c>
      <c r="B4867" t="s">
        <v>2114</v>
      </c>
      <c r="C4867">
        <v>41</v>
      </c>
      <c r="D4867">
        <v>3.23075646670853</v>
      </c>
      <c r="E4867">
        <v>132.46101513504999</v>
      </c>
      <c r="F4867">
        <v>0.80787028328505295</v>
      </c>
      <c r="G4867">
        <v>0.81697453067980896</v>
      </c>
      <c r="H4867" t="str">
        <f t="shared" ref="H4867:H4930" si="76">IF(C4867&gt;$J$2,
   IF(D4867&gt;$J$3,"Q1","Q2"),
   IF(D4867&gt;$J$3,"Q3","Q4"))</f>
        <v>Q4</v>
      </c>
    </row>
    <row r="4868" spans="1:8">
      <c r="A4868">
        <v>716014</v>
      </c>
      <c r="B4868" t="s">
        <v>3149</v>
      </c>
      <c r="C4868">
        <v>42</v>
      </c>
      <c r="D4868">
        <v>3.15060527507393</v>
      </c>
      <c r="E4868">
        <v>132.325421553105</v>
      </c>
      <c r="F4868">
        <v>0.81103043527331597</v>
      </c>
      <c r="G4868">
        <v>0.81693690982280598</v>
      </c>
      <c r="H4868" t="str">
        <f t="shared" si="76"/>
        <v>Q4</v>
      </c>
    </row>
    <row r="4869" spans="1:8">
      <c r="A4869">
        <v>721927</v>
      </c>
      <c r="B4869" t="s">
        <v>1462</v>
      </c>
      <c r="C4869">
        <v>34</v>
      </c>
      <c r="D4869">
        <v>3.8904287359293801</v>
      </c>
      <c r="E4869">
        <v>132.27457702159899</v>
      </c>
      <c r="F4869">
        <v>0.77969226138971404</v>
      </c>
      <c r="G4869">
        <v>0.81689928896580299</v>
      </c>
      <c r="H4869" t="str">
        <f t="shared" si="76"/>
        <v>Q4</v>
      </c>
    </row>
    <row r="4870" spans="1:8">
      <c r="A4870">
        <v>639576</v>
      </c>
      <c r="B4870" t="s">
        <v>4368</v>
      </c>
      <c r="C4870">
        <v>46</v>
      </c>
      <c r="D4870">
        <v>2.87553426586901</v>
      </c>
      <c r="E4870">
        <v>132.274576229975</v>
      </c>
      <c r="F4870">
        <v>0.82378390579737404</v>
      </c>
      <c r="G4870">
        <v>0.81686166810880001</v>
      </c>
      <c r="H4870" t="str">
        <f t="shared" si="76"/>
        <v>Q4</v>
      </c>
    </row>
    <row r="4871" spans="1:8">
      <c r="A4871">
        <v>801765</v>
      </c>
      <c r="B4871" t="s">
        <v>4728</v>
      </c>
      <c r="C4871">
        <v>23</v>
      </c>
      <c r="D4871">
        <v>5.7495948413143996</v>
      </c>
      <c r="E4871">
        <v>132.240681350231</v>
      </c>
      <c r="F4871">
        <v>0.71547345848538402</v>
      </c>
      <c r="G4871">
        <v>0.81682404725179603</v>
      </c>
      <c r="H4871" t="str">
        <f t="shared" si="76"/>
        <v>Q3</v>
      </c>
    </row>
    <row r="4872" spans="1:8">
      <c r="A4872">
        <v>786921</v>
      </c>
      <c r="B4872" t="s">
        <v>1874</v>
      </c>
      <c r="C4872">
        <v>11</v>
      </c>
      <c r="D4872">
        <v>12.019876932556</v>
      </c>
      <c r="E4872">
        <v>132.218646258116</v>
      </c>
      <c r="F4872">
        <v>0.56957977502727497</v>
      </c>
      <c r="G4872">
        <v>0.81678642639479304</v>
      </c>
      <c r="H4872" t="str">
        <f t="shared" si="76"/>
        <v>Q3</v>
      </c>
    </row>
    <row r="4873" spans="1:8">
      <c r="A4873">
        <v>676859</v>
      </c>
      <c r="B4873" t="s">
        <v>3179</v>
      </c>
      <c r="C4873">
        <v>26</v>
      </c>
      <c r="D4873">
        <v>5.0843546023735602</v>
      </c>
      <c r="E4873">
        <v>132.19321966171299</v>
      </c>
      <c r="F4873">
        <v>0.73706783040517698</v>
      </c>
      <c r="G4873">
        <v>0.81674880553778995</v>
      </c>
      <c r="H4873" t="str">
        <f t="shared" si="76"/>
        <v>Q3</v>
      </c>
    </row>
    <row r="4874" spans="1:8">
      <c r="A4874">
        <v>777155</v>
      </c>
      <c r="B4874" t="s">
        <v>1755</v>
      </c>
      <c r="C4874">
        <v>102</v>
      </c>
      <c r="D4874">
        <v>1.2959621006659401</v>
      </c>
      <c r="E4874">
        <v>132.18813426792599</v>
      </c>
      <c r="F4874">
        <v>0.91332154546480604</v>
      </c>
      <c r="G4874">
        <v>0.81671118468078696</v>
      </c>
      <c r="H4874" t="str">
        <f t="shared" si="76"/>
        <v>Q4</v>
      </c>
    </row>
    <row r="4875" spans="1:8">
      <c r="A4875">
        <v>807725</v>
      </c>
      <c r="B4875" t="s">
        <v>918</v>
      </c>
      <c r="C4875">
        <v>10</v>
      </c>
      <c r="D4875">
        <v>13.218644559383399</v>
      </c>
      <c r="E4875">
        <v>132.18644559383401</v>
      </c>
      <c r="F4875">
        <v>0.54821112824950202</v>
      </c>
      <c r="G4875">
        <v>0.81667356382378398</v>
      </c>
      <c r="H4875" t="str">
        <f t="shared" si="76"/>
        <v>Q3</v>
      </c>
    </row>
    <row r="4876" spans="1:8">
      <c r="A4876">
        <v>798625</v>
      </c>
      <c r="B4876" t="s">
        <v>2788</v>
      </c>
      <c r="C4876">
        <v>20</v>
      </c>
      <c r="D4876">
        <v>6.6079660505056399</v>
      </c>
      <c r="E4876">
        <v>132.15932101011299</v>
      </c>
      <c r="F4876">
        <v>0.69196042285843296</v>
      </c>
      <c r="G4876">
        <v>0.81663594296678099</v>
      </c>
      <c r="H4876" t="str">
        <f t="shared" si="76"/>
        <v>Q3</v>
      </c>
    </row>
    <row r="4877" spans="1:8">
      <c r="A4877">
        <v>325542</v>
      </c>
      <c r="B4877" t="s">
        <v>3444</v>
      </c>
      <c r="C4877">
        <v>51</v>
      </c>
      <c r="D4877">
        <v>2.5907942313043502</v>
      </c>
      <c r="E4877">
        <v>132.13050579652199</v>
      </c>
      <c r="F4877">
        <v>0.83762838117452298</v>
      </c>
      <c r="G4877">
        <v>0.81659832210977801</v>
      </c>
      <c r="H4877" t="str">
        <f t="shared" si="76"/>
        <v>Q4</v>
      </c>
    </row>
    <row r="4878" spans="1:8">
      <c r="A4878">
        <v>787558</v>
      </c>
      <c r="B4878" t="s">
        <v>166</v>
      </c>
      <c r="C4878">
        <v>86</v>
      </c>
      <c r="D4878">
        <v>1.53618441450648</v>
      </c>
      <c r="E4878">
        <v>132.111859647557</v>
      </c>
      <c r="F4878">
        <v>0.89864941123358799</v>
      </c>
      <c r="G4878">
        <v>0.81656070125277502</v>
      </c>
      <c r="H4878" t="str">
        <f t="shared" si="76"/>
        <v>Q4</v>
      </c>
    </row>
    <row r="4879" spans="1:8">
      <c r="A4879">
        <v>682520</v>
      </c>
      <c r="B4879" t="s">
        <v>3864</v>
      </c>
      <c r="C4879">
        <v>45</v>
      </c>
      <c r="D4879">
        <v>2.9343503206554402</v>
      </c>
      <c r="E4879">
        <v>132.04576442949499</v>
      </c>
      <c r="F4879">
        <v>0.82069899552311798</v>
      </c>
      <c r="G4879">
        <v>0.81652308039577104</v>
      </c>
      <c r="H4879" t="str">
        <f t="shared" si="76"/>
        <v>Q4</v>
      </c>
    </row>
    <row r="4880" spans="1:8">
      <c r="A4880">
        <v>607224</v>
      </c>
      <c r="B4880" t="s">
        <v>4445</v>
      </c>
      <c r="C4880">
        <v>40</v>
      </c>
      <c r="D4880">
        <v>3.3010592591017498</v>
      </c>
      <c r="E4880">
        <v>132.04237036407</v>
      </c>
      <c r="F4880">
        <v>0.804522027011775</v>
      </c>
      <c r="G4880">
        <v>0.81648545953876805</v>
      </c>
      <c r="H4880" t="str">
        <f t="shared" si="76"/>
        <v>Q4</v>
      </c>
    </row>
    <row r="4881" spans="1:8">
      <c r="A4881">
        <v>633377</v>
      </c>
      <c r="B4881" t="s">
        <v>1278</v>
      </c>
      <c r="C4881">
        <v>75</v>
      </c>
      <c r="D4881">
        <v>1.76054234274973</v>
      </c>
      <c r="E4881">
        <v>132.04067570622999</v>
      </c>
      <c r="F4881">
        <v>0.88420300214438896</v>
      </c>
      <c r="G4881">
        <v>0.81644783868176496</v>
      </c>
      <c r="H4881" t="str">
        <f t="shared" si="76"/>
        <v>Q4</v>
      </c>
    </row>
    <row r="4882" spans="1:8">
      <c r="A4882">
        <v>803320</v>
      </c>
      <c r="B4882" t="s">
        <v>4313</v>
      </c>
      <c r="C4882">
        <v>20</v>
      </c>
      <c r="D4882">
        <v>6.5981355682015401</v>
      </c>
      <c r="E4882">
        <v>131.96271136403101</v>
      </c>
      <c r="F4882">
        <v>0.69196042285843296</v>
      </c>
      <c r="G4882">
        <v>0.81641021782476197</v>
      </c>
      <c r="H4882" t="str">
        <f t="shared" si="76"/>
        <v>Q3</v>
      </c>
    </row>
    <row r="4883" spans="1:8">
      <c r="A4883">
        <v>813016</v>
      </c>
      <c r="B4883" t="s">
        <v>470</v>
      </c>
      <c r="C4883">
        <v>20</v>
      </c>
      <c r="D4883">
        <v>6.5959321334958103</v>
      </c>
      <c r="E4883">
        <v>131.91864266991601</v>
      </c>
      <c r="F4883">
        <v>0.69196042285843296</v>
      </c>
      <c r="G4883">
        <v>0.81637259696775899</v>
      </c>
      <c r="H4883" t="str">
        <f t="shared" si="76"/>
        <v>Q3</v>
      </c>
    </row>
    <row r="4884" spans="1:8">
      <c r="A4884">
        <v>756094</v>
      </c>
      <c r="B4884" t="s">
        <v>2795</v>
      </c>
      <c r="C4884">
        <v>29</v>
      </c>
      <c r="D4884">
        <v>4.54693169429384</v>
      </c>
      <c r="E4884">
        <v>131.861019134521</v>
      </c>
      <c r="F4884">
        <v>0.75501297919566601</v>
      </c>
      <c r="G4884">
        <v>0.81633497611075601</v>
      </c>
      <c r="H4884" t="str">
        <f t="shared" si="76"/>
        <v>Q4</v>
      </c>
    </row>
    <row r="4885" spans="1:8">
      <c r="A4885">
        <v>694287</v>
      </c>
      <c r="B4885" t="s">
        <v>2466</v>
      </c>
      <c r="C4885">
        <v>18</v>
      </c>
      <c r="D4885">
        <v>7.3247646292050703</v>
      </c>
      <c r="E4885">
        <v>131.845763325691</v>
      </c>
      <c r="F4885">
        <v>0.67044129265264696</v>
      </c>
      <c r="G4885">
        <v>0.81629735525375302</v>
      </c>
      <c r="H4885" t="str">
        <f t="shared" si="76"/>
        <v>Q3</v>
      </c>
    </row>
    <row r="4886" spans="1:8">
      <c r="A4886">
        <v>799349</v>
      </c>
      <c r="B4886" t="s">
        <v>4914</v>
      </c>
      <c r="C4886">
        <v>43</v>
      </c>
      <c r="D4886">
        <v>3.0659834139568898</v>
      </c>
      <c r="E4886">
        <v>131.83728680014599</v>
      </c>
      <c r="F4886">
        <v>0.81437869154659304</v>
      </c>
      <c r="G4886">
        <v>0.81625973439675004</v>
      </c>
      <c r="H4886" t="str">
        <f t="shared" si="76"/>
        <v>Q4</v>
      </c>
    </row>
    <row r="4887" spans="1:8">
      <c r="A4887">
        <v>781042</v>
      </c>
      <c r="B4887" t="s">
        <v>499</v>
      </c>
      <c r="C4887">
        <v>40</v>
      </c>
      <c r="D4887">
        <v>3.2951270556077401</v>
      </c>
      <c r="E4887">
        <v>131.80508222430899</v>
      </c>
      <c r="F4887">
        <v>0.804522027011775</v>
      </c>
      <c r="G4887">
        <v>0.81622211353974605</v>
      </c>
      <c r="H4887" t="str">
        <f t="shared" si="76"/>
        <v>Q4</v>
      </c>
    </row>
    <row r="4888" spans="1:8">
      <c r="A4888">
        <v>743865</v>
      </c>
      <c r="B4888" t="s">
        <v>3132</v>
      </c>
      <c r="C4888">
        <v>41</v>
      </c>
      <c r="D4888">
        <v>3.2141380102896102</v>
      </c>
      <c r="E4888">
        <v>131.77965842187399</v>
      </c>
      <c r="F4888">
        <v>0.80787028328505295</v>
      </c>
      <c r="G4888">
        <v>0.81618449268274296</v>
      </c>
      <c r="H4888" t="str">
        <f t="shared" si="76"/>
        <v>Q4</v>
      </c>
    </row>
    <row r="4889" spans="1:8">
      <c r="A4889">
        <v>777229</v>
      </c>
      <c r="B4889" t="s">
        <v>4048</v>
      </c>
      <c r="C4889">
        <v>24</v>
      </c>
      <c r="D4889">
        <v>5.4907487084468203</v>
      </c>
      <c r="E4889">
        <v>131.77796900272401</v>
      </c>
      <c r="F4889">
        <v>0.72284714645799597</v>
      </c>
      <c r="G4889">
        <v>0.81614687182573997</v>
      </c>
      <c r="H4889" t="str">
        <f t="shared" si="76"/>
        <v>Q3</v>
      </c>
    </row>
    <row r="4890" spans="1:8">
      <c r="A4890">
        <v>827632</v>
      </c>
      <c r="B4890" t="s">
        <v>1363</v>
      </c>
      <c r="C4890">
        <v>21</v>
      </c>
      <c r="D4890">
        <v>6.2743340929349296</v>
      </c>
      <c r="E4890">
        <v>131.761015951633</v>
      </c>
      <c r="F4890">
        <v>0.70008652797110704</v>
      </c>
      <c r="G4890">
        <v>0.81610925096873699</v>
      </c>
      <c r="H4890" t="str">
        <f t="shared" si="76"/>
        <v>Q3</v>
      </c>
    </row>
    <row r="4891" spans="1:8">
      <c r="A4891">
        <v>602409</v>
      </c>
      <c r="B4891" t="s">
        <v>3680</v>
      </c>
      <c r="C4891">
        <v>46</v>
      </c>
      <c r="D4891">
        <v>2.86341187665644</v>
      </c>
      <c r="E4891">
        <v>131.71694632619599</v>
      </c>
      <c r="F4891">
        <v>0.82378390579737404</v>
      </c>
      <c r="G4891">
        <v>0.816071630111734</v>
      </c>
      <c r="H4891" t="str">
        <f t="shared" si="76"/>
        <v>Q4</v>
      </c>
    </row>
    <row r="4892" spans="1:8">
      <c r="A4892">
        <v>797596</v>
      </c>
      <c r="B4892" t="s">
        <v>4297</v>
      </c>
      <c r="C4892">
        <v>8</v>
      </c>
      <c r="D4892">
        <v>16.461440920829801</v>
      </c>
      <c r="E4892">
        <v>131.69152736663801</v>
      </c>
      <c r="F4892">
        <v>0.49768631729430801</v>
      </c>
      <c r="G4892">
        <v>0.81603400925473102</v>
      </c>
      <c r="H4892" t="str">
        <f t="shared" si="76"/>
        <v>Q3</v>
      </c>
    </row>
    <row r="4893" spans="1:8">
      <c r="A4893">
        <v>622600</v>
      </c>
      <c r="B4893" t="s">
        <v>808</v>
      </c>
      <c r="C4893">
        <v>155</v>
      </c>
      <c r="D4893">
        <v>0.84953525404055297</v>
      </c>
      <c r="E4893">
        <v>131.67796437628601</v>
      </c>
      <c r="F4893">
        <v>0.94454685677739703</v>
      </c>
      <c r="G4893">
        <v>0.81599638839772803</v>
      </c>
      <c r="H4893" t="str">
        <f t="shared" si="76"/>
        <v>Q4</v>
      </c>
    </row>
    <row r="4894" spans="1:8">
      <c r="A4894">
        <v>805875</v>
      </c>
      <c r="B4894" t="s">
        <v>359</v>
      </c>
      <c r="C4894">
        <v>45</v>
      </c>
      <c r="D4894">
        <v>2.9257250411642901</v>
      </c>
      <c r="E4894">
        <v>131.65762685239301</v>
      </c>
      <c r="F4894">
        <v>0.82069899552311798</v>
      </c>
      <c r="G4894">
        <v>0.81595876754072505</v>
      </c>
      <c r="H4894" t="str">
        <f t="shared" si="76"/>
        <v>Q4</v>
      </c>
    </row>
    <row r="4895" spans="1:8">
      <c r="A4895">
        <v>553271</v>
      </c>
      <c r="B4895" t="s">
        <v>2278</v>
      </c>
      <c r="C4895">
        <v>33</v>
      </c>
      <c r="D4895">
        <v>3.98859782991084</v>
      </c>
      <c r="E4895">
        <v>131.62372838705801</v>
      </c>
      <c r="F4895">
        <v>0.77551634626236798</v>
      </c>
      <c r="G4895">
        <v>0.81592114668372195</v>
      </c>
      <c r="H4895" t="str">
        <f t="shared" si="76"/>
        <v>Q4</v>
      </c>
    </row>
    <row r="4896" spans="1:8">
      <c r="A4896">
        <v>822180</v>
      </c>
      <c r="B4896" t="s">
        <v>4973</v>
      </c>
      <c r="C4896">
        <v>33</v>
      </c>
      <c r="D4896">
        <v>3.9847971363501098</v>
      </c>
      <c r="E4896">
        <v>131.49830549955399</v>
      </c>
      <c r="F4896">
        <v>0.77551634626236798</v>
      </c>
      <c r="G4896">
        <v>0.81588352582671797</v>
      </c>
      <c r="H4896" t="str">
        <f t="shared" si="76"/>
        <v>Q4</v>
      </c>
    </row>
    <row r="4897" spans="1:8">
      <c r="A4897">
        <v>802344</v>
      </c>
      <c r="B4897" t="s">
        <v>1545</v>
      </c>
      <c r="C4897">
        <v>45</v>
      </c>
      <c r="D4897">
        <v>2.9221469329463101</v>
      </c>
      <c r="E4897">
        <v>131.496611982584</v>
      </c>
      <c r="F4897">
        <v>0.82069899552311798</v>
      </c>
      <c r="G4897">
        <v>0.81584590496971499</v>
      </c>
      <c r="H4897" t="str">
        <f t="shared" si="76"/>
        <v>Q4</v>
      </c>
    </row>
    <row r="4898" spans="1:8">
      <c r="A4898">
        <v>716344</v>
      </c>
      <c r="B4898" t="s">
        <v>1877</v>
      </c>
      <c r="C4898">
        <v>32</v>
      </c>
      <c r="D4898">
        <v>4.1086865414399698</v>
      </c>
      <c r="E4898">
        <v>131.47796932607901</v>
      </c>
      <c r="F4898">
        <v>0.77096422256498998</v>
      </c>
      <c r="G4898">
        <v>0.815808284112712</v>
      </c>
      <c r="H4898" t="str">
        <f t="shared" si="76"/>
        <v>Q4</v>
      </c>
    </row>
    <row r="4899" spans="1:8">
      <c r="A4899">
        <v>719758</v>
      </c>
      <c r="B4899" t="s">
        <v>4679</v>
      </c>
      <c r="C4899">
        <v>22</v>
      </c>
      <c r="D4899">
        <v>5.9758859432556397</v>
      </c>
      <c r="E4899">
        <v>131.46949075162399</v>
      </c>
      <c r="F4899">
        <v>0.707723561942741</v>
      </c>
      <c r="G4899">
        <v>0.81577066325570902</v>
      </c>
      <c r="H4899" t="str">
        <f t="shared" si="76"/>
        <v>Q3</v>
      </c>
    </row>
    <row r="4900" spans="1:8">
      <c r="A4900">
        <v>708673</v>
      </c>
      <c r="B4900" t="s">
        <v>2782</v>
      </c>
      <c r="C4900">
        <v>50</v>
      </c>
      <c r="D4900">
        <v>2.6273897681385301</v>
      </c>
      <c r="E4900">
        <v>131.369488406926</v>
      </c>
      <c r="F4900">
        <v>0.83559685489635405</v>
      </c>
      <c r="G4900">
        <v>0.81573304239870603</v>
      </c>
      <c r="H4900" t="str">
        <f t="shared" si="76"/>
        <v>Q4</v>
      </c>
    </row>
    <row r="4901" spans="1:8">
      <c r="A4901">
        <v>652361</v>
      </c>
      <c r="B4901" t="s">
        <v>3937</v>
      </c>
      <c r="C4901">
        <v>98</v>
      </c>
      <c r="D4901">
        <v>1.34033206565192</v>
      </c>
      <c r="E4901">
        <v>131.352542433888</v>
      </c>
      <c r="F4901">
        <v>0.90997328919152798</v>
      </c>
      <c r="G4901">
        <v>0.81569542154170305</v>
      </c>
      <c r="H4901" t="str">
        <f t="shared" si="76"/>
        <v>Q4</v>
      </c>
    </row>
    <row r="4902" spans="1:8">
      <c r="A4902">
        <v>724772</v>
      </c>
      <c r="B4902" t="s">
        <v>3933</v>
      </c>
      <c r="C4902">
        <v>189</v>
      </c>
      <c r="D4902">
        <v>0.69487041777748804</v>
      </c>
      <c r="E4902">
        <v>131.33050895994501</v>
      </c>
      <c r="F4902">
        <v>0.95605883902035305</v>
      </c>
      <c r="G4902">
        <v>0.81565780068469995</v>
      </c>
      <c r="H4902" t="str">
        <f t="shared" si="76"/>
        <v>Q2</v>
      </c>
    </row>
    <row r="4903" spans="1:8">
      <c r="A4903">
        <v>812791</v>
      </c>
      <c r="B4903" t="s">
        <v>4643</v>
      </c>
      <c r="C4903">
        <v>20</v>
      </c>
      <c r="D4903">
        <v>6.56288135796785</v>
      </c>
      <c r="E4903">
        <v>131.25762715935701</v>
      </c>
      <c r="F4903">
        <v>0.69196042285843296</v>
      </c>
      <c r="G4903">
        <v>0.81562017982769697</v>
      </c>
      <c r="H4903" t="str">
        <f t="shared" si="76"/>
        <v>Q3</v>
      </c>
    </row>
    <row r="4904" spans="1:8">
      <c r="A4904">
        <v>784855</v>
      </c>
      <c r="B4904" t="s">
        <v>4151</v>
      </c>
      <c r="C4904">
        <v>4</v>
      </c>
      <c r="D4904">
        <v>32.800848037004499</v>
      </c>
      <c r="E4904">
        <v>131.203392148018</v>
      </c>
      <c r="F4904">
        <v>0.33388510590271198</v>
      </c>
      <c r="G4904">
        <v>0.81558255897069298</v>
      </c>
      <c r="H4904" t="str">
        <f t="shared" si="76"/>
        <v>Q3</v>
      </c>
    </row>
    <row r="4905" spans="1:8">
      <c r="A4905">
        <v>681358</v>
      </c>
      <c r="B4905" t="s">
        <v>2813</v>
      </c>
      <c r="C4905">
        <v>53</v>
      </c>
      <c r="D4905">
        <v>2.4755356640045401</v>
      </c>
      <c r="E4905">
        <v>131.20339019223999</v>
      </c>
      <c r="F4905">
        <v>0.84218050487190099</v>
      </c>
      <c r="G4905">
        <v>0.81554493811369</v>
      </c>
      <c r="H4905" t="str">
        <f t="shared" si="76"/>
        <v>Q4</v>
      </c>
    </row>
    <row r="4906" spans="1:8">
      <c r="A4906">
        <v>641008</v>
      </c>
      <c r="B4906" t="s">
        <v>4441</v>
      </c>
      <c r="C4906">
        <v>89</v>
      </c>
      <c r="D4906">
        <v>1.47341453820844</v>
      </c>
      <c r="E4906">
        <v>131.13389390055099</v>
      </c>
      <c r="F4906">
        <v>0.90135811293781298</v>
      </c>
      <c r="G4906">
        <v>0.81550731725668701</v>
      </c>
      <c r="H4906" t="str">
        <f t="shared" si="76"/>
        <v>Q4</v>
      </c>
    </row>
    <row r="4907" spans="1:8">
      <c r="A4907">
        <v>702477</v>
      </c>
      <c r="B4907" t="s">
        <v>3276</v>
      </c>
      <c r="C4907">
        <v>58</v>
      </c>
      <c r="D4907">
        <v>2.2595850429658202</v>
      </c>
      <c r="E4907">
        <v>131.055932492018</v>
      </c>
      <c r="F4907">
        <v>0.853993453970881</v>
      </c>
      <c r="G4907">
        <v>0.81546969639968403</v>
      </c>
      <c r="H4907" t="str">
        <f t="shared" si="76"/>
        <v>Q4</v>
      </c>
    </row>
    <row r="4908" spans="1:8">
      <c r="A4908">
        <v>716335</v>
      </c>
      <c r="B4908" t="s">
        <v>316</v>
      </c>
      <c r="C4908">
        <v>76</v>
      </c>
      <c r="D4908">
        <v>1.72424167700994</v>
      </c>
      <c r="E4908">
        <v>131.042367452756</v>
      </c>
      <c r="F4908">
        <v>0.88612166585154795</v>
      </c>
      <c r="G4908">
        <v>0.81543207554268105</v>
      </c>
      <c r="H4908" t="str">
        <f t="shared" si="76"/>
        <v>Q4</v>
      </c>
    </row>
    <row r="4909" spans="1:8">
      <c r="A4909">
        <v>794643</v>
      </c>
      <c r="B4909" t="s">
        <v>1567</v>
      </c>
      <c r="C4909">
        <v>32</v>
      </c>
      <c r="D4909">
        <v>4.0946504566818502</v>
      </c>
      <c r="E4909">
        <v>131.02881461381901</v>
      </c>
      <c r="F4909">
        <v>0.77096422256498998</v>
      </c>
      <c r="G4909">
        <v>0.81539445468567795</v>
      </c>
      <c r="H4909" t="str">
        <f t="shared" si="76"/>
        <v>Q4</v>
      </c>
    </row>
    <row r="4910" spans="1:8">
      <c r="A4910">
        <v>839158</v>
      </c>
      <c r="B4910" t="s">
        <v>3718</v>
      </c>
      <c r="C4910">
        <v>89</v>
      </c>
      <c r="D4910">
        <v>1.4717577166562299</v>
      </c>
      <c r="E4910">
        <v>130.98643678240501</v>
      </c>
      <c r="F4910">
        <v>0.90135811293781298</v>
      </c>
      <c r="G4910">
        <v>0.81535683382867497</v>
      </c>
      <c r="H4910" t="str">
        <f t="shared" si="76"/>
        <v>Q4</v>
      </c>
    </row>
    <row r="4911" spans="1:8">
      <c r="A4911">
        <v>587677</v>
      </c>
      <c r="B4911" t="s">
        <v>4520</v>
      </c>
      <c r="C4911">
        <v>54</v>
      </c>
      <c r="D4911">
        <v>2.4252667867889</v>
      </c>
      <c r="E4911">
        <v>130.96440648660101</v>
      </c>
      <c r="F4911">
        <v>0.84515255257514799</v>
      </c>
      <c r="G4911">
        <v>0.81531921297167198</v>
      </c>
      <c r="H4911" t="str">
        <f t="shared" si="76"/>
        <v>Q4</v>
      </c>
    </row>
    <row r="4912" spans="1:8">
      <c r="A4912">
        <v>714026</v>
      </c>
      <c r="B4912" t="s">
        <v>3020</v>
      </c>
      <c r="C4912">
        <v>27</v>
      </c>
      <c r="D4912">
        <v>4.8499059139026501</v>
      </c>
      <c r="E4912">
        <v>130.94745967537199</v>
      </c>
      <c r="F4912">
        <v>0.74312478838267904</v>
      </c>
      <c r="G4912">
        <v>0.815281592114668</v>
      </c>
      <c r="H4912" t="str">
        <f t="shared" si="76"/>
        <v>Q4</v>
      </c>
    </row>
    <row r="4913" spans="1:8">
      <c r="A4913">
        <v>639357</v>
      </c>
      <c r="B4913" t="s">
        <v>5190</v>
      </c>
      <c r="C4913">
        <v>9</v>
      </c>
      <c r="D4913">
        <v>14.540866348478501</v>
      </c>
      <c r="E4913">
        <v>130.86779713630699</v>
      </c>
      <c r="F4913">
        <v>0.52428426319551602</v>
      </c>
      <c r="G4913">
        <v>0.81524397125766501</v>
      </c>
      <c r="H4913" t="str">
        <f t="shared" si="76"/>
        <v>Q3</v>
      </c>
    </row>
    <row r="4914" spans="1:8">
      <c r="A4914">
        <v>707767</v>
      </c>
      <c r="B4914" t="s">
        <v>4378</v>
      </c>
      <c r="C4914">
        <v>23</v>
      </c>
      <c r="D4914">
        <v>5.6875462036417899</v>
      </c>
      <c r="E4914">
        <v>130.81356268376101</v>
      </c>
      <c r="F4914">
        <v>0.71547345848538402</v>
      </c>
      <c r="G4914">
        <v>0.81520635040066203</v>
      </c>
      <c r="H4914" t="str">
        <f t="shared" si="76"/>
        <v>Q3</v>
      </c>
    </row>
    <row r="4915" spans="1:8">
      <c r="A4915">
        <v>577425</v>
      </c>
      <c r="B4915" t="s">
        <v>160</v>
      </c>
      <c r="C4915">
        <v>87</v>
      </c>
      <c r="D4915">
        <v>1.50331184696192</v>
      </c>
      <c r="E4915">
        <v>130.78813068568701</v>
      </c>
      <c r="F4915">
        <v>0.89955231180166295</v>
      </c>
      <c r="G4915">
        <v>0.81516872954365904</v>
      </c>
      <c r="H4915" t="str">
        <f t="shared" si="76"/>
        <v>Q4</v>
      </c>
    </row>
    <row r="4916" spans="1:8">
      <c r="A4916">
        <v>712916</v>
      </c>
      <c r="B4916" t="s">
        <v>4597</v>
      </c>
      <c r="C4916">
        <v>49</v>
      </c>
      <c r="D4916">
        <v>2.66907639155278</v>
      </c>
      <c r="E4916">
        <v>130.78474318608599</v>
      </c>
      <c r="F4916">
        <v>0.83258718633610496</v>
      </c>
      <c r="G4916">
        <v>0.81513110868665595</v>
      </c>
      <c r="H4916" t="str">
        <f t="shared" si="76"/>
        <v>Q4</v>
      </c>
    </row>
    <row r="4917" spans="1:8">
      <c r="A4917">
        <v>816313</v>
      </c>
      <c r="B4917" t="s">
        <v>3910</v>
      </c>
      <c r="C4917">
        <v>6</v>
      </c>
      <c r="D4917">
        <v>21.789548049370399</v>
      </c>
      <c r="E4917">
        <v>130.737288296223</v>
      </c>
      <c r="F4917">
        <v>0.428463940408563</v>
      </c>
      <c r="G4917">
        <v>0.81509348782965296</v>
      </c>
      <c r="H4917" t="str">
        <f t="shared" si="76"/>
        <v>Q3</v>
      </c>
    </row>
    <row r="4918" spans="1:8">
      <c r="A4918">
        <v>853090</v>
      </c>
      <c r="B4918" t="s">
        <v>557</v>
      </c>
      <c r="C4918">
        <v>29</v>
      </c>
      <c r="D4918">
        <v>4.5044419387805004</v>
      </c>
      <c r="E4918">
        <v>130.62881622463499</v>
      </c>
      <c r="F4918">
        <v>0.75501297919566601</v>
      </c>
      <c r="G4918">
        <v>0.81505586697264998</v>
      </c>
      <c r="H4918" t="str">
        <f t="shared" si="76"/>
        <v>Q4</v>
      </c>
    </row>
    <row r="4919" spans="1:8">
      <c r="A4919">
        <v>739939</v>
      </c>
      <c r="B4919" t="s">
        <v>489</v>
      </c>
      <c r="C4919">
        <v>24</v>
      </c>
      <c r="D4919">
        <v>5.4421610121304802</v>
      </c>
      <c r="E4919">
        <v>130.61186429113101</v>
      </c>
      <c r="F4919">
        <v>0.72284714645799597</v>
      </c>
      <c r="G4919">
        <v>0.81501824611564699</v>
      </c>
      <c r="H4919" t="str">
        <f t="shared" si="76"/>
        <v>Q3</v>
      </c>
    </row>
    <row r="4920" spans="1:8">
      <c r="A4920">
        <v>762666</v>
      </c>
      <c r="B4920" t="s">
        <v>1145</v>
      </c>
      <c r="C4920">
        <v>37</v>
      </c>
      <c r="D4920">
        <v>3.5281264349012802</v>
      </c>
      <c r="E4920">
        <v>130.54067809134699</v>
      </c>
      <c r="F4920">
        <v>0.79304766562582296</v>
      </c>
      <c r="G4920">
        <v>0.81498062525864301</v>
      </c>
      <c r="H4920" t="str">
        <f t="shared" si="76"/>
        <v>Q4</v>
      </c>
    </row>
    <row r="4921" spans="1:8">
      <c r="A4921">
        <v>774679</v>
      </c>
      <c r="B4921" t="s">
        <v>2258</v>
      </c>
      <c r="C4921">
        <v>17</v>
      </c>
      <c r="D4921">
        <v>7.6763709020965196</v>
      </c>
      <c r="E4921">
        <v>130.49830533564099</v>
      </c>
      <c r="F4921">
        <v>0.65926789812271902</v>
      </c>
      <c r="G4921">
        <v>0.81494300440164003</v>
      </c>
      <c r="H4921" t="str">
        <f t="shared" si="76"/>
        <v>Q3</v>
      </c>
    </row>
    <row r="4922" spans="1:8">
      <c r="A4922">
        <v>725353</v>
      </c>
      <c r="B4922" t="s">
        <v>3298</v>
      </c>
      <c r="C4922">
        <v>21</v>
      </c>
      <c r="D4922">
        <v>6.21178363937707</v>
      </c>
      <c r="E4922">
        <v>130.44745642691899</v>
      </c>
      <c r="F4922">
        <v>0.70008652797110704</v>
      </c>
      <c r="G4922">
        <v>0.81490538354463704</v>
      </c>
      <c r="H4922" t="str">
        <f t="shared" si="76"/>
        <v>Q3</v>
      </c>
    </row>
    <row r="4923" spans="1:8">
      <c r="A4923">
        <v>732386</v>
      </c>
      <c r="B4923" t="s">
        <v>553</v>
      </c>
      <c r="C4923">
        <v>33</v>
      </c>
      <c r="D4923">
        <v>3.9511042675285601</v>
      </c>
      <c r="E4923">
        <v>130.386440828443</v>
      </c>
      <c r="F4923">
        <v>0.77551634626236798</v>
      </c>
      <c r="G4923">
        <v>0.81486776268763395</v>
      </c>
      <c r="H4923" t="str">
        <f t="shared" si="76"/>
        <v>Q4</v>
      </c>
    </row>
    <row r="4924" spans="1:8">
      <c r="A4924">
        <v>568767</v>
      </c>
      <c r="B4924" t="s">
        <v>5033</v>
      </c>
      <c r="C4924">
        <v>44</v>
      </c>
      <c r="D4924">
        <v>2.9630200217731999</v>
      </c>
      <c r="E4924">
        <v>130.372880958021</v>
      </c>
      <c r="F4924">
        <v>0.817689326962868</v>
      </c>
      <c r="G4924">
        <v>0.81483014183063096</v>
      </c>
      <c r="H4924" t="str">
        <f t="shared" si="76"/>
        <v>Q4</v>
      </c>
    </row>
    <row r="4925" spans="1:8">
      <c r="A4925">
        <v>716382</v>
      </c>
      <c r="B4925" t="s">
        <v>624</v>
      </c>
      <c r="C4925">
        <v>16</v>
      </c>
      <c r="D4925">
        <v>8.1473517697304505</v>
      </c>
      <c r="E4925">
        <v>130.35762831568701</v>
      </c>
      <c r="F4925">
        <v>0.64756781159474797</v>
      </c>
      <c r="G4925">
        <v>0.81479252097362798</v>
      </c>
      <c r="H4925" t="str">
        <f t="shared" si="76"/>
        <v>Q3</v>
      </c>
    </row>
    <row r="4926" spans="1:8">
      <c r="A4926">
        <v>723371</v>
      </c>
      <c r="B4926" t="s">
        <v>2838</v>
      </c>
      <c r="C4926">
        <v>54</v>
      </c>
      <c r="D4926">
        <v>2.4134651468894299</v>
      </c>
      <c r="E4926">
        <v>130.32711793202901</v>
      </c>
      <c r="F4926">
        <v>0.84515255257514799</v>
      </c>
      <c r="G4926">
        <v>0.81475490011662499</v>
      </c>
      <c r="H4926" t="str">
        <f t="shared" si="76"/>
        <v>Q4</v>
      </c>
    </row>
    <row r="4927" spans="1:8">
      <c r="A4927">
        <v>757971</v>
      </c>
      <c r="B4927" t="s">
        <v>1977</v>
      </c>
      <c r="C4927">
        <v>64</v>
      </c>
      <c r="D4927">
        <v>2.0359638991067199</v>
      </c>
      <c r="E4927">
        <v>130.30168954282999</v>
      </c>
      <c r="F4927">
        <v>0.86633309506790601</v>
      </c>
      <c r="G4927">
        <v>0.81471727925962201</v>
      </c>
      <c r="H4927" t="str">
        <f t="shared" si="76"/>
        <v>Q4</v>
      </c>
    </row>
    <row r="4928" spans="1:8">
      <c r="A4928">
        <v>622961</v>
      </c>
      <c r="B4928" t="s">
        <v>712</v>
      </c>
      <c r="C4928">
        <v>25</v>
      </c>
      <c r="D4928">
        <v>5.2120001018047297</v>
      </c>
      <c r="E4928">
        <v>130.30000254511799</v>
      </c>
      <c r="F4928">
        <v>0.72991986757458305</v>
      </c>
      <c r="G4928">
        <v>0.81467965840261802</v>
      </c>
      <c r="H4928" t="str">
        <f t="shared" si="76"/>
        <v>Q3</v>
      </c>
    </row>
    <row r="4929" spans="1:8">
      <c r="A4929">
        <v>654383</v>
      </c>
      <c r="B4929" t="s">
        <v>3208</v>
      </c>
      <c r="C4929">
        <v>39</v>
      </c>
      <c r="D4929">
        <v>3.3405909792352899</v>
      </c>
      <c r="E4929">
        <v>130.283048190176</v>
      </c>
      <c r="F4929">
        <v>0.80087280388247195</v>
      </c>
      <c r="G4929">
        <v>0.81464203754561504</v>
      </c>
      <c r="H4929" t="str">
        <f t="shared" si="76"/>
        <v>Q4</v>
      </c>
    </row>
    <row r="4930" spans="1:8">
      <c r="A4930">
        <v>763843</v>
      </c>
      <c r="B4930" t="s">
        <v>4601</v>
      </c>
      <c r="C4930">
        <v>42</v>
      </c>
      <c r="D4930">
        <v>3.09995958980705</v>
      </c>
      <c r="E4930">
        <v>130.19830277189601</v>
      </c>
      <c r="F4930">
        <v>0.81103043527331597</v>
      </c>
      <c r="G4930">
        <v>0.81460441668861205</v>
      </c>
      <c r="H4930" t="str">
        <f t="shared" si="76"/>
        <v>Q4</v>
      </c>
    </row>
    <row r="4931" spans="1:8">
      <c r="A4931">
        <v>560268</v>
      </c>
      <c r="B4931" t="s">
        <v>4968</v>
      </c>
      <c r="C4931">
        <v>105</v>
      </c>
      <c r="D4931">
        <v>1.2395318868082199</v>
      </c>
      <c r="E4931">
        <v>130.15084811486301</v>
      </c>
      <c r="F4931">
        <v>0.91618073059704297</v>
      </c>
      <c r="G4931">
        <v>0.81456679583160896</v>
      </c>
      <c r="H4931" t="str">
        <f t="shared" ref="H4931:H4994" si="77">IF(C4931&gt;$J$2,
   IF(D4931&gt;$J$3,"Q1","Q2"),
   IF(D4931&gt;$J$3,"Q3","Q4"))</f>
        <v>Q4</v>
      </c>
    </row>
    <row r="4932" spans="1:8">
      <c r="A4932">
        <v>681274</v>
      </c>
      <c r="B4932" t="s">
        <v>3326</v>
      </c>
      <c r="C4932">
        <v>53</v>
      </c>
      <c r="D4932">
        <v>2.45516463270727</v>
      </c>
      <c r="E4932">
        <v>130.12372553348499</v>
      </c>
      <c r="F4932">
        <v>0.84218050487190099</v>
      </c>
      <c r="G4932">
        <v>0.81452917497460597</v>
      </c>
      <c r="H4932" t="str">
        <f t="shared" si="77"/>
        <v>Q4</v>
      </c>
    </row>
    <row r="4933" spans="1:8">
      <c r="A4933">
        <v>794806</v>
      </c>
      <c r="B4933" t="s">
        <v>1669</v>
      </c>
      <c r="C4933">
        <v>60</v>
      </c>
      <c r="D4933">
        <v>2.1686440620881799</v>
      </c>
      <c r="E4933">
        <v>130.11864372529101</v>
      </c>
      <c r="F4933">
        <v>0.85805650652721899</v>
      </c>
      <c r="G4933">
        <v>0.81449155411760299</v>
      </c>
      <c r="H4933" t="str">
        <f t="shared" si="77"/>
        <v>Q4</v>
      </c>
    </row>
    <row r="4934" spans="1:8">
      <c r="A4934">
        <v>702936</v>
      </c>
      <c r="B4934" t="s">
        <v>4681</v>
      </c>
      <c r="C4934">
        <v>36</v>
      </c>
      <c r="D4934">
        <v>3.61407719707737</v>
      </c>
      <c r="E4934">
        <v>130.106779094785</v>
      </c>
      <c r="F4934">
        <v>0.78890937135547901</v>
      </c>
      <c r="G4934">
        <v>0.8144539332606</v>
      </c>
      <c r="H4934" t="str">
        <f t="shared" si="77"/>
        <v>Q4</v>
      </c>
    </row>
    <row r="4935" spans="1:8">
      <c r="A4935">
        <v>748760</v>
      </c>
      <c r="B4935" t="s">
        <v>393</v>
      </c>
      <c r="C4935">
        <v>12</v>
      </c>
      <c r="D4935">
        <v>10.8413840954502</v>
      </c>
      <c r="E4935">
        <v>130.09660914540299</v>
      </c>
      <c r="F4935">
        <v>0.58748730296076102</v>
      </c>
      <c r="G4935">
        <v>0.81441631240359702</v>
      </c>
      <c r="H4935" t="str">
        <f t="shared" si="77"/>
        <v>Q3</v>
      </c>
    </row>
    <row r="4936" spans="1:8">
      <c r="A4936">
        <v>786082</v>
      </c>
      <c r="B4936" t="s">
        <v>4415</v>
      </c>
      <c r="C4936">
        <v>29</v>
      </c>
      <c r="D4936">
        <v>4.4859730991823898</v>
      </c>
      <c r="E4936">
        <v>130.093219876289</v>
      </c>
      <c r="F4936">
        <v>0.75501297919566601</v>
      </c>
      <c r="G4936">
        <v>0.81437869154659304</v>
      </c>
      <c r="H4936" t="str">
        <f t="shared" si="77"/>
        <v>Q4</v>
      </c>
    </row>
    <row r="4937" spans="1:8">
      <c r="A4937">
        <v>739243</v>
      </c>
      <c r="B4937" t="s">
        <v>1426</v>
      </c>
      <c r="C4937">
        <v>31</v>
      </c>
      <c r="D4937">
        <v>4.1957354473490902</v>
      </c>
      <c r="E4937">
        <v>130.06779886782201</v>
      </c>
      <c r="F4937">
        <v>0.766073511154584</v>
      </c>
      <c r="G4937">
        <v>0.81434107068959005</v>
      </c>
      <c r="H4937" t="str">
        <f t="shared" si="77"/>
        <v>Q4</v>
      </c>
    </row>
    <row r="4938" spans="1:8">
      <c r="A4938">
        <v>841807</v>
      </c>
      <c r="B4938" t="s">
        <v>273</v>
      </c>
      <c r="C4938">
        <v>33</v>
      </c>
      <c r="D4938">
        <v>3.9414483940962599</v>
      </c>
      <c r="E4938">
        <v>130.067797005177</v>
      </c>
      <c r="F4938">
        <v>0.77551634626236798</v>
      </c>
      <c r="G4938">
        <v>0.81430344983258696</v>
      </c>
      <c r="H4938" t="str">
        <f t="shared" si="77"/>
        <v>Q4</v>
      </c>
    </row>
    <row r="4939" spans="1:8">
      <c r="A4939">
        <v>587524</v>
      </c>
      <c r="B4939" t="s">
        <v>3510</v>
      </c>
      <c r="C4939">
        <v>19</v>
      </c>
      <c r="D4939">
        <v>6.8421945171920902</v>
      </c>
      <c r="E4939">
        <v>130.00169582665001</v>
      </c>
      <c r="F4939">
        <v>0.68195327489560198</v>
      </c>
      <c r="G4939">
        <v>0.81426582897558397</v>
      </c>
      <c r="H4939" t="str">
        <f t="shared" si="77"/>
        <v>Q3</v>
      </c>
    </row>
    <row r="4940" spans="1:8">
      <c r="A4940">
        <v>756904</v>
      </c>
      <c r="B4940" t="s">
        <v>1504</v>
      </c>
      <c r="C4940">
        <v>45</v>
      </c>
      <c r="D4940">
        <v>2.8882485897176799</v>
      </c>
      <c r="E4940">
        <v>129.97118653729601</v>
      </c>
      <c r="F4940">
        <v>0.82069899552311798</v>
      </c>
      <c r="G4940">
        <v>0.81422820811858099</v>
      </c>
      <c r="H4940" t="str">
        <f t="shared" si="77"/>
        <v>Q4</v>
      </c>
    </row>
    <row r="4941" spans="1:8">
      <c r="A4941">
        <v>780392</v>
      </c>
      <c r="B4941" t="s">
        <v>1353</v>
      </c>
      <c r="C4941">
        <v>23</v>
      </c>
      <c r="D4941">
        <v>5.6455417495706799</v>
      </c>
      <c r="E4941">
        <v>129.847460240126</v>
      </c>
      <c r="F4941">
        <v>0.71547345848538402</v>
      </c>
      <c r="G4941">
        <v>0.814190587261578</v>
      </c>
      <c r="H4941" t="str">
        <f t="shared" si="77"/>
        <v>Q3</v>
      </c>
    </row>
    <row r="4942" spans="1:8">
      <c r="A4942">
        <v>715546</v>
      </c>
      <c r="B4942" t="s">
        <v>1943</v>
      </c>
      <c r="C4942">
        <v>34</v>
      </c>
      <c r="D4942">
        <v>3.8189930567408301</v>
      </c>
      <c r="E4942">
        <v>129.845763929188</v>
      </c>
      <c r="F4942">
        <v>0.77969226138971404</v>
      </c>
      <c r="G4942">
        <v>0.81415296640457502</v>
      </c>
      <c r="H4942" t="str">
        <f t="shared" si="77"/>
        <v>Q4</v>
      </c>
    </row>
    <row r="4943" spans="1:8">
      <c r="A4943">
        <v>586955</v>
      </c>
      <c r="B4943" t="s">
        <v>2129</v>
      </c>
      <c r="C4943">
        <v>83</v>
      </c>
      <c r="D4943">
        <v>1.5642637720735499</v>
      </c>
      <c r="E4943">
        <v>129.83389308210499</v>
      </c>
      <c r="F4943">
        <v>0.89530115496031004</v>
      </c>
      <c r="G4943">
        <v>0.81411534554757203</v>
      </c>
      <c r="H4943" t="str">
        <f t="shared" si="77"/>
        <v>Q4</v>
      </c>
    </row>
    <row r="4944" spans="1:8">
      <c r="A4944">
        <v>627107</v>
      </c>
      <c r="B4944" t="s">
        <v>1553</v>
      </c>
      <c r="C4944">
        <v>74</v>
      </c>
      <c r="D4944">
        <v>1.7530004028230901</v>
      </c>
      <c r="E4944">
        <v>129.72202980890901</v>
      </c>
      <c r="F4944">
        <v>0.88307437643429498</v>
      </c>
      <c r="G4944">
        <v>0.81407772469056805</v>
      </c>
      <c r="H4944" t="str">
        <f t="shared" si="77"/>
        <v>Q4</v>
      </c>
    </row>
    <row r="4945" spans="1:8">
      <c r="A4945">
        <v>750980</v>
      </c>
      <c r="B4945" t="s">
        <v>2895</v>
      </c>
      <c r="C4945">
        <v>23</v>
      </c>
      <c r="D4945">
        <v>5.6394990371621203</v>
      </c>
      <c r="E4945">
        <v>129.70847785472901</v>
      </c>
      <c r="F4945">
        <v>0.71547345848538402</v>
      </c>
      <c r="G4945">
        <v>0.81404010383356495</v>
      </c>
      <c r="H4945" t="str">
        <f t="shared" si="77"/>
        <v>Q3</v>
      </c>
    </row>
    <row r="4946" spans="1:8">
      <c r="A4946">
        <v>826760</v>
      </c>
      <c r="B4946" t="s">
        <v>1219</v>
      </c>
      <c r="C4946">
        <v>31</v>
      </c>
      <c r="D4946">
        <v>4.1839803959573496</v>
      </c>
      <c r="E4946">
        <v>129.70339227467801</v>
      </c>
      <c r="F4946">
        <v>0.766073511154584</v>
      </c>
      <c r="G4946">
        <v>0.81400248297656197</v>
      </c>
      <c r="H4946" t="str">
        <f t="shared" si="77"/>
        <v>Q4</v>
      </c>
    </row>
    <row r="4947" spans="1:8">
      <c r="A4947">
        <v>760458</v>
      </c>
      <c r="B4947" t="s">
        <v>5273</v>
      </c>
      <c r="C4947">
        <v>15</v>
      </c>
      <c r="D4947">
        <v>8.6421468605597802</v>
      </c>
      <c r="E4947">
        <v>129.63220290839701</v>
      </c>
      <c r="F4947">
        <v>0.63496482449870195</v>
      </c>
      <c r="G4947">
        <v>0.81396486211955899</v>
      </c>
      <c r="H4947" t="str">
        <f t="shared" si="77"/>
        <v>Q3</v>
      </c>
    </row>
    <row r="4948" spans="1:8">
      <c r="A4948">
        <v>807522</v>
      </c>
      <c r="B4948" t="s">
        <v>1158</v>
      </c>
      <c r="C4948">
        <v>43</v>
      </c>
      <c r="D4948">
        <v>3.0145446704917198</v>
      </c>
      <c r="E4948">
        <v>129.625420831144</v>
      </c>
      <c r="F4948">
        <v>0.81437869154659304</v>
      </c>
      <c r="G4948">
        <v>0.813927241262556</v>
      </c>
      <c r="H4948" t="str">
        <f t="shared" si="77"/>
        <v>Q4</v>
      </c>
    </row>
    <row r="4949" spans="1:8">
      <c r="A4949">
        <v>770253</v>
      </c>
      <c r="B4949" t="s">
        <v>2829</v>
      </c>
      <c r="C4949">
        <v>39</v>
      </c>
      <c r="D4949">
        <v>3.3217730717017102</v>
      </c>
      <c r="E4949">
        <v>129.549149796367</v>
      </c>
      <c r="F4949">
        <v>0.80087280388247195</v>
      </c>
      <c r="G4949">
        <v>0.81388962040555302</v>
      </c>
      <c r="H4949" t="str">
        <f t="shared" si="77"/>
        <v>Q4</v>
      </c>
    </row>
    <row r="4950" spans="1:8">
      <c r="A4950">
        <v>788689</v>
      </c>
      <c r="B4950" t="s">
        <v>1991</v>
      </c>
      <c r="C4950">
        <v>20</v>
      </c>
      <c r="D4950">
        <v>6.4773728139698497</v>
      </c>
      <c r="E4950">
        <v>129.54745627939701</v>
      </c>
      <c r="F4950">
        <v>0.69196042285843296</v>
      </c>
      <c r="G4950">
        <v>0.81385199954855003</v>
      </c>
      <c r="H4950" t="str">
        <f t="shared" si="77"/>
        <v>Q3</v>
      </c>
    </row>
    <row r="4951" spans="1:8">
      <c r="A4951">
        <v>756870</v>
      </c>
      <c r="B4951" t="s">
        <v>4489</v>
      </c>
      <c r="C4951">
        <v>46</v>
      </c>
      <c r="D4951">
        <v>2.8145541659677802</v>
      </c>
      <c r="E4951">
        <v>129.46949163451799</v>
      </c>
      <c r="F4951">
        <v>0.82378390579737404</v>
      </c>
      <c r="G4951">
        <v>0.81381437869154705</v>
      </c>
      <c r="H4951" t="str">
        <f t="shared" si="77"/>
        <v>Q4</v>
      </c>
    </row>
    <row r="4952" spans="1:8">
      <c r="A4952">
        <v>684325</v>
      </c>
      <c r="B4952" t="s">
        <v>4468</v>
      </c>
      <c r="C4952">
        <v>46</v>
      </c>
      <c r="D4952">
        <v>2.8136330039199899</v>
      </c>
      <c r="E4952">
        <v>129.42711818032001</v>
      </c>
      <c r="F4952">
        <v>0.82378390579737404</v>
      </c>
      <c r="G4952">
        <v>0.81377675783454395</v>
      </c>
      <c r="H4952" t="str">
        <f t="shared" si="77"/>
        <v>Q4</v>
      </c>
    </row>
    <row r="4953" spans="1:8">
      <c r="A4953">
        <v>770916</v>
      </c>
      <c r="B4953" t="s">
        <v>1495</v>
      </c>
      <c r="C4953">
        <v>63</v>
      </c>
      <c r="D4953">
        <v>2.05334947474064</v>
      </c>
      <c r="E4953">
        <v>129.36101690866099</v>
      </c>
      <c r="F4953">
        <v>0.86445205221775001</v>
      </c>
      <c r="G4953">
        <v>0.81373913697753997</v>
      </c>
      <c r="H4953" t="str">
        <f t="shared" si="77"/>
        <v>Q4</v>
      </c>
    </row>
    <row r="4954" spans="1:8">
      <c r="A4954">
        <v>707215</v>
      </c>
      <c r="B4954" t="s">
        <v>4241</v>
      </c>
      <c r="C4954">
        <v>63</v>
      </c>
      <c r="D4954">
        <v>2.0529458269713401</v>
      </c>
      <c r="E4954">
        <v>129.33558709919501</v>
      </c>
      <c r="F4954">
        <v>0.86445205221775001</v>
      </c>
      <c r="G4954">
        <v>0.81370151612053698</v>
      </c>
      <c r="H4954" t="str">
        <f t="shared" si="77"/>
        <v>Q4</v>
      </c>
    </row>
    <row r="4955" spans="1:8">
      <c r="A4955">
        <v>663434</v>
      </c>
      <c r="B4955" t="s">
        <v>2616</v>
      </c>
      <c r="C4955">
        <v>39</v>
      </c>
      <c r="D4955">
        <v>3.31512386791217</v>
      </c>
      <c r="E4955">
        <v>129.28983084857501</v>
      </c>
      <c r="F4955">
        <v>0.80087280388247195</v>
      </c>
      <c r="G4955">
        <v>0.813663895263534</v>
      </c>
      <c r="H4955" t="str">
        <f t="shared" si="77"/>
        <v>Q4</v>
      </c>
    </row>
    <row r="4956" spans="1:8">
      <c r="A4956">
        <v>771681</v>
      </c>
      <c r="B4956" t="s">
        <v>3156</v>
      </c>
      <c r="C4956">
        <v>26</v>
      </c>
      <c r="D4956">
        <v>4.9723599249353798</v>
      </c>
      <c r="E4956">
        <v>129.28135804831999</v>
      </c>
      <c r="F4956">
        <v>0.73706783040517698</v>
      </c>
      <c r="G4956">
        <v>0.81362627440653101</v>
      </c>
      <c r="H4956" t="str">
        <f t="shared" si="77"/>
        <v>Q3</v>
      </c>
    </row>
    <row r="4957" spans="1:8">
      <c r="A4957">
        <v>778342</v>
      </c>
      <c r="B4957" t="s">
        <v>1557</v>
      </c>
      <c r="C4957">
        <v>45</v>
      </c>
      <c r="D4957">
        <v>2.8707721291316899</v>
      </c>
      <c r="E4957">
        <v>129.18474581092599</v>
      </c>
      <c r="F4957">
        <v>0.82069899552311798</v>
      </c>
      <c r="G4957">
        <v>0.81358865354952803</v>
      </c>
      <c r="H4957" t="str">
        <f t="shared" si="77"/>
        <v>Q4</v>
      </c>
    </row>
    <row r="4958" spans="1:8">
      <c r="A4958">
        <v>449570</v>
      </c>
      <c r="B4958" t="s">
        <v>1065</v>
      </c>
      <c r="C4958">
        <v>46</v>
      </c>
      <c r="D4958">
        <v>2.80803242374374</v>
      </c>
      <c r="E4958">
        <v>129.16949149221199</v>
      </c>
      <c r="F4958">
        <v>0.82378390579737404</v>
      </c>
      <c r="G4958">
        <v>0.81355103269252504</v>
      </c>
      <c r="H4958" t="str">
        <f t="shared" si="77"/>
        <v>Q4</v>
      </c>
    </row>
    <row r="4959" spans="1:8">
      <c r="A4959">
        <v>657395</v>
      </c>
      <c r="B4959" t="s">
        <v>1623</v>
      </c>
      <c r="C4959">
        <v>64</v>
      </c>
      <c r="D4959">
        <v>2.0181937925372</v>
      </c>
      <c r="E4959">
        <v>129.164402722381</v>
      </c>
      <c r="F4959">
        <v>0.86633309506790601</v>
      </c>
      <c r="G4959">
        <v>0.81351341183552195</v>
      </c>
      <c r="H4959" t="str">
        <f t="shared" si="77"/>
        <v>Q4</v>
      </c>
    </row>
    <row r="4960" spans="1:8">
      <c r="A4960">
        <v>676580</v>
      </c>
      <c r="B4960" t="s">
        <v>604</v>
      </c>
      <c r="C4960">
        <v>69</v>
      </c>
      <c r="D4960">
        <v>1.8716776811018401</v>
      </c>
      <c r="E4960">
        <v>129.14575999602701</v>
      </c>
      <c r="F4960">
        <v>0.87393250818253598</v>
      </c>
      <c r="G4960">
        <v>0.81347579097851896</v>
      </c>
      <c r="H4960" t="str">
        <f t="shared" si="77"/>
        <v>Q4</v>
      </c>
    </row>
    <row r="4961" spans="1:8">
      <c r="A4961">
        <v>769561</v>
      </c>
      <c r="B4961" t="s">
        <v>1464</v>
      </c>
      <c r="C4961">
        <v>54</v>
      </c>
      <c r="D4961">
        <v>2.39143126678688</v>
      </c>
      <c r="E4961">
        <v>129.137288406491</v>
      </c>
      <c r="F4961">
        <v>0.84515255257514799</v>
      </c>
      <c r="G4961">
        <v>0.81343817012151498</v>
      </c>
      <c r="H4961" t="str">
        <f t="shared" si="77"/>
        <v>Q4</v>
      </c>
    </row>
    <row r="4962" spans="1:8">
      <c r="A4962">
        <v>711938</v>
      </c>
      <c r="B4962" t="s">
        <v>922</v>
      </c>
      <c r="C4962">
        <v>58</v>
      </c>
      <c r="D4962">
        <v>2.22548217881985</v>
      </c>
      <c r="E4962">
        <v>129.07796637155101</v>
      </c>
      <c r="F4962">
        <v>0.853993453970881</v>
      </c>
      <c r="G4962">
        <v>0.813400549264512</v>
      </c>
      <c r="H4962" t="str">
        <f t="shared" si="77"/>
        <v>Q4</v>
      </c>
    </row>
    <row r="4963" spans="1:8">
      <c r="A4963">
        <v>758141</v>
      </c>
      <c r="B4963" t="s">
        <v>2878</v>
      </c>
      <c r="C4963">
        <v>22</v>
      </c>
      <c r="D4963">
        <v>5.8667951136488803</v>
      </c>
      <c r="E4963">
        <v>129.069492500275</v>
      </c>
      <c r="F4963">
        <v>0.707723561942741</v>
      </c>
      <c r="G4963">
        <v>0.81336292840750901</v>
      </c>
      <c r="H4963" t="str">
        <f t="shared" si="77"/>
        <v>Q3</v>
      </c>
    </row>
    <row r="4964" spans="1:8">
      <c r="A4964">
        <v>671553</v>
      </c>
      <c r="B4964" t="s">
        <v>823</v>
      </c>
      <c r="C4964">
        <v>80</v>
      </c>
      <c r="D4964">
        <v>1.6129024769179501</v>
      </c>
      <c r="E4964">
        <v>129.03219815343601</v>
      </c>
      <c r="F4964">
        <v>0.89150144840299494</v>
      </c>
      <c r="G4964">
        <v>0.81332530755050603</v>
      </c>
      <c r="H4964" t="str">
        <f t="shared" si="77"/>
        <v>Q4</v>
      </c>
    </row>
    <row r="4965" spans="1:8">
      <c r="A4965">
        <v>795243</v>
      </c>
      <c r="B4965" t="s">
        <v>5146</v>
      </c>
      <c r="C4965">
        <v>54</v>
      </c>
      <c r="D4965">
        <v>2.3887633466748199</v>
      </c>
      <c r="E4965">
        <v>128.99322072044001</v>
      </c>
      <c r="F4965">
        <v>0.84515255257514799</v>
      </c>
      <c r="G4965">
        <v>0.81328768669350304</v>
      </c>
      <c r="H4965" t="str">
        <f t="shared" si="77"/>
        <v>Q4</v>
      </c>
    </row>
    <row r="4966" spans="1:8">
      <c r="A4966">
        <v>611032</v>
      </c>
      <c r="B4966" t="s">
        <v>3754</v>
      </c>
      <c r="C4966">
        <v>55</v>
      </c>
      <c r="D4966">
        <v>2.3451771637932799</v>
      </c>
      <c r="E4966">
        <v>128.984744008631</v>
      </c>
      <c r="F4966">
        <v>0.84763552913735396</v>
      </c>
      <c r="G4966">
        <v>0.81325006583649995</v>
      </c>
      <c r="H4966" t="str">
        <f t="shared" si="77"/>
        <v>Q4</v>
      </c>
    </row>
    <row r="4967" spans="1:8">
      <c r="A4967">
        <v>723295</v>
      </c>
      <c r="B4967" t="s">
        <v>4698</v>
      </c>
      <c r="C4967">
        <v>20</v>
      </c>
      <c r="D4967">
        <v>6.4476270787417898</v>
      </c>
      <c r="E4967">
        <v>128.952541574836</v>
      </c>
      <c r="F4967">
        <v>0.69196042285843296</v>
      </c>
      <c r="G4967">
        <v>0.81321244497949696</v>
      </c>
      <c r="H4967" t="str">
        <f t="shared" si="77"/>
        <v>Q3</v>
      </c>
    </row>
    <row r="4968" spans="1:8">
      <c r="A4968">
        <v>839496</v>
      </c>
      <c r="B4968" t="s">
        <v>1334</v>
      </c>
      <c r="C4968">
        <v>60</v>
      </c>
      <c r="D4968">
        <v>2.1483332446465901</v>
      </c>
      <c r="E4968">
        <v>128.899994678795</v>
      </c>
      <c r="F4968">
        <v>0.85805650652721899</v>
      </c>
      <c r="G4968">
        <v>0.81317482412249398</v>
      </c>
      <c r="H4968" t="str">
        <f t="shared" si="77"/>
        <v>Q4</v>
      </c>
    </row>
    <row r="4969" spans="1:8">
      <c r="A4969">
        <v>841428</v>
      </c>
      <c r="B4969" t="s">
        <v>902</v>
      </c>
      <c r="C4969">
        <v>21</v>
      </c>
      <c r="D4969">
        <v>6.1315576590242804</v>
      </c>
      <c r="E4969">
        <v>128.76271083950999</v>
      </c>
      <c r="F4969">
        <v>0.70008652797110704</v>
      </c>
      <c r="G4969">
        <v>0.81313720326548999</v>
      </c>
      <c r="H4969" t="str">
        <f t="shared" si="77"/>
        <v>Q3</v>
      </c>
    </row>
    <row r="4970" spans="1:8">
      <c r="A4970">
        <v>567535</v>
      </c>
      <c r="B4970" t="s">
        <v>3001</v>
      </c>
      <c r="C4970">
        <v>65</v>
      </c>
      <c r="D4970">
        <v>1.98020852099244</v>
      </c>
      <c r="E4970">
        <v>128.71355386450901</v>
      </c>
      <c r="F4970">
        <v>0.86802603363304598</v>
      </c>
      <c r="G4970">
        <v>0.81309958240848701</v>
      </c>
      <c r="H4970" t="str">
        <f t="shared" si="77"/>
        <v>Q4</v>
      </c>
    </row>
    <row r="4971" spans="1:8">
      <c r="A4971">
        <v>638048</v>
      </c>
      <c r="B4971" t="s">
        <v>1002</v>
      </c>
      <c r="C4971">
        <v>25</v>
      </c>
      <c r="D4971">
        <v>5.1471865922212601</v>
      </c>
      <c r="E4971">
        <v>128.67966480553201</v>
      </c>
      <c r="F4971">
        <v>0.72991986757458305</v>
      </c>
      <c r="G4971">
        <v>0.81306196155148402</v>
      </c>
      <c r="H4971" t="str">
        <f t="shared" si="77"/>
        <v>Q3</v>
      </c>
    </row>
    <row r="4972" spans="1:8">
      <c r="A4972">
        <v>735539</v>
      </c>
      <c r="B4972" t="s">
        <v>1537</v>
      </c>
      <c r="C4972">
        <v>53</v>
      </c>
      <c r="D4972">
        <v>2.4279181441327302</v>
      </c>
      <c r="E4972">
        <v>128.679661639035</v>
      </c>
      <c r="F4972">
        <v>0.84218050487190099</v>
      </c>
      <c r="G4972">
        <v>0.81302434069448104</v>
      </c>
      <c r="H4972" t="str">
        <f t="shared" si="77"/>
        <v>Q4</v>
      </c>
    </row>
    <row r="4973" spans="1:8">
      <c r="A4973">
        <v>783398</v>
      </c>
      <c r="B4973" t="s">
        <v>4803</v>
      </c>
      <c r="C4973">
        <v>28</v>
      </c>
      <c r="D4973">
        <v>4.5955206533627804</v>
      </c>
      <c r="E4973">
        <v>128.67457829415801</v>
      </c>
      <c r="F4973">
        <v>0.74974605921522897</v>
      </c>
      <c r="G4973">
        <v>0.81298671983747794</v>
      </c>
      <c r="H4973" t="str">
        <f t="shared" si="77"/>
        <v>Q4</v>
      </c>
    </row>
    <row r="4974" spans="1:8">
      <c r="A4974">
        <v>797892</v>
      </c>
      <c r="B4974" t="s">
        <v>1494</v>
      </c>
      <c r="C4974">
        <v>39</v>
      </c>
      <c r="D4974">
        <v>3.2966970442197301</v>
      </c>
      <c r="E4974">
        <v>128.57118472456901</v>
      </c>
      <c r="F4974">
        <v>0.80087280388247195</v>
      </c>
      <c r="G4974">
        <v>0.81294909898047496</v>
      </c>
      <c r="H4974" t="str">
        <f t="shared" si="77"/>
        <v>Q4</v>
      </c>
    </row>
    <row r="4975" spans="1:8">
      <c r="A4975">
        <v>738298</v>
      </c>
      <c r="B4975" t="s">
        <v>4633</v>
      </c>
      <c r="C4975">
        <v>37</v>
      </c>
      <c r="D4975">
        <v>3.4747594917142699</v>
      </c>
      <c r="E4975">
        <v>128.56610119342801</v>
      </c>
      <c r="F4975">
        <v>0.79304766562582296</v>
      </c>
      <c r="G4975">
        <v>0.81291147812347198</v>
      </c>
      <c r="H4975" t="str">
        <f t="shared" si="77"/>
        <v>Q4</v>
      </c>
    </row>
    <row r="4976" spans="1:8">
      <c r="A4976">
        <v>849572</v>
      </c>
      <c r="B4976" t="s">
        <v>383</v>
      </c>
      <c r="C4976">
        <v>17</v>
      </c>
      <c r="D4976">
        <v>7.5623129658839296</v>
      </c>
      <c r="E4976">
        <v>128.55932042002701</v>
      </c>
      <c r="F4976">
        <v>0.65926789812271902</v>
      </c>
      <c r="G4976">
        <v>0.81287385726646899</v>
      </c>
      <c r="H4976" t="str">
        <f t="shared" si="77"/>
        <v>Q3</v>
      </c>
    </row>
    <row r="4977" spans="1:8">
      <c r="A4977">
        <v>845541</v>
      </c>
      <c r="B4977" t="s">
        <v>2503</v>
      </c>
      <c r="C4977">
        <v>21</v>
      </c>
      <c r="D4977">
        <v>6.1210652990710201</v>
      </c>
      <c r="E4977">
        <v>128.54237128049101</v>
      </c>
      <c r="F4977">
        <v>0.70008652797110704</v>
      </c>
      <c r="G4977">
        <v>0.81283623640946501</v>
      </c>
      <c r="H4977" t="str">
        <f t="shared" si="77"/>
        <v>Q3</v>
      </c>
    </row>
    <row r="4978" spans="1:8">
      <c r="A4978">
        <v>747863</v>
      </c>
      <c r="B4978" t="s">
        <v>2109</v>
      </c>
      <c r="C4978">
        <v>63</v>
      </c>
      <c r="D4978">
        <v>2.0403012285925599</v>
      </c>
      <c r="E4978">
        <v>128.53897740133101</v>
      </c>
      <c r="F4978">
        <v>0.86445205221775001</v>
      </c>
      <c r="G4978">
        <v>0.81279861555246202</v>
      </c>
      <c r="H4978" t="str">
        <f t="shared" si="77"/>
        <v>Q4</v>
      </c>
    </row>
    <row r="4979" spans="1:8">
      <c r="A4979">
        <v>784432</v>
      </c>
      <c r="B4979" t="s">
        <v>1886</v>
      </c>
      <c r="C4979">
        <v>33</v>
      </c>
      <c r="D4979">
        <v>3.8939908090414401</v>
      </c>
      <c r="E4979">
        <v>128.50169669836799</v>
      </c>
      <c r="F4979">
        <v>0.77551634626236798</v>
      </c>
      <c r="G4979">
        <v>0.81276099469545904</v>
      </c>
      <c r="H4979" t="str">
        <f t="shared" si="77"/>
        <v>Q4</v>
      </c>
    </row>
    <row r="4980" spans="1:8">
      <c r="A4980">
        <v>766738</v>
      </c>
      <c r="B4980" t="s">
        <v>4340</v>
      </c>
      <c r="C4980">
        <v>41</v>
      </c>
      <c r="D4980">
        <v>3.1321619796316802</v>
      </c>
      <c r="E4980">
        <v>128.41864116489899</v>
      </c>
      <c r="F4980">
        <v>0.80787028328505295</v>
      </c>
      <c r="G4980">
        <v>0.81272337383845605</v>
      </c>
      <c r="H4980" t="str">
        <f t="shared" si="77"/>
        <v>Q4</v>
      </c>
    </row>
    <row r="4981" spans="1:8">
      <c r="A4981">
        <v>804732</v>
      </c>
      <c r="B4981" t="s">
        <v>1432</v>
      </c>
      <c r="C4981">
        <v>32</v>
      </c>
      <c r="D4981">
        <v>4.01064620236866</v>
      </c>
      <c r="E4981">
        <v>128.34067847579701</v>
      </c>
      <c r="F4981">
        <v>0.77096422256498998</v>
      </c>
      <c r="G4981">
        <v>0.81268575298145296</v>
      </c>
      <c r="H4981" t="str">
        <f t="shared" si="77"/>
        <v>Q4</v>
      </c>
    </row>
    <row r="4982" spans="1:8">
      <c r="A4982">
        <v>753255</v>
      </c>
      <c r="B4982" t="s">
        <v>4835</v>
      </c>
      <c r="C4982">
        <v>131</v>
      </c>
      <c r="D4982">
        <v>0.97953162479520095</v>
      </c>
      <c r="E4982">
        <v>128.31864284817101</v>
      </c>
      <c r="F4982">
        <v>0.93374967081750104</v>
      </c>
      <c r="G4982">
        <v>0.81264813212444997</v>
      </c>
      <c r="H4982" t="str">
        <f t="shared" si="77"/>
        <v>Q4</v>
      </c>
    </row>
    <row r="4983" spans="1:8">
      <c r="A4983">
        <v>713443</v>
      </c>
      <c r="B4983" t="s">
        <v>4955</v>
      </c>
      <c r="C4983">
        <v>23</v>
      </c>
      <c r="D4983">
        <v>5.5778188630938503</v>
      </c>
      <c r="E4983">
        <v>128.28983385115899</v>
      </c>
      <c r="F4983">
        <v>0.71547345848538402</v>
      </c>
      <c r="G4983">
        <v>0.81261051126744699</v>
      </c>
      <c r="H4983" t="str">
        <f t="shared" si="77"/>
        <v>Q3</v>
      </c>
    </row>
    <row r="4984" spans="1:8">
      <c r="A4984">
        <v>720756</v>
      </c>
      <c r="B4984" t="s">
        <v>2492</v>
      </c>
      <c r="C4984">
        <v>53</v>
      </c>
      <c r="D4984">
        <v>2.42043492155817</v>
      </c>
      <c r="E4984">
        <v>128.28305084258301</v>
      </c>
      <c r="F4984">
        <v>0.84218050487190099</v>
      </c>
      <c r="G4984">
        <v>0.812572890410444</v>
      </c>
      <c r="H4984" t="str">
        <f t="shared" si="77"/>
        <v>Q4</v>
      </c>
    </row>
    <row r="4985" spans="1:8">
      <c r="A4985">
        <v>672625</v>
      </c>
      <c r="B4985" t="s">
        <v>1743</v>
      </c>
      <c r="C4985">
        <v>51</v>
      </c>
      <c r="D4985">
        <v>2.5141575072398998</v>
      </c>
      <c r="E4985">
        <v>128.22203286923499</v>
      </c>
      <c r="F4985">
        <v>0.83762838117452298</v>
      </c>
      <c r="G4985">
        <v>0.81253526955344002</v>
      </c>
      <c r="H4985" t="str">
        <f t="shared" si="77"/>
        <v>Q4</v>
      </c>
    </row>
    <row r="4986" spans="1:8">
      <c r="A4986">
        <v>570781</v>
      </c>
      <c r="B4986" t="s">
        <v>340</v>
      </c>
      <c r="C4986">
        <v>105</v>
      </c>
      <c r="D4986">
        <v>1.2202905213815101</v>
      </c>
      <c r="E4986">
        <v>128.130504745059</v>
      </c>
      <c r="F4986">
        <v>0.91618073059704297</v>
      </c>
      <c r="G4986">
        <v>0.81249764869643704</v>
      </c>
      <c r="H4986" t="str">
        <f t="shared" si="77"/>
        <v>Q4</v>
      </c>
    </row>
    <row r="4987" spans="1:8">
      <c r="A4987">
        <v>797707</v>
      </c>
      <c r="B4987" t="s">
        <v>4122</v>
      </c>
      <c r="C4987">
        <v>26</v>
      </c>
      <c r="D4987">
        <v>4.9280313918223699</v>
      </c>
      <c r="E4987">
        <v>128.128816187382</v>
      </c>
      <c r="F4987">
        <v>0.73706783040517698</v>
      </c>
      <c r="G4987">
        <v>0.81246002783943405</v>
      </c>
      <c r="H4987" t="str">
        <f t="shared" si="77"/>
        <v>Q3</v>
      </c>
    </row>
    <row r="4988" spans="1:8">
      <c r="A4988">
        <v>744630</v>
      </c>
      <c r="B4988" t="s">
        <v>1964</v>
      </c>
      <c r="C4988">
        <v>60</v>
      </c>
      <c r="D4988">
        <v>2.1349716559052498</v>
      </c>
      <c r="E4988">
        <v>128.098299354315</v>
      </c>
      <c r="F4988">
        <v>0.85805650652721899</v>
      </c>
      <c r="G4988">
        <v>0.81242240698243096</v>
      </c>
      <c r="H4988" t="str">
        <f t="shared" si="77"/>
        <v>Q4</v>
      </c>
    </row>
    <row r="4989" spans="1:8">
      <c r="A4989">
        <v>662230</v>
      </c>
      <c r="B4989" t="s">
        <v>2557</v>
      </c>
      <c r="C4989">
        <v>30</v>
      </c>
      <c r="D4989">
        <v>4.2693786136806002</v>
      </c>
      <c r="E4989">
        <v>128.08135841041801</v>
      </c>
      <c r="F4989">
        <v>0.760430382604116</v>
      </c>
      <c r="G4989">
        <v>0.81238478612542797</v>
      </c>
      <c r="H4989" t="str">
        <f t="shared" si="77"/>
        <v>Q4</v>
      </c>
    </row>
    <row r="4990" spans="1:8">
      <c r="A4990">
        <v>831545</v>
      </c>
      <c r="B4990" t="s">
        <v>3391</v>
      </c>
      <c r="C4990">
        <v>11</v>
      </c>
      <c r="D4990">
        <v>11.6420652378689</v>
      </c>
      <c r="E4990">
        <v>128.06271761655799</v>
      </c>
      <c r="F4990">
        <v>0.56957977502727497</v>
      </c>
      <c r="G4990">
        <v>0.81234716526842499</v>
      </c>
      <c r="H4990" t="str">
        <f t="shared" si="77"/>
        <v>Q3</v>
      </c>
    </row>
    <row r="4991" spans="1:8">
      <c r="A4991">
        <v>785071</v>
      </c>
      <c r="B4991" t="s">
        <v>1351</v>
      </c>
      <c r="C4991">
        <v>52</v>
      </c>
      <c r="D4991">
        <v>2.4608213884326098</v>
      </c>
      <c r="E4991">
        <v>127.96271219849601</v>
      </c>
      <c r="F4991">
        <v>0.84003611602272299</v>
      </c>
      <c r="G4991">
        <v>0.812309544411422</v>
      </c>
      <c r="H4991" t="str">
        <f t="shared" si="77"/>
        <v>Q4</v>
      </c>
    </row>
    <row r="4992" spans="1:8">
      <c r="A4992">
        <v>630556</v>
      </c>
      <c r="B4992" t="s">
        <v>885</v>
      </c>
      <c r="C4992">
        <v>21</v>
      </c>
      <c r="D4992">
        <v>6.0919289255426001</v>
      </c>
      <c r="E4992">
        <v>127.930507436395</v>
      </c>
      <c r="F4992">
        <v>0.70008652797110704</v>
      </c>
      <c r="G4992">
        <v>0.81227192355441902</v>
      </c>
      <c r="H4992" t="str">
        <f t="shared" si="77"/>
        <v>Q3</v>
      </c>
    </row>
    <row r="4993" spans="1:8">
      <c r="A4993">
        <v>757908</v>
      </c>
      <c r="B4993" t="s">
        <v>638</v>
      </c>
      <c r="C4993">
        <v>39</v>
      </c>
      <c r="D4993">
        <v>3.2796175051958101</v>
      </c>
      <c r="E4993">
        <v>127.905082702637</v>
      </c>
      <c r="F4993">
        <v>0.80087280388247195</v>
      </c>
      <c r="G4993">
        <v>0.81223430269741503</v>
      </c>
      <c r="H4993" t="str">
        <f t="shared" si="77"/>
        <v>Q4</v>
      </c>
    </row>
    <row r="4994" spans="1:8">
      <c r="A4994">
        <v>689582</v>
      </c>
      <c r="B4994" t="s">
        <v>3736</v>
      </c>
      <c r="C4994">
        <v>19</v>
      </c>
      <c r="D4994">
        <v>6.7275648446459497</v>
      </c>
      <c r="E4994">
        <v>127.823732048273</v>
      </c>
      <c r="F4994">
        <v>0.68195327489560198</v>
      </c>
      <c r="G4994">
        <v>0.81219668184041205</v>
      </c>
      <c r="H4994" t="str">
        <f t="shared" si="77"/>
        <v>Q3</v>
      </c>
    </row>
    <row r="4995" spans="1:8">
      <c r="A4995">
        <v>717052</v>
      </c>
      <c r="B4995" t="s">
        <v>315</v>
      </c>
      <c r="C4995">
        <v>47</v>
      </c>
      <c r="D4995">
        <v>2.71950954016536</v>
      </c>
      <c r="E4995">
        <v>127.816948387772</v>
      </c>
      <c r="F4995">
        <v>0.82641736578759295</v>
      </c>
      <c r="G4995">
        <v>0.81215906098340895</v>
      </c>
      <c r="H4995" t="str">
        <f t="shared" ref="H4995:H5058" si="78">IF(C4995&gt;$J$2,
   IF(D4995&gt;$J$3,"Q1","Q2"),
   IF(D4995&gt;$J$3,"Q3","Q4"))</f>
        <v>Q4</v>
      </c>
    </row>
    <row r="4996" spans="1:8">
      <c r="A4996">
        <v>779568</v>
      </c>
      <c r="B4996" t="s">
        <v>1352</v>
      </c>
      <c r="C4996">
        <v>39</v>
      </c>
      <c r="D4996">
        <v>3.2771403160996901</v>
      </c>
      <c r="E4996">
        <v>127.808472327888</v>
      </c>
      <c r="F4996">
        <v>0.80087280388247195</v>
      </c>
      <c r="G4996">
        <v>0.81212144012640597</v>
      </c>
      <c r="H4996" t="str">
        <f t="shared" si="78"/>
        <v>Q4</v>
      </c>
    </row>
    <row r="4997" spans="1:8">
      <c r="A4997">
        <v>781672</v>
      </c>
      <c r="B4997" t="s">
        <v>4706</v>
      </c>
      <c r="C4997">
        <v>19</v>
      </c>
      <c r="D4997">
        <v>6.7235503345727903</v>
      </c>
      <c r="E4997">
        <v>127.74745635688301</v>
      </c>
      <c r="F4997">
        <v>0.68195327489560198</v>
      </c>
      <c r="G4997">
        <v>0.81208381926940298</v>
      </c>
      <c r="H4997" t="str">
        <f t="shared" si="78"/>
        <v>Q3</v>
      </c>
    </row>
    <row r="4998" spans="1:8">
      <c r="A4998">
        <v>808586</v>
      </c>
      <c r="B4998" t="s">
        <v>1408</v>
      </c>
      <c r="C4998">
        <v>22</v>
      </c>
      <c r="D4998">
        <v>5.80485358156941</v>
      </c>
      <c r="E4998">
        <v>127.706778794527</v>
      </c>
      <c r="F4998">
        <v>0.707723561942741</v>
      </c>
      <c r="G4998">
        <v>0.8120461984124</v>
      </c>
      <c r="H4998" t="str">
        <f t="shared" si="78"/>
        <v>Q3</v>
      </c>
    </row>
    <row r="4999" spans="1:8">
      <c r="A4999">
        <v>777027</v>
      </c>
      <c r="B4999" t="s">
        <v>1610</v>
      </c>
      <c r="C4999">
        <v>19</v>
      </c>
      <c r="D4999">
        <v>6.7213201797322197</v>
      </c>
      <c r="E4999">
        <v>127.705083414912</v>
      </c>
      <c r="F4999">
        <v>0.68195327489560198</v>
      </c>
      <c r="G4999">
        <v>0.81200857755539702</v>
      </c>
      <c r="H4999" t="str">
        <f t="shared" si="78"/>
        <v>Q3</v>
      </c>
    </row>
    <row r="5000" spans="1:8">
      <c r="A5000">
        <v>772916</v>
      </c>
      <c r="B5000" t="s">
        <v>1007</v>
      </c>
      <c r="C5000">
        <v>32</v>
      </c>
      <c r="D5000">
        <v>3.9884534489829102</v>
      </c>
      <c r="E5000">
        <v>127.630510367453</v>
      </c>
      <c r="F5000">
        <v>0.77096422256498998</v>
      </c>
      <c r="G5000">
        <v>0.81197095669839403</v>
      </c>
      <c r="H5000" t="str">
        <f t="shared" si="78"/>
        <v>Q4</v>
      </c>
    </row>
    <row r="5001" spans="1:8">
      <c r="A5001">
        <v>817015</v>
      </c>
      <c r="B5001" t="s">
        <v>1503</v>
      </c>
      <c r="C5001">
        <v>40</v>
      </c>
      <c r="D5001">
        <v>3.1892796186730301</v>
      </c>
      <c r="E5001">
        <v>127.57118474692101</v>
      </c>
      <c r="F5001">
        <v>0.804522027011775</v>
      </c>
      <c r="G5001">
        <v>0.81193333584139005</v>
      </c>
      <c r="H5001" t="str">
        <f t="shared" si="78"/>
        <v>Q4</v>
      </c>
    </row>
    <row r="5002" spans="1:8">
      <c r="A5002">
        <v>778522</v>
      </c>
      <c r="B5002" t="s">
        <v>1275</v>
      </c>
      <c r="C5002">
        <v>35</v>
      </c>
      <c r="D5002">
        <v>3.6443583773715198</v>
      </c>
      <c r="E5002">
        <v>127.552543208003</v>
      </c>
      <c r="F5002">
        <v>0.78420676423008895</v>
      </c>
      <c r="G5002">
        <v>0.81189571498438695</v>
      </c>
      <c r="H5002" t="str">
        <f t="shared" si="78"/>
        <v>Q4</v>
      </c>
    </row>
    <row r="5003" spans="1:8">
      <c r="A5003">
        <v>705872</v>
      </c>
      <c r="B5003" t="s">
        <v>3539</v>
      </c>
      <c r="C5003">
        <v>17</v>
      </c>
      <c r="D5003">
        <v>7.5008973260136198</v>
      </c>
      <c r="E5003">
        <v>127.515254542232</v>
      </c>
      <c r="F5003">
        <v>0.65926789812271902</v>
      </c>
      <c r="G5003">
        <v>0.81185809412738397</v>
      </c>
      <c r="H5003" t="str">
        <f t="shared" si="78"/>
        <v>Q3</v>
      </c>
    </row>
    <row r="5004" spans="1:8">
      <c r="A5004">
        <v>776106</v>
      </c>
      <c r="B5004" t="s">
        <v>1472</v>
      </c>
      <c r="C5004">
        <v>27</v>
      </c>
      <c r="D5004">
        <v>4.7222222718927602</v>
      </c>
      <c r="E5004">
        <v>127.500001341105</v>
      </c>
      <c r="F5004">
        <v>0.74312478838267904</v>
      </c>
      <c r="G5004">
        <v>0.81182047327038098</v>
      </c>
      <c r="H5004" t="str">
        <f t="shared" si="78"/>
        <v>Q4</v>
      </c>
    </row>
    <row r="5005" spans="1:8">
      <c r="A5005">
        <v>703436</v>
      </c>
      <c r="B5005" t="s">
        <v>3780</v>
      </c>
      <c r="C5005">
        <v>33</v>
      </c>
      <c r="D5005">
        <v>3.8619928457068702</v>
      </c>
      <c r="E5005">
        <v>127.445763908327</v>
      </c>
      <c r="F5005">
        <v>0.77551634626236798</v>
      </c>
      <c r="G5005">
        <v>0.811782852413378</v>
      </c>
      <c r="H5005" t="str">
        <f t="shared" si="78"/>
        <v>Q4</v>
      </c>
    </row>
    <row r="5006" spans="1:8">
      <c r="A5006">
        <v>803399</v>
      </c>
      <c r="B5006" t="s">
        <v>4960</v>
      </c>
      <c r="C5006">
        <v>16</v>
      </c>
      <c r="D5006">
        <v>7.9643008881248498</v>
      </c>
      <c r="E5006">
        <v>127.428814209998</v>
      </c>
      <c r="F5006">
        <v>0.64756781159474797</v>
      </c>
      <c r="G5006">
        <v>0.81174523155637501</v>
      </c>
      <c r="H5006" t="str">
        <f t="shared" si="78"/>
        <v>Q3</v>
      </c>
    </row>
    <row r="5007" spans="1:8">
      <c r="A5007">
        <v>586795</v>
      </c>
      <c r="B5007" t="s">
        <v>780</v>
      </c>
      <c r="C5007">
        <v>32</v>
      </c>
      <c r="D5007">
        <v>3.9818856224883299</v>
      </c>
      <c r="E5007">
        <v>127.420339919627</v>
      </c>
      <c r="F5007">
        <v>0.77096422256498998</v>
      </c>
      <c r="G5007">
        <v>0.81170761069937203</v>
      </c>
      <c r="H5007" t="str">
        <f t="shared" si="78"/>
        <v>Q4</v>
      </c>
    </row>
    <row r="5008" spans="1:8">
      <c r="A5008">
        <v>611641</v>
      </c>
      <c r="B5008" t="s">
        <v>4805</v>
      </c>
      <c r="C5008">
        <v>6</v>
      </c>
      <c r="D5008">
        <v>21.235028405984199</v>
      </c>
      <c r="E5008">
        <v>127.410170435905</v>
      </c>
      <c r="F5008">
        <v>0.428463940408563</v>
      </c>
      <c r="G5008">
        <v>0.81166998984236904</v>
      </c>
      <c r="H5008" t="str">
        <f t="shared" si="78"/>
        <v>Q3</v>
      </c>
    </row>
    <row r="5009" spans="1:8">
      <c r="A5009">
        <v>837114</v>
      </c>
      <c r="B5009" t="s">
        <v>444</v>
      </c>
      <c r="C5009">
        <v>42</v>
      </c>
      <c r="D5009">
        <v>3.0319611896716401</v>
      </c>
      <c r="E5009">
        <v>127.34236996620901</v>
      </c>
      <c r="F5009">
        <v>0.81103043527331597</v>
      </c>
      <c r="G5009">
        <v>0.81163236898536595</v>
      </c>
      <c r="H5009" t="str">
        <f t="shared" si="78"/>
        <v>Q4</v>
      </c>
    </row>
    <row r="5010" spans="1:8">
      <c r="A5010">
        <v>727928</v>
      </c>
      <c r="B5010" t="s">
        <v>581</v>
      </c>
      <c r="C5010">
        <v>27</v>
      </c>
      <c r="D5010">
        <v>4.7162587306013801</v>
      </c>
      <c r="E5010">
        <v>127.338985726237</v>
      </c>
      <c r="F5010">
        <v>0.74312478838267904</v>
      </c>
      <c r="G5010">
        <v>0.81159474812836196</v>
      </c>
      <c r="H5010" t="str">
        <f t="shared" si="78"/>
        <v>Q4</v>
      </c>
    </row>
    <row r="5011" spans="1:8">
      <c r="A5011">
        <v>411413</v>
      </c>
      <c r="B5011" t="s">
        <v>735</v>
      </c>
      <c r="C5011">
        <v>123</v>
      </c>
      <c r="D5011">
        <v>1.0350558003865</v>
      </c>
      <c r="E5011">
        <v>127.31186344754001</v>
      </c>
      <c r="F5011">
        <v>0.92893420112110203</v>
      </c>
      <c r="G5011">
        <v>0.81155712727135898</v>
      </c>
      <c r="H5011" t="str">
        <f t="shared" si="78"/>
        <v>Q4</v>
      </c>
    </row>
    <row r="5012" spans="1:8">
      <c r="A5012">
        <v>553139</v>
      </c>
      <c r="B5012" t="s">
        <v>2331</v>
      </c>
      <c r="C5012">
        <v>39</v>
      </c>
      <c r="D5012">
        <v>3.2636679088076002</v>
      </c>
      <c r="E5012">
        <v>127.283048443496</v>
      </c>
      <c r="F5012">
        <v>0.80087280388247195</v>
      </c>
      <c r="G5012">
        <v>0.811519506414356</v>
      </c>
      <c r="H5012" t="str">
        <f t="shared" si="78"/>
        <v>Q4</v>
      </c>
    </row>
    <row r="5013" spans="1:8">
      <c r="A5013">
        <v>628568</v>
      </c>
      <c r="B5013" t="s">
        <v>3733</v>
      </c>
      <c r="C5013">
        <v>35</v>
      </c>
      <c r="D5013">
        <v>3.6327361102615101</v>
      </c>
      <c r="E5013">
        <v>127.14576385915301</v>
      </c>
      <c r="F5013">
        <v>0.78420676423008895</v>
      </c>
      <c r="G5013">
        <v>0.81148188555735301</v>
      </c>
      <c r="H5013" t="str">
        <f t="shared" si="78"/>
        <v>Q4</v>
      </c>
    </row>
    <row r="5014" spans="1:8">
      <c r="A5014">
        <v>797112</v>
      </c>
      <c r="B5014" t="s">
        <v>3173</v>
      </c>
      <c r="C5014">
        <v>44</v>
      </c>
      <c r="D5014">
        <v>2.8875577602196798</v>
      </c>
      <c r="E5014">
        <v>127.05254144966599</v>
      </c>
      <c r="F5014">
        <v>0.817689326962868</v>
      </c>
      <c r="G5014">
        <v>0.81144426470035003</v>
      </c>
      <c r="H5014" t="str">
        <f t="shared" si="78"/>
        <v>Q4</v>
      </c>
    </row>
    <row r="5015" spans="1:8">
      <c r="A5015">
        <v>704150</v>
      </c>
      <c r="B5015" t="s">
        <v>1848</v>
      </c>
      <c r="C5015">
        <v>60</v>
      </c>
      <c r="D5015">
        <v>2.1166101718942301</v>
      </c>
      <c r="E5015">
        <v>126.996610313654</v>
      </c>
      <c r="F5015">
        <v>0.85805650652721899</v>
      </c>
      <c r="G5015">
        <v>0.81140664384334704</v>
      </c>
      <c r="H5015" t="str">
        <f t="shared" si="78"/>
        <v>Q4</v>
      </c>
    </row>
    <row r="5016" spans="1:8">
      <c r="A5016">
        <v>445419</v>
      </c>
      <c r="B5016" t="s">
        <v>2701</v>
      </c>
      <c r="C5016">
        <v>76</v>
      </c>
      <c r="D5016">
        <v>1.6709856995332399</v>
      </c>
      <c r="E5016">
        <v>126.994913164526</v>
      </c>
      <c r="F5016">
        <v>0.88612166585154795</v>
      </c>
      <c r="G5016">
        <v>0.81136902298634395</v>
      </c>
      <c r="H5016" t="str">
        <f t="shared" si="78"/>
        <v>Q4</v>
      </c>
    </row>
    <row r="5017" spans="1:8">
      <c r="A5017">
        <v>711631</v>
      </c>
      <c r="B5017" t="s">
        <v>2771</v>
      </c>
      <c r="C5017">
        <v>48</v>
      </c>
      <c r="D5017">
        <v>2.6455155360357199</v>
      </c>
      <c r="E5017">
        <v>126.984745729715</v>
      </c>
      <c r="F5017">
        <v>0.82957751777585498</v>
      </c>
      <c r="G5017">
        <v>0.81133140212934096</v>
      </c>
      <c r="H5017" t="str">
        <f t="shared" si="78"/>
        <v>Q4</v>
      </c>
    </row>
    <row r="5018" spans="1:8">
      <c r="A5018">
        <v>750423</v>
      </c>
      <c r="B5018" t="s">
        <v>1291</v>
      </c>
      <c r="C5018">
        <v>31</v>
      </c>
      <c r="D5018">
        <v>4.0958447381854102</v>
      </c>
      <c r="E5018">
        <v>126.971186883748</v>
      </c>
      <c r="F5018">
        <v>0.766073511154584</v>
      </c>
      <c r="G5018">
        <v>0.81129378127233698</v>
      </c>
      <c r="H5018" t="str">
        <f t="shared" si="78"/>
        <v>Q4</v>
      </c>
    </row>
    <row r="5019" spans="1:8">
      <c r="A5019">
        <v>717390</v>
      </c>
      <c r="B5019" t="s">
        <v>683</v>
      </c>
      <c r="C5019">
        <v>42</v>
      </c>
      <c r="D5019">
        <v>3.02187246935708</v>
      </c>
      <c r="E5019">
        <v>126.918643712997</v>
      </c>
      <c r="F5019">
        <v>0.81103043527331597</v>
      </c>
      <c r="G5019">
        <v>0.81125616041533399</v>
      </c>
      <c r="H5019" t="str">
        <f t="shared" si="78"/>
        <v>Q4</v>
      </c>
    </row>
    <row r="5020" spans="1:8">
      <c r="A5020">
        <v>559076</v>
      </c>
      <c r="B5020" t="s">
        <v>4082</v>
      </c>
      <c r="C5020">
        <v>24</v>
      </c>
      <c r="D5020">
        <v>5.2879237725088997</v>
      </c>
      <c r="E5020">
        <v>126.910170540214</v>
      </c>
      <c r="F5020">
        <v>0.72284714645799597</v>
      </c>
      <c r="G5020">
        <v>0.81121853955833101</v>
      </c>
      <c r="H5020" t="str">
        <f t="shared" si="78"/>
        <v>Q3</v>
      </c>
    </row>
    <row r="5021" spans="1:8">
      <c r="A5021">
        <v>770607</v>
      </c>
      <c r="B5021" t="s">
        <v>751</v>
      </c>
      <c r="C5021">
        <v>18</v>
      </c>
      <c r="D5021">
        <v>7.0494350873761702</v>
      </c>
      <c r="E5021">
        <v>126.889831572771</v>
      </c>
      <c r="F5021">
        <v>0.67044129265264696</v>
      </c>
      <c r="G5021">
        <v>0.81118091870132802</v>
      </c>
      <c r="H5021" t="str">
        <f t="shared" si="78"/>
        <v>Q3</v>
      </c>
    </row>
    <row r="5022" spans="1:8">
      <c r="A5022">
        <v>711236</v>
      </c>
      <c r="B5022" t="s">
        <v>3804</v>
      </c>
      <c r="C5022">
        <v>70</v>
      </c>
      <c r="D5022">
        <v>1.8125907531274199</v>
      </c>
      <c r="E5022">
        <v>126.88135271892</v>
      </c>
      <c r="F5022">
        <v>0.87555020503367098</v>
      </c>
      <c r="G5022">
        <v>0.81114329784432504</v>
      </c>
      <c r="H5022" t="str">
        <f t="shared" si="78"/>
        <v>Q4</v>
      </c>
    </row>
    <row r="5023" spans="1:8">
      <c r="A5023">
        <v>578020</v>
      </c>
      <c r="B5023" t="s">
        <v>3844</v>
      </c>
      <c r="C5023">
        <v>110</v>
      </c>
      <c r="D5023">
        <v>1.1531586813825101</v>
      </c>
      <c r="E5023">
        <v>126.84745495207601</v>
      </c>
      <c r="F5023">
        <v>0.92001805801136105</v>
      </c>
      <c r="G5023">
        <v>0.81110567698732206</v>
      </c>
      <c r="H5023" t="str">
        <f t="shared" si="78"/>
        <v>Q4</v>
      </c>
    </row>
    <row r="5024" spans="1:8">
      <c r="A5024">
        <v>718549</v>
      </c>
      <c r="B5024" t="s">
        <v>1288</v>
      </c>
      <c r="C5024">
        <v>58</v>
      </c>
      <c r="D5024">
        <v>2.1862945085840999</v>
      </c>
      <c r="E5024">
        <v>126.80508149787801</v>
      </c>
      <c r="F5024">
        <v>0.853993453970881</v>
      </c>
      <c r="G5024">
        <v>0.81106805613031896</v>
      </c>
      <c r="H5024" t="str">
        <f t="shared" si="78"/>
        <v>Q4</v>
      </c>
    </row>
    <row r="5025" spans="1:8">
      <c r="A5025">
        <v>755458</v>
      </c>
      <c r="B5025" t="s">
        <v>4652</v>
      </c>
      <c r="C5025">
        <v>35</v>
      </c>
      <c r="D5025">
        <v>3.6225665679999799</v>
      </c>
      <c r="E5025">
        <v>126.789829879999</v>
      </c>
      <c r="F5025">
        <v>0.78420676423008895</v>
      </c>
      <c r="G5025">
        <v>0.81103043527331597</v>
      </c>
      <c r="H5025" t="str">
        <f t="shared" si="78"/>
        <v>Q4</v>
      </c>
    </row>
    <row r="5026" spans="1:8">
      <c r="A5026">
        <v>647077</v>
      </c>
      <c r="B5026" t="s">
        <v>3495</v>
      </c>
      <c r="C5026">
        <v>18</v>
      </c>
      <c r="D5026">
        <v>7.0429379120469102</v>
      </c>
      <c r="E5026">
        <v>126.772882416844</v>
      </c>
      <c r="F5026">
        <v>0.67044129265264696</v>
      </c>
      <c r="G5026">
        <v>0.81099281441631199</v>
      </c>
      <c r="H5026" t="str">
        <f t="shared" si="78"/>
        <v>Q3</v>
      </c>
    </row>
    <row r="5027" spans="1:8">
      <c r="A5027">
        <v>734841</v>
      </c>
      <c r="B5027" t="s">
        <v>2172</v>
      </c>
      <c r="C5027">
        <v>19</v>
      </c>
      <c r="D5027">
        <v>6.6713648014946996</v>
      </c>
      <c r="E5027">
        <v>126.75593122839901</v>
      </c>
      <c r="F5027">
        <v>0.68195327489560198</v>
      </c>
      <c r="G5027">
        <v>0.81095519355930901</v>
      </c>
      <c r="H5027" t="str">
        <f t="shared" si="78"/>
        <v>Q3</v>
      </c>
    </row>
    <row r="5028" spans="1:8">
      <c r="A5028">
        <v>761937</v>
      </c>
      <c r="B5028" t="s">
        <v>1488</v>
      </c>
      <c r="C5028">
        <v>13</v>
      </c>
      <c r="D5028">
        <v>9.7482400444837705</v>
      </c>
      <c r="E5028">
        <v>126.727120578289</v>
      </c>
      <c r="F5028">
        <v>0.60539483089424795</v>
      </c>
      <c r="G5028">
        <v>0.81091757270230602</v>
      </c>
      <c r="H5028" t="str">
        <f t="shared" si="78"/>
        <v>Q3</v>
      </c>
    </row>
    <row r="5029" spans="1:8">
      <c r="A5029">
        <v>731393</v>
      </c>
      <c r="B5029" t="s">
        <v>3180</v>
      </c>
      <c r="C5029">
        <v>20</v>
      </c>
      <c r="D5029">
        <v>6.3339830376207802</v>
      </c>
      <c r="E5029">
        <v>126.679660752416</v>
      </c>
      <c r="F5029">
        <v>0.69196042285843296</v>
      </c>
      <c r="G5029">
        <v>0.81087995184530304</v>
      </c>
      <c r="H5029" t="str">
        <f t="shared" si="78"/>
        <v>Q3</v>
      </c>
    </row>
    <row r="5030" spans="1:8">
      <c r="A5030">
        <v>748031</v>
      </c>
      <c r="B5030" t="s">
        <v>397</v>
      </c>
      <c r="C5030">
        <v>87</v>
      </c>
      <c r="D5030">
        <v>1.4555814831207201</v>
      </c>
      <c r="E5030">
        <v>126.635589031503</v>
      </c>
      <c r="F5030">
        <v>0.89955231180166295</v>
      </c>
      <c r="G5030">
        <v>0.81084233098830005</v>
      </c>
      <c r="H5030" t="str">
        <f t="shared" si="78"/>
        <v>Q4</v>
      </c>
    </row>
    <row r="5031" spans="1:8">
      <c r="A5031">
        <v>783798</v>
      </c>
      <c r="B5031" t="s">
        <v>1863</v>
      </c>
      <c r="C5031">
        <v>19</v>
      </c>
      <c r="D5031">
        <v>6.6645851456805296</v>
      </c>
      <c r="E5031">
        <v>126.62711776793</v>
      </c>
      <c r="F5031">
        <v>0.68195327489560198</v>
      </c>
      <c r="G5031">
        <v>0.81080471013129696</v>
      </c>
      <c r="H5031" t="str">
        <f t="shared" si="78"/>
        <v>Q3</v>
      </c>
    </row>
    <row r="5032" spans="1:8">
      <c r="A5032">
        <v>780031</v>
      </c>
      <c r="B5032" t="s">
        <v>3952</v>
      </c>
      <c r="C5032">
        <v>3</v>
      </c>
      <c r="D5032">
        <v>42.203390598297098</v>
      </c>
      <c r="E5032">
        <v>126.610171794891</v>
      </c>
      <c r="F5032">
        <v>0.26345886159286702</v>
      </c>
      <c r="G5032">
        <v>0.81076708927429397</v>
      </c>
      <c r="H5032" t="str">
        <f t="shared" si="78"/>
        <v>Q3</v>
      </c>
    </row>
    <row r="5033" spans="1:8">
      <c r="A5033">
        <v>754309</v>
      </c>
      <c r="B5033" t="s">
        <v>1099</v>
      </c>
      <c r="C5033">
        <v>77</v>
      </c>
      <c r="D5033">
        <v>1.6438696134303299</v>
      </c>
      <c r="E5033">
        <v>126.57796023413501</v>
      </c>
      <c r="F5033">
        <v>0.88740077498965397</v>
      </c>
      <c r="G5033">
        <v>0.81072946841729099</v>
      </c>
      <c r="H5033" t="str">
        <f t="shared" si="78"/>
        <v>Q4</v>
      </c>
    </row>
    <row r="5034" spans="1:8">
      <c r="A5034">
        <v>768189</v>
      </c>
      <c r="B5034" t="s">
        <v>1184</v>
      </c>
      <c r="C5034">
        <v>41</v>
      </c>
      <c r="D5034">
        <v>3.08677135716851</v>
      </c>
      <c r="E5034">
        <v>126.55762564390901</v>
      </c>
      <c r="F5034">
        <v>0.80787028328505295</v>
      </c>
      <c r="G5034">
        <v>0.810691847560287</v>
      </c>
      <c r="H5034" t="str">
        <f t="shared" si="78"/>
        <v>Q4</v>
      </c>
    </row>
    <row r="5035" spans="1:8">
      <c r="A5035">
        <v>653188</v>
      </c>
      <c r="B5035" t="s">
        <v>4411</v>
      </c>
      <c r="C5035">
        <v>111</v>
      </c>
      <c r="D5035">
        <v>1.1394564246943399</v>
      </c>
      <c r="E5035">
        <v>126.479663141072</v>
      </c>
      <c r="F5035">
        <v>0.92084571686543004</v>
      </c>
      <c r="G5035">
        <v>0.81065422670328402</v>
      </c>
      <c r="H5035" t="str">
        <f t="shared" si="78"/>
        <v>Q4</v>
      </c>
    </row>
    <row r="5036" spans="1:8">
      <c r="A5036">
        <v>708806</v>
      </c>
      <c r="B5036" t="s">
        <v>4586</v>
      </c>
      <c r="C5036">
        <v>61</v>
      </c>
      <c r="D5036">
        <v>2.0720477750311099</v>
      </c>
      <c r="E5036">
        <v>126.39491427689801</v>
      </c>
      <c r="F5036">
        <v>0.86035137880440904</v>
      </c>
      <c r="G5036">
        <v>0.81061660584628104</v>
      </c>
      <c r="H5036" t="str">
        <f t="shared" si="78"/>
        <v>Q4</v>
      </c>
    </row>
    <row r="5037" spans="1:8">
      <c r="A5037">
        <v>726223</v>
      </c>
      <c r="B5037" t="s">
        <v>1654</v>
      </c>
      <c r="C5037">
        <v>31</v>
      </c>
      <c r="D5037">
        <v>4.07326406528873</v>
      </c>
      <c r="E5037">
        <v>126.271186023951</v>
      </c>
      <c r="F5037">
        <v>0.766073511154584</v>
      </c>
      <c r="G5037">
        <v>0.81057898498927805</v>
      </c>
      <c r="H5037" t="str">
        <f t="shared" si="78"/>
        <v>Q4</v>
      </c>
    </row>
    <row r="5038" spans="1:8">
      <c r="A5038">
        <v>814762</v>
      </c>
      <c r="B5038" t="s">
        <v>3043</v>
      </c>
      <c r="C5038">
        <v>39</v>
      </c>
      <c r="D5038">
        <v>3.2356366276358899</v>
      </c>
      <c r="E5038">
        <v>126.18982847780001</v>
      </c>
      <c r="F5038">
        <v>0.80087280388247195</v>
      </c>
      <c r="G5038">
        <v>0.81054136413227496</v>
      </c>
      <c r="H5038" t="str">
        <f t="shared" si="78"/>
        <v>Q4</v>
      </c>
    </row>
    <row r="5039" spans="1:8">
      <c r="A5039">
        <v>657415</v>
      </c>
      <c r="B5039" t="s">
        <v>1395</v>
      </c>
      <c r="C5039">
        <v>73</v>
      </c>
      <c r="D5039">
        <v>1.7273043690581</v>
      </c>
      <c r="E5039">
        <v>126.093218941242</v>
      </c>
      <c r="F5039">
        <v>0.88111809187013301</v>
      </c>
      <c r="G5039">
        <v>0.81050374327527197</v>
      </c>
      <c r="H5039" t="str">
        <f t="shared" si="78"/>
        <v>Q4</v>
      </c>
    </row>
    <row r="5040" spans="1:8">
      <c r="A5040">
        <v>783217</v>
      </c>
      <c r="B5040" t="s">
        <v>2292</v>
      </c>
      <c r="C5040">
        <v>39</v>
      </c>
      <c r="D5040">
        <v>3.2320295006800901</v>
      </c>
      <c r="E5040">
        <v>126.049150526524</v>
      </c>
      <c r="F5040">
        <v>0.80087280388247195</v>
      </c>
      <c r="G5040">
        <v>0.81046612241826899</v>
      </c>
      <c r="H5040" t="str">
        <f t="shared" si="78"/>
        <v>Q4</v>
      </c>
    </row>
    <row r="5041" spans="1:8">
      <c r="A5041">
        <v>708679</v>
      </c>
      <c r="B5041" t="s">
        <v>2783</v>
      </c>
      <c r="C5041">
        <v>31</v>
      </c>
      <c r="D5041">
        <v>4.0650082211340601</v>
      </c>
      <c r="E5041">
        <v>126.015254855156</v>
      </c>
      <c r="F5041">
        <v>0.766073511154584</v>
      </c>
      <c r="G5041">
        <v>0.810428501561266</v>
      </c>
      <c r="H5041" t="str">
        <f t="shared" si="78"/>
        <v>Q4</v>
      </c>
    </row>
    <row r="5042" spans="1:8">
      <c r="A5042">
        <v>632362</v>
      </c>
      <c r="B5042" t="s">
        <v>5062</v>
      </c>
      <c r="C5042">
        <v>89</v>
      </c>
      <c r="D5042">
        <v>1.4157874263781201</v>
      </c>
      <c r="E5042">
        <v>126.005080947652</v>
      </c>
      <c r="F5042">
        <v>0.90135811293781298</v>
      </c>
      <c r="G5042">
        <v>0.81039088070426202</v>
      </c>
      <c r="H5042" t="str">
        <f t="shared" si="78"/>
        <v>Q4</v>
      </c>
    </row>
    <row r="5043" spans="1:8">
      <c r="A5043">
        <v>716153</v>
      </c>
      <c r="B5043" t="s">
        <v>1811</v>
      </c>
      <c r="C5043">
        <v>42</v>
      </c>
      <c r="D5043">
        <v>2.9992735944688298</v>
      </c>
      <c r="E5043">
        <v>125.969490967691</v>
      </c>
      <c r="F5043">
        <v>0.81103043527331597</v>
      </c>
      <c r="G5043">
        <v>0.81035325984725903</v>
      </c>
      <c r="H5043" t="str">
        <f t="shared" si="78"/>
        <v>Q4</v>
      </c>
    </row>
    <row r="5044" spans="1:8">
      <c r="A5044">
        <v>734144</v>
      </c>
      <c r="B5044" t="s">
        <v>1880</v>
      </c>
      <c r="C5044">
        <v>31</v>
      </c>
      <c r="D5044">
        <v>4.06314931930073</v>
      </c>
      <c r="E5044">
        <v>125.95762889832299</v>
      </c>
      <c r="F5044">
        <v>0.766073511154584</v>
      </c>
      <c r="G5044">
        <v>0.81031563899025605</v>
      </c>
      <c r="H5044" t="str">
        <f t="shared" si="78"/>
        <v>Q4</v>
      </c>
    </row>
    <row r="5045" spans="1:8">
      <c r="A5045">
        <v>638355</v>
      </c>
      <c r="B5045" t="s">
        <v>1518</v>
      </c>
      <c r="C5045">
        <v>36</v>
      </c>
      <c r="D5045">
        <v>3.4983521430856701</v>
      </c>
      <c r="E5045">
        <v>125.940677151084</v>
      </c>
      <c r="F5045">
        <v>0.78890937135547901</v>
      </c>
      <c r="G5045">
        <v>0.81027801813325295</v>
      </c>
      <c r="H5045" t="str">
        <f t="shared" si="78"/>
        <v>Q4</v>
      </c>
    </row>
    <row r="5046" spans="1:8">
      <c r="A5046">
        <v>794791</v>
      </c>
      <c r="B5046" t="s">
        <v>5267</v>
      </c>
      <c r="C5046">
        <v>53</v>
      </c>
      <c r="D5046">
        <v>2.3762391335418802</v>
      </c>
      <c r="E5046">
        <v>125.940674077719</v>
      </c>
      <c r="F5046">
        <v>0.84218050487190099</v>
      </c>
      <c r="G5046">
        <v>0.81024039727624997</v>
      </c>
      <c r="H5046" t="str">
        <f t="shared" si="78"/>
        <v>Q4</v>
      </c>
    </row>
    <row r="5047" spans="1:8">
      <c r="A5047">
        <v>781032</v>
      </c>
      <c r="B5047" t="s">
        <v>3958</v>
      </c>
      <c r="C5047">
        <v>21</v>
      </c>
      <c r="D5047">
        <v>5.9970943878094403</v>
      </c>
      <c r="E5047">
        <v>125.938982143998</v>
      </c>
      <c r="F5047">
        <v>0.70008652797110704</v>
      </c>
      <c r="G5047">
        <v>0.81020277641924698</v>
      </c>
      <c r="H5047" t="str">
        <f t="shared" si="78"/>
        <v>Q3</v>
      </c>
    </row>
    <row r="5048" spans="1:8">
      <c r="A5048">
        <v>780031</v>
      </c>
      <c r="B5048" t="s">
        <v>3900</v>
      </c>
      <c r="C5048">
        <v>3</v>
      </c>
      <c r="D5048">
        <v>41.977401574452699</v>
      </c>
      <c r="E5048">
        <v>125.932204723358</v>
      </c>
      <c r="F5048">
        <v>0.26345886159286702</v>
      </c>
      <c r="G5048">
        <v>0.810165155562244</v>
      </c>
      <c r="H5048" t="str">
        <f t="shared" si="78"/>
        <v>Q3</v>
      </c>
    </row>
    <row r="5049" spans="1:8">
      <c r="A5049">
        <v>748574</v>
      </c>
      <c r="B5049" t="s">
        <v>2542</v>
      </c>
      <c r="C5049">
        <v>62</v>
      </c>
      <c r="D5049">
        <v>2.0311371573517398</v>
      </c>
      <c r="E5049">
        <v>125.930503755808</v>
      </c>
      <c r="F5049">
        <v>0.86238290508257798</v>
      </c>
      <c r="G5049">
        <v>0.81012753470524101</v>
      </c>
      <c r="H5049" t="str">
        <f t="shared" si="78"/>
        <v>Q4</v>
      </c>
    </row>
    <row r="5050" spans="1:8">
      <c r="A5050">
        <v>554704</v>
      </c>
      <c r="B5050" t="s">
        <v>3853</v>
      </c>
      <c r="C5050">
        <v>41</v>
      </c>
      <c r="D5050">
        <v>3.0702769347443799</v>
      </c>
      <c r="E5050">
        <v>125.88135432452</v>
      </c>
      <c r="F5050">
        <v>0.80787028328505295</v>
      </c>
      <c r="G5050">
        <v>0.81008991384823703</v>
      </c>
      <c r="H5050" t="str">
        <f t="shared" si="78"/>
        <v>Q4</v>
      </c>
    </row>
    <row r="5051" spans="1:8">
      <c r="A5051">
        <v>714650</v>
      </c>
      <c r="B5051" t="s">
        <v>3955</v>
      </c>
      <c r="C5051">
        <v>39</v>
      </c>
      <c r="D5051">
        <v>3.2269882181516101</v>
      </c>
      <c r="E5051">
        <v>125.85254050791301</v>
      </c>
      <c r="F5051">
        <v>0.80087280388247195</v>
      </c>
      <c r="G5051">
        <v>0.81005229299123405</v>
      </c>
      <c r="H5051" t="str">
        <f t="shared" si="78"/>
        <v>Q4</v>
      </c>
    </row>
    <row r="5052" spans="1:8">
      <c r="A5052">
        <v>667491</v>
      </c>
      <c r="B5052" t="s">
        <v>620</v>
      </c>
      <c r="C5052">
        <v>70</v>
      </c>
      <c r="D5052">
        <v>1.7978208166148</v>
      </c>
      <c r="E5052">
        <v>125.847457163036</v>
      </c>
      <c r="F5052">
        <v>0.87555020503367098</v>
      </c>
      <c r="G5052">
        <v>0.81001467213423095</v>
      </c>
      <c r="H5052" t="str">
        <f t="shared" si="78"/>
        <v>Q4</v>
      </c>
    </row>
    <row r="5053" spans="1:8">
      <c r="A5053">
        <v>701247</v>
      </c>
      <c r="B5053" t="s">
        <v>4033</v>
      </c>
      <c r="C5053">
        <v>16</v>
      </c>
      <c r="D5053">
        <v>7.8635594109073299</v>
      </c>
      <c r="E5053">
        <v>125.81695057451699</v>
      </c>
      <c r="F5053">
        <v>0.64756781159474797</v>
      </c>
      <c r="G5053">
        <v>0.80997705127722797</v>
      </c>
      <c r="H5053" t="str">
        <f t="shared" si="78"/>
        <v>Q3</v>
      </c>
    </row>
    <row r="5054" spans="1:8">
      <c r="A5054">
        <v>519588</v>
      </c>
      <c r="B5054" t="s">
        <v>4436</v>
      </c>
      <c r="C5054">
        <v>79</v>
      </c>
      <c r="D5054">
        <v>1.5919973814412001</v>
      </c>
      <c r="E5054">
        <v>125.76779313385499</v>
      </c>
      <c r="F5054">
        <v>0.89022233926488803</v>
      </c>
      <c r="G5054">
        <v>0.80993943042022498</v>
      </c>
      <c r="H5054" t="str">
        <f t="shared" si="78"/>
        <v>Q4</v>
      </c>
    </row>
    <row r="5055" spans="1:8">
      <c r="A5055">
        <v>718227</v>
      </c>
      <c r="B5055" t="s">
        <v>1535</v>
      </c>
      <c r="C5055">
        <v>51</v>
      </c>
      <c r="D5055">
        <v>2.4660019907077699</v>
      </c>
      <c r="E5055">
        <v>125.76610152609599</v>
      </c>
      <c r="F5055">
        <v>0.83762838117452298</v>
      </c>
      <c r="G5055">
        <v>0.809901809563222</v>
      </c>
      <c r="H5055" t="str">
        <f t="shared" si="78"/>
        <v>Q4</v>
      </c>
    </row>
    <row r="5056" spans="1:8">
      <c r="A5056">
        <v>815616</v>
      </c>
      <c r="B5056" t="s">
        <v>1514</v>
      </c>
      <c r="C5056">
        <v>31</v>
      </c>
      <c r="D5056">
        <v>4.0557681973422701</v>
      </c>
      <c r="E5056">
        <v>125.72881411761</v>
      </c>
      <c r="F5056">
        <v>0.766073511154584</v>
      </c>
      <c r="G5056">
        <v>0.80986418870621901</v>
      </c>
      <c r="H5056" t="str">
        <f t="shared" si="78"/>
        <v>Q4</v>
      </c>
    </row>
    <row r="5057" spans="1:8">
      <c r="A5057">
        <v>324946</v>
      </c>
      <c r="B5057" t="s">
        <v>1113</v>
      </c>
      <c r="C5057">
        <v>99</v>
      </c>
      <c r="D5057">
        <v>1.26961135638247</v>
      </c>
      <c r="E5057">
        <v>125.691524281865</v>
      </c>
      <c r="F5057">
        <v>0.91076332718859299</v>
      </c>
      <c r="G5057">
        <v>0.80982656784921603</v>
      </c>
      <c r="H5057" t="str">
        <f t="shared" si="78"/>
        <v>Q4</v>
      </c>
    </row>
    <row r="5058" spans="1:8">
      <c r="A5058">
        <v>661914</v>
      </c>
      <c r="B5058" t="s">
        <v>4958</v>
      </c>
      <c r="C5058">
        <v>15</v>
      </c>
      <c r="D5058">
        <v>8.37435050557057</v>
      </c>
      <c r="E5058">
        <v>125.615257583559</v>
      </c>
      <c r="F5058">
        <v>0.63496482449870195</v>
      </c>
      <c r="G5058">
        <v>0.80978894699221204</v>
      </c>
      <c r="H5058" t="str">
        <f t="shared" si="78"/>
        <v>Q3</v>
      </c>
    </row>
    <row r="5059" spans="1:8">
      <c r="A5059">
        <v>765498</v>
      </c>
      <c r="B5059" t="s">
        <v>2598</v>
      </c>
      <c r="C5059">
        <v>40</v>
      </c>
      <c r="D5059">
        <v>3.1403389340266599</v>
      </c>
      <c r="E5059">
        <v>125.613557361066</v>
      </c>
      <c r="F5059">
        <v>0.804522027011775</v>
      </c>
      <c r="G5059">
        <v>0.80975132613520895</v>
      </c>
      <c r="H5059" t="str">
        <f t="shared" ref="H5059:H5122" si="79">IF(C5059&gt;$J$2,
   IF(D5059&gt;$J$3,"Q1","Q2"),
   IF(D5059&gt;$J$3,"Q3","Q4"))</f>
        <v>Q4</v>
      </c>
    </row>
    <row r="5060" spans="1:8">
      <c r="A5060">
        <v>797164</v>
      </c>
      <c r="B5060" t="s">
        <v>3279</v>
      </c>
      <c r="C5060">
        <v>39</v>
      </c>
      <c r="D5060">
        <v>3.22059968916269</v>
      </c>
      <c r="E5060">
        <v>125.603387877345</v>
      </c>
      <c r="F5060">
        <v>0.80087280388247195</v>
      </c>
      <c r="G5060">
        <v>0.80971370527820596</v>
      </c>
      <c r="H5060" t="str">
        <f t="shared" si="79"/>
        <v>Q4</v>
      </c>
    </row>
    <row r="5061" spans="1:8">
      <c r="A5061">
        <v>640989</v>
      </c>
      <c r="B5061" t="s">
        <v>3513</v>
      </c>
      <c r="C5061">
        <v>29</v>
      </c>
      <c r="D5061">
        <v>4.3306254107376603</v>
      </c>
      <c r="E5061">
        <v>125.588136911392</v>
      </c>
      <c r="F5061">
        <v>0.75501297919566601</v>
      </c>
      <c r="G5061">
        <v>0.80967608442120298</v>
      </c>
      <c r="H5061" t="str">
        <f t="shared" si="79"/>
        <v>Q4</v>
      </c>
    </row>
    <row r="5062" spans="1:8">
      <c r="A5062">
        <v>699220</v>
      </c>
      <c r="B5062" t="s">
        <v>4881</v>
      </c>
      <c r="C5062">
        <v>22</v>
      </c>
      <c r="D5062">
        <v>5.7083976709029898</v>
      </c>
      <c r="E5062">
        <v>125.584748759866</v>
      </c>
      <c r="F5062">
        <v>0.707723561942741</v>
      </c>
      <c r="G5062">
        <v>0.80963846356419999</v>
      </c>
      <c r="H5062" t="str">
        <f t="shared" si="79"/>
        <v>Q3</v>
      </c>
    </row>
    <row r="5063" spans="1:8">
      <c r="A5063">
        <v>739341</v>
      </c>
      <c r="B5063" t="s">
        <v>1417</v>
      </c>
      <c r="C5063">
        <v>23</v>
      </c>
      <c r="D5063">
        <v>5.4599854042348701</v>
      </c>
      <c r="E5063">
        <v>125.579664297402</v>
      </c>
      <c r="F5063">
        <v>0.71547345848538402</v>
      </c>
      <c r="G5063">
        <v>0.80960084270719701</v>
      </c>
      <c r="H5063" t="str">
        <f t="shared" si="79"/>
        <v>Q3</v>
      </c>
    </row>
    <row r="5064" spans="1:8">
      <c r="A5064">
        <v>710328</v>
      </c>
      <c r="B5064" t="s">
        <v>3508</v>
      </c>
      <c r="C5064">
        <v>21</v>
      </c>
      <c r="D5064">
        <v>5.9788539384802197</v>
      </c>
      <c r="E5064">
        <v>125.555932708085</v>
      </c>
      <c r="F5064">
        <v>0.70008652797110704</v>
      </c>
      <c r="G5064">
        <v>0.80956322185019403</v>
      </c>
      <c r="H5064" t="str">
        <f t="shared" si="79"/>
        <v>Q3</v>
      </c>
    </row>
    <row r="5065" spans="1:8">
      <c r="A5065">
        <v>765433</v>
      </c>
      <c r="B5065" t="s">
        <v>4747</v>
      </c>
      <c r="C5065">
        <v>44</v>
      </c>
      <c r="D5065">
        <v>2.85319717685607</v>
      </c>
      <c r="E5065">
        <v>125.54067578166701</v>
      </c>
      <c r="F5065">
        <v>0.817689326962868</v>
      </c>
      <c r="G5065">
        <v>0.80952560099319104</v>
      </c>
      <c r="H5065" t="str">
        <f t="shared" si="79"/>
        <v>Q4</v>
      </c>
    </row>
    <row r="5066" spans="1:8">
      <c r="A5066">
        <v>688785</v>
      </c>
      <c r="B5066" t="s">
        <v>3871</v>
      </c>
      <c r="C5066">
        <v>39</v>
      </c>
      <c r="D5066">
        <v>3.2181225048425901</v>
      </c>
      <c r="E5066">
        <v>125.50677768886101</v>
      </c>
      <c r="F5066">
        <v>0.80087280388247195</v>
      </c>
      <c r="G5066">
        <v>0.80948798013618795</v>
      </c>
      <c r="H5066" t="str">
        <f t="shared" si="79"/>
        <v>Q4</v>
      </c>
    </row>
    <row r="5067" spans="1:8">
      <c r="A5067">
        <v>761432</v>
      </c>
      <c r="B5067" t="s">
        <v>2606</v>
      </c>
      <c r="C5067">
        <v>84</v>
      </c>
      <c r="D5067">
        <v>1.49402744746545</v>
      </c>
      <c r="E5067">
        <v>125.498305587098</v>
      </c>
      <c r="F5067">
        <v>0.89639215981340103</v>
      </c>
      <c r="G5067">
        <v>0.80945035927918396</v>
      </c>
      <c r="H5067" t="str">
        <f t="shared" si="79"/>
        <v>Q4</v>
      </c>
    </row>
    <row r="5068" spans="1:8">
      <c r="A5068">
        <v>711947</v>
      </c>
      <c r="B5068" t="s">
        <v>923</v>
      </c>
      <c r="C5068">
        <v>30</v>
      </c>
      <c r="D5068">
        <v>4.1807344680031102</v>
      </c>
      <c r="E5068">
        <v>125.422034040093</v>
      </c>
      <c r="F5068">
        <v>0.760430382604116</v>
      </c>
      <c r="G5068">
        <v>0.80941273842218098</v>
      </c>
      <c r="H5068" t="str">
        <f t="shared" si="79"/>
        <v>Q4</v>
      </c>
    </row>
    <row r="5069" spans="1:8">
      <c r="A5069">
        <v>818764</v>
      </c>
      <c r="B5069" t="s">
        <v>381</v>
      </c>
      <c r="C5069">
        <v>36</v>
      </c>
      <c r="D5069">
        <v>3.4836629198657101</v>
      </c>
      <c r="E5069">
        <v>125.41186511516599</v>
      </c>
      <c r="F5069">
        <v>0.78890937135547901</v>
      </c>
      <c r="G5069">
        <v>0.80937511756517799</v>
      </c>
      <c r="H5069" t="str">
        <f t="shared" si="79"/>
        <v>Q4</v>
      </c>
    </row>
    <row r="5070" spans="1:8">
      <c r="A5070">
        <v>725278</v>
      </c>
      <c r="B5070" t="s">
        <v>3161</v>
      </c>
      <c r="C5070">
        <v>13</v>
      </c>
      <c r="D5070">
        <v>9.6457629536206895</v>
      </c>
      <c r="E5070">
        <v>125.39491839706901</v>
      </c>
      <c r="F5070">
        <v>0.60539483089424795</v>
      </c>
      <c r="G5070">
        <v>0.80933749670817501</v>
      </c>
      <c r="H5070" t="str">
        <f t="shared" si="79"/>
        <v>Q3</v>
      </c>
    </row>
    <row r="5071" spans="1:8">
      <c r="A5071">
        <v>809362</v>
      </c>
      <c r="B5071" t="s">
        <v>3388</v>
      </c>
      <c r="C5071">
        <v>42</v>
      </c>
      <c r="D5071">
        <v>2.9854317993990001</v>
      </c>
      <c r="E5071">
        <v>125.388135574758</v>
      </c>
      <c r="F5071">
        <v>0.81103043527331597</v>
      </c>
      <c r="G5071">
        <v>0.80929987585117202</v>
      </c>
      <c r="H5071" t="str">
        <f t="shared" si="79"/>
        <v>Q4</v>
      </c>
    </row>
    <row r="5072" spans="1:8">
      <c r="A5072">
        <v>670202</v>
      </c>
      <c r="B5072" t="s">
        <v>2946</v>
      </c>
      <c r="C5072">
        <v>28</v>
      </c>
      <c r="D5072">
        <v>4.47693705292685</v>
      </c>
      <c r="E5072">
        <v>125.354237481952</v>
      </c>
      <c r="F5072">
        <v>0.74974605921522897</v>
      </c>
      <c r="G5072">
        <v>0.80926225499416904</v>
      </c>
      <c r="H5072" t="str">
        <f t="shared" si="79"/>
        <v>Q4</v>
      </c>
    </row>
    <row r="5073" spans="1:8">
      <c r="A5073">
        <v>745686</v>
      </c>
      <c r="B5073" t="s">
        <v>3235</v>
      </c>
      <c r="C5073">
        <v>43</v>
      </c>
      <c r="D5073">
        <v>2.9150177356462099</v>
      </c>
      <c r="E5073">
        <v>125.345762632787</v>
      </c>
      <c r="F5073">
        <v>0.81437869154659304</v>
      </c>
      <c r="G5073">
        <v>0.80922463413716605</v>
      </c>
      <c r="H5073" t="str">
        <f t="shared" si="79"/>
        <v>Q4</v>
      </c>
    </row>
    <row r="5074" spans="1:8">
      <c r="A5074">
        <v>676640</v>
      </c>
      <c r="B5074" t="s">
        <v>996</v>
      </c>
      <c r="C5074">
        <v>20</v>
      </c>
      <c r="D5074">
        <v>6.2632203008979603</v>
      </c>
      <c r="E5074">
        <v>125.264406017959</v>
      </c>
      <c r="F5074">
        <v>0.69196042285843296</v>
      </c>
      <c r="G5074">
        <v>0.80918701328016296</v>
      </c>
      <c r="H5074" t="str">
        <f t="shared" si="79"/>
        <v>Q3</v>
      </c>
    </row>
    <row r="5075" spans="1:8">
      <c r="A5075">
        <v>748597</v>
      </c>
      <c r="B5075" t="s">
        <v>1148</v>
      </c>
      <c r="C5075">
        <v>39</v>
      </c>
      <c r="D5075">
        <v>3.21082131793866</v>
      </c>
      <c r="E5075">
        <v>125.222031399608</v>
      </c>
      <c r="F5075">
        <v>0.80087280388247195</v>
      </c>
      <c r="G5075">
        <v>0.80914939242315898</v>
      </c>
      <c r="H5075" t="str">
        <f t="shared" si="79"/>
        <v>Q4</v>
      </c>
    </row>
    <row r="5076" spans="1:8">
      <c r="A5076">
        <v>665703</v>
      </c>
      <c r="B5076" t="s">
        <v>4077</v>
      </c>
      <c r="C5076">
        <v>35</v>
      </c>
      <c r="D5076">
        <v>3.5766101628541902</v>
      </c>
      <c r="E5076">
        <v>125.181355699897</v>
      </c>
      <c r="F5076">
        <v>0.78420676423008895</v>
      </c>
      <c r="G5076">
        <v>0.80911177156615599</v>
      </c>
      <c r="H5076" t="str">
        <f t="shared" si="79"/>
        <v>Q4</v>
      </c>
    </row>
    <row r="5077" spans="1:8">
      <c r="A5077">
        <v>733979</v>
      </c>
      <c r="B5077" t="s">
        <v>4283</v>
      </c>
      <c r="C5077">
        <v>12</v>
      </c>
      <c r="D5077">
        <v>10.4296610380212</v>
      </c>
      <c r="E5077">
        <v>125.155932456255</v>
      </c>
      <c r="F5077">
        <v>0.58748730296076102</v>
      </c>
      <c r="G5077">
        <v>0.80907415070915301</v>
      </c>
      <c r="H5077" t="str">
        <f t="shared" si="79"/>
        <v>Q3</v>
      </c>
    </row>
    <row r="5078" spans="1:8">
      <c r="A5078">
        <v>711649</v>
      </c>
      <c r="B5078" t="s">
        <v>182</v>
      </c>
      <c r="C5078">
        <v>52</v>
      </c>
      <c r="D5078">
        <v>2.4060299942413201</v>
      </c>
      <c r="E5078">
        <v>125.113559700549</v>
      </c>
      <c r="F5078">
        <v>0.84003611602272299</v>
      </c>
      <c r="G5078">
        <v>0.80903652985215002</v>
      </c>
      <c r="H5078" t="str">
        <f t="shared" si="79"/>
        <v>Q4</v>
      </c>
    </row>
    <row r="5079" spans="1:8">
      <c r="A5079">
        <v>765510</v>
      </c>
      <c r="B5079" t="s">
        <v>270</v>
      </c>
      <c r="C5079">
        <v>41</v>
      </c>
      <c r="D5079">
        <v>3.05101278169853</v>
      </c>
      <c r="E5079">
        <v>125.09152404964</v>
      </c>
      <c r="F5079">
        <v>0.80787028328505295</v>
      </c>
      <c r="G5079">
        <v>0.80899890899514704</v>
      </c>
      <c r="H5079" t="str">
        <f t="shared" si="79"/>
        <v>Q4</v>
      </c>
    </row>
    <row r="5080" spans="1:8">
      <c r="A5080">
        <v>774039</v>
      </c>
      <c r="B5080" t="s">
        <v>4636</v>
      </c>
      <c r="C5080">
        <v>30</v>
      </c>
      <c r="D5080">
        <v>4.1691525528828297</v>
      </c>
      <c r="E5080">
        <v>125.07457658648499</v>
      </c>
      <c r="F5080">
        <v>0.760430382604116</v>
      </c>
      <c r="G5080">
        <v>0.80896128813814405</v>
      </c>
      <c r="H5080" t="str">
        <f t="shared" si="79"/>
        <v>Q4</v>
      </c>
    </row>
    <row r="5081" spans="1:8">
      <c r="A5081">
        <v>733851</v>
      </c>
      <c r="B5081" t="s">
        <v>4302</v>
      </c>
      <c r="C5081">
        <v>13</v>
      </c>
      <c r="D5081">
        <v>9.6172101222551802</v>
      </c>
      <c r="E5081">
        <v>125.02373158931699</v>
      </c>
      <c r="F5081">
        <v>0.60539483089424795</v>
      </c>
      <c r="G5081">
        <v>0.80892366728114096</v>
      </c>
      <c r="H5081" t="str">
        <f t="shared" si="79"/>
        <v>Q3</v>
      </c>
    </row>
    <row r="5082" spans="1:8">
      <c r="A5082">
        <v>707181</v>
      </c>
      <c r="B5082" t="s">
        <v>3525</v>
      </c>
      <c r="C5082">
        <v>21</v>
      </c>
      <c r="D5082">
        <v>5.9533495101190796</v>
      </c>
      <c r="E5082">
        <v>125.020339712501</v>
      </c>
      <c r="F5082">
        <v>0.70008652797110704</v>
      </c>
      <c r="G5082">
        <v>0.80888604642413797</v>
      </c>
      <c r="H5082" t="str">
        <f t="shared" si="79"/>
        <v>Q3</v>
      </c>
    </row>
    <row r="5083" spans="1:8">
      <c r="A5083">
        <v>633450</v>
      </c>
      <c r="B5083" t="s">
        <v>4524</v>
      </c>
      <c r="C5083">
        <v>33</v>
      </c>
      <c r="D5083">
        <v>3.7881356297117299</v>
      </c>
      <c r="E5083">
        <v>125.008475780487</v>
      </c>
      <c r="F5083">
        <v>0.77551634626236798</v>
      </c>
      <c r="G5083">
        <v>0.80884842556713399</v>
      </c>
      <c r="H5083" t="str">
        <f t="shared" si="79"/>
        <v>Q4</v>
      </c>
    </row>
    <row r="5084" spans="1:8">
      <c r="A5084">
        <v>793886</v>
      </c>
      <c r="B5084" t="s">
        <v>128</v>
      </c>
      <c r="C5084">
        <v>25</v>
      </c>
      <c r="D5084">
        <v>4.9959323108196303</v>
      </c>
      <c r="E5084">
        <v>124.898307770491</v>
      </c>
      <c r="F5084">
        <v>0.72991986757458305</v>
      </c>
      <c r="G5084">
        <v>0.808810804710131</v>
      </c>
      <c r="H5084" t="str">
        <f t="shared" si="79"/>
        <v>Q3</v>
      </c>
    </row>
    <row r="5085" spans="1:8">
      <c r="A5085">
        <v>620083</v>
      </c>
      <c r="B5085" t="s">
        <v>237</v>
      </c>
      <c r="C5085">
        <v>74</v>
      </c>
      <c r="D5085">
        <v>1.68740264945538</v>
      </c>
      <c r="E5085">
        <v>124.86779605969799</v>
      </c>
      <c r="F5085">
        <v>0.88307437643429498</v>
      </c>
      <c r="G5085">
        <v>0.80877318385312802</v>
      </c>
      <c r="H5085" t="str">
        <f t="shared" si="79"/>
        <v>Q4</v>
      </c>
    </row>
    <row r="5086" spans="1:8">
      <c r="A5086">
        <v>800537</v>
      </c>
      <c r="B5086" t="s">
        <v>1847</v>
      </c>
      <c r="C5086">
        <v>11</v>
      </c>
      <c r="D5086">
        <v>11.3494607535276</v>
      </c>
      <c r="E5086">
        <v>124.844068288803</v>
      </c>
      <c r="F5086">
        <v>0.56957977502727497</v>
      </c>
      <c r="G5086">
        <v>0.80873556299612503</v>
      </c>
      <c r="H5086" t="str">
        <f t="shared" si="79"/>
        <v>Q3</v>
      </c>
    </row>
    <row r="5087" spans="1:8">
      <c r="A5087">
        <v>734877</v>
      </c>
      <c r="B5087" t="s">
        <v>3365</v>
      </c>
      <c r="C5087">
        <v>25</v>
      </c>
      <c r="D5087">
        <v>4.9930848628282503</v>
      </c>
      <c r="E5087">
        <v>124.827121570706</v>
      </c>
      <c r="F5087">
        <v>0.72991986757458305</v>
      </c>
      <c r="G5087">
        <v>0.80869794213912205</v>
      </c>
      <c r="H5087" t="str">
        <f t="shared" si="79"/>
        <v>Q3</v>
      </c>
    </row>
    <row r="5088" spans="1:8">
      <c r="A5088">
        <v>721468</v>
      </c>
      <c r="B5088" t="s">
        <v>2568</v>
      </c>
      <c r="C5088">
        <v>52</v>
      </c>
      <c r="D5088">
        <v>2.4004237296489599</v>
      </c>
      <c r="E5088">
        <v>124.822033941746</v>
      </c>
      <c r="F5088">
        <v>0.84003611602272299</v>
      </c>
      <c r="G5088">
        <v>0.80866032128211895</v>
      </c>
      <c r="H5088" t="str">
        <f t="shared" si="79"/>
        <v>Q4</v>
      </c>
    </row>
    <row r="5089" spans="1:8">
      <c r="A5089">
        <v>686461</v>
      </c>
      <c r="B5089" t="s">
        <v>865</v>
      </c>
      <c r="C5089">
        <v>22</v>
      </c>
      <c r="D5089">
        <v>5.6731126186522598</v>
      </c>
      <c r="E5089">
        <v>124.80847761035</v>
      </c>
      <c r="F5089">
        <v>0.707723561942741</v>
      </c>
      <c r="G5089">
        <v>0.80862270042511597</v>
      </c>
      <c r="H5089" t="str">
        <f t="shared" si="79"/>
        <v>Q3</v>
      </c>
    </row>
    <row r="5090" spans="1:8">
      <c r="A5090">
        <v>792782</v>
      </c>
      <c r="B5090" t="s">
        <v>415</v>
      </c>
      <c r="C5090">
        <v>33</v>
      </c>
      <c r="D5090">
        <v>3.78156138414686</v>
      </c>
      <c r="E5090">
        <v>124.791525676847</v>
      </c>
      <c r="F5090">
        <v>0.77551634626236798</v>
      </c>
      <c r="G5090">
        <v>0.80858507956811299</v>
      </c>
      <c r="H5090" t="str">
        <f t="shared" si="79"/>
        <v>Q4</v>
      </c>
    </row>
    <row r="5091" spans="1:8">
      <c r="A5091">
        <v>800382</v>
      </c>
      <c r="B5091" t="s">
        <v>1459</v>
      </c>
      <c r="C5091">
        <v>15</v>
      </c>
      <c r="D5091">
        <v>8.3161583542823792</v>
      </c>
      <c r="E5091">
        <v>124.742375314236</v>
      </c>
      <c r="F5091">
        <v>0.63496482449870195</v>
      </c>
      <c r="G5091">
        <v>0.808547458711109</v>
      </c>
      <c r="H5091" t="str">
        <f t="shared" si="79"/>
        <v>Q3</v>
      </c>
    </row>
    <row r="5092" spans="1:8">
      <c r="A5092">
        <v>810849</v>
      </c>
      <c r="B5092" t="s">
        <v>3037</v>
      </c>
      <c r="C5092">
        <v>21</v>
      </c>
      <c r="D5092">
        <v>5.9401129328069198</v>
      </c>
      <c r="E5092">
        <v>124.74237158894501</v>
      </c>
      <c r="F5092">
        <v>0.70008652797110704</v>
      </c>
      <c r="G5092">
        <v>0.80850983785410602</v>
      </c>
      <c r="H5092" t="str">
        <f t="shared" si="79"/>
        <v>Q3</v>
      </c>
    </row>
    <row r="5093" spans="1:8">
      <c r="A5093">
        <v>708722</v>
      </c>
      <c r="B5093" t="s">
        <v>1622</v>
      </c>
      <c r="C5093">
        <v>51</v>
      </c>
      <c r="D5093">
        <v>2.4448986420882699</v>
      </c>
      <c r="E5093">
        <v>124.689830746502</v>
      </c>
      <c r="F5093">
        <v>0.83762838117452298</v>
      </c>
      <c r="G5093">
        <v>0.80847221699710303</v>
      </c>
      <c r="H5093" t="str">
        <f t="shared" si="79"/>
        <v>Q4</v>
      </c>
    </row>
    <row r="5094" spans="1:8">
      <c r="A5094">
        <v>715519</v>
      </c>
      <c r="B5094" t="s">
        <v>3381</v>
      </c>
      <c r="C5094">
        <v>41</v>
      </c>
      <c r="D5094">
        <v>3.0399338046951998</v>
      </c>
      <c r="E5094">
        <v>124.637285992503</v>
      </c>
      <c r="F5094">
        <v>0.80787028328505295</v>
      </c>
      <c r="G5094">
        <v>0.80843459614010005</v>
      </c>
      <c r="H5094" t="str">
        <f t="shared" si="79"/>
        <v>Q4</v>
      </c>
    </row>
    <row r="5095" spans="1:8">
      <c r="A5095">
        <v>697245</v>
      </c>
      <c r="B5095" t="s">
        <v>3995</v>
      </c>
      <c r="C5095">
        <v>31</v>
      </c>
      <c r="D5095">
        <v>4.0203936998882597</v>
      </c>
      <c r="E5095">
        <v>124.63220469653599</v>
      </c>
      <c r="F5095">
        <v>0.766073511154584</v>
      </c>
      <c r="G5095">
        <v>0.80839697528309695</v>
      </c>
      <c r="H5095" t="str">
        <f t="shared" si="79"/>
        <v>Q4</v>
      </c>
    </row>
    <row r="5096" spans="1:8">
      <c r="A5096">
        <v>717797</v>
      </c>
      <c r="B5096" t="s">
        <v>197</v>
      </c>
      <c r="C5096">
        <v>33</v>
      </c>
      <c r="D5096">
        <v>3.7766307084397801</v>
      </c>
      <c r="E5096">
        <v>124.628813378513</v>
      </c>
      <c r="F5096">
        <v>0.77551634626236798</v>
      </c>
      <c r="G5096">
        <v>0.80835935442609397</v>
      </c>
      <c r="H5096" t="str">
        <f t="shared" si="79"/>
        <v>Q4</v>
      </c>
    </row>
    <row r="5097" spans="1:8">
      <c r="A5097">
        <v>715024</v>
      </c>
      <c r="B5097" t="s">
        <v>142</v>
      </c>
      <c r="C5097">
        <v>43</v>
      </c>
      <c r="D5097">
        <v>2.8975955838727399</v>
      </c>
      <c r="E5097">
        <v>124.596610106528</v>
      </c>
      <c r="F5097">
        <v>0.81437869154659304</v>
      </c>
      <c r="G5097">
        <v>0.80832173356909098</v>
      </c>
      <c r="H5097" t="str">
        <f t="shared" si="79"/>
        <v>Q4</v>
      </c>
    </row>
    <row r="5098" spans="1:8">
      <c r="A5098">
        <v>766233</v>
      </c>
      <c r="B5098" t="s">
        <v>2715</v>
      </c>
      <c r="C5098">
        <v>22</v>
      </c>
      <c r="D5098">
        <v>5.6633283299478601</v>
      </c>
      <c r="E5098">
        <v>124.593223258853</v>
      </c>
      <c r="F5098">
        <v>0.707723561942741</v>
      </c>
      <c r="G5098">
        <v>0.808284112712088</v>
      </c>
      <c r="H5098" t="str">
        <f t="shared" si="79"/>
        <v>Q3</v>
      </c>
    </row>
    <row r="5099" spans="1:8">
      <c r="A5099">
        <v>777246</v>
      </c>
      <c r="B5099" t="s">
        <v>1466</v>
      </c>
      <c r="C5099">
        <v>16</v>
      </c>
      <c r="D5099">
        <v>7.7862288570031497</v>
      </c>
      <c r="E5099">
        <v>124.57966171205</v>
      </c>
      <c r="F5099">
        <v>0.64756781159474797</v>
      </c>
      <c r="G5099">
        <v>0.80824649185508401</v>
      </c>
      <c r="H5099" t="str">
        <f t="shared" si="79"/>
        <v>Q3</v>
      </c>
    </row>
    <row r="5100" spans="1:8">
      <c r="A5100">
        <v>701347</v>
      </c>
      <c r="B5100" t="s">
        <v>999</v>
      </c>
      <c r="C5100">
        <v>5</v>
      </c>
      <c r="D5100">
        <v>24.915253520011898</v>
      </c>
      <c r="E5100">
        <v>124.57626760006001</v>
      </c>
      <c r="F5100">
        <v>0.385989992852037</v>
      </c>
      <c r="G5100">
        <v>0.80820887099808103</v>
      </c>
      <c r="H5100" t="str">
        <f t="shared" si="79"/>
        <v>Q3</v>
      </c>
    </row>
    <row r="5101" spans="1:8">
      <c r="A5101">
        <v>625818</v>
      </c>
      <c r="B5101" t="s">
        <v>2825</v>
      </c>
      <c r="C5101">
        <v>69</v>
      </c>
      <c r="D5101">
        <v>1.8050109960840699</v>
      </c>
      <c r="E5101">
        <v>124.54575872980099</v>
      </c>
      <c r="F5101">
        <v>0.87393250818253598</v>
      </c>
      <c r="G5101">
        <v>0.80817125014107805</v>
      </c>
      <c r="H5101" t="str">
        <f t="shared" si="79"/>
        <v>Q4</v>
      </c>
    </row>
    <row r="5102" spans="1:8">
      <c r="A5102">
        <v>712675</v>
      </c>
      <c r="B5102" t="s">
        <v>2961</v>
      </c>
      <c r="C5102">
        <v>19</v>
      </c>
      <c r="D5102">
        <v>6.5539697675328501</v>
      </c>
      <c r="E5102">
        <v>124.525425583124</v>
      </c>
      <c r="F5102">
        <v>0.68195327489560198</v>
      </c>
      <c r="G5102">
        <v>0.80813362928407495</v>
      </c>
      <c r="H5102" t="str">
        <f t="shared" si="79"/>
        <v>Q3</v>
      </c>
    </row>
    <row r="5103" spans="1:8">
      <c r="A5103">
        <v>761204</v>
      </c>
      <c r="B5103" t="s">
        <v>4526</v>
      </c>
      <c r="C5103">
        <v>89</v>
      </c>
      <c r="D5103">
        <v>1.3989906187765699</v>
      </c>
      <c r="E5103">
        <v>124.510165071115</v>
      </c>
      <c r="F5103">
        <v>0.90135811293781298</v>
      </c>
      <c r="G5103">
        <v>0.80809600842707197</v>
      </c>
      <c r="H5103" t="str">
        <f t="shared" si="79"/>
        <v>Q4</v>
      </c>
    </row>
    <row r="5104" spans="1:8">
      <c r="A5104">
        <v>716115</v>
      </c>
      <c r="B5104" t="s">
        <v>4590</v>
      </c>
      <c r="C5104">
        <v>26</v>
      </c>
      <c r="D5104">
        <v>4.7880704944523496</v>
      </c>
      <c r="E5104">
        <v>124.48983285576099</v>
      </c>
      <c r="F5104">
        <v>0.73706783040517698</v>
      </c>
      <c r="G5104">
        <v>0.80805838757006898</v>
      </c>
      <c r="H5104" t="str">
        <f t="shared" si="79"/>
        <v>Q4</v>
      </c>
    </row>
    <row r="5105" spans="1:8">
      <c r="A5105">
        <v>398089</v>
      </c>
      <c r="B5105" t="s">
        <v>4389</v>
      </c>
      <c r="C5105">
        <v>125</v>
      </c>
      <c r="D5105">
        <v>0.99540336132049601</v>
      </c>
      <c r="E5105">
        <v>124.42542016506199</v>
      </c>
      <c r="F5105">
        <v>0.93028855197321403</v>
      </c>
      <c r="G5105">
        <v>0.808020766713066</v>
      </c>
      <c r="H5105" t="str">
        <f t="shared" si="79"/>
        <v>Q4</v>
      </c>
    </row>
    <row r="5106" spans="1:8">
      <c r="A5106">
        <v>692979</v>
      </c>
      <c r="B5106" t="s">
        <v>3578</v>
      </c>
      <c r="C5106">
        <v>109</v>
      </c>
      <c r="D5106">
        <v>1.1414554425079499</v>
      </c>
      <c r="E5106">
        <v>124.418643233366</v>
      </c>
      <c r="F5106">
        <v>0.91922802001429604</v>
      </c>
      <c r="G5106">
        <v>0.80798314585606301</v>
      </c>
      <c r="H5106" t="str">
        <f t="shared" si="79"/>
        <v>Q4</v>
      </c>
    </row>
    <row r="5107" spans="1:8">
      <c r="A5107">
        <v>710608</v>
      </c>
      <c r="B5107" t="s">
        <v>3095</v>
      </c>
      <c r="C5107">
        <v>25</v>
      </c>
      <c r="D5107">
        <v>4.9766102582216298</v>
      </c>
      <c r="E5107">
        <v>124.415256455541</v>
      </c>
      <c r="F5107">
        <v>0.72991986757458305</v>
      </c>
      <c r="G5107">
        <v>0.80794552499905903</v>
      </c>
      <c r="H5107" t="str">
        <f t="shared" si="79"/>
        <v>Q3</v>
      </c>
    </row>
    <row r="5108" spans="1:8">
      <c r="A5108">
        <v>756189</v>
      </c>
      <c r="B5108" t="s">
        <v>4564</v>
      </c>
      <c r="C5108">
        <v>51</v>
      </c>
      <c r="D5108">
        <v>2.4393153924714102</v>
      </c>
      <c r="E5108">
        <v>124.40508501604199</v>
      </c>
      <c r="F5108">
        <v>0.83762838117452298</v>
      </c>
      <c r="G5108">
        <v>0.80790790414205604</v>
      </c>
      <c r="H5108" t="str">
        <f t="shared" si="79"/>
        <v>Q4</v>
      </c>
    </row>
    <row r="5109" spans="1:8">
      <c r="A5109">
        <v>710114</v>
      </c>
      <c r="B5109" t="s">
        <v>2595</v>
      </c>
      <c r="C5109">
        <v>38</v>
      </c>
      <c r="D5109">
        <v>3.2737734188374699</v>
      </c>
      <c r="E5109">
        <v>124.40338991582399</v>
      </c>
      <c r="F5109">
        <v>0.79696023475414801</v>
      </c>
      <c r="G5109">
        <v>0.80787028328505295</v>
      </c>
      <c r="H5109" t="str">
        <f t="shared" si="79"/>
        <v>Q4</v>
      </c>
    </row>
    <row r="5110" spans="1:8">
      <c r="A5110">
        <v>725178</v>
      </c>
      <c r="B5110" t="s">
        <v>1465</v>
      </c>
      <c r="C5110">
        <v>18</v>
      </c>
      <c r="D5110">
        <v>6.9063089322298801</v>
      </c>
      <c r="E5110">
        <v>124.313560780138</v>
      </c>
      <c r="F5110">
        <v>0.67044129265264696</v>
      </c>
      <c r="G5110">
        <v>0.80783266242804996</v>
      </c>
      <c r="H5110" t="str">
        <f t="shared" si="79"/>
        <v>Q3</v>
      </c>
    </row>
    <row r="5111" spans="1:8">
      <c r="A5111">
        <v>694349</v>
      </c>
      <c r="B5111" t="s">
        <v>2262</v>
      </c>
      <c r="C5111">
        <v>30</v>
      </c>
      <c r="D5111">
        <v>4.1431074092785503</v>
      </c>
      <c r="E5111">
        <v>124.29322227835701</v>
      </c>
      <c r="F5111">
        <v>0.760430382604116</v>
      </c>
      <c r="G5111">
        <v>0.80779504157104698</v>
      </c>
      <c r="H5111" t="str">
        <f t="shared" si="79"/>
        <v>Q4</v>
      </c>
    </row>
    <row r="5112" spans="1:8">
      <c r="A5112">
        <v>743491</v>
      </c>
      <c r="B5112" t="s">
        <v>1164</v>
      </c>
      <c r="C5112">
        <v>26</v>
      </c>
      <c r="D5112">
        <v>4.77744467699757</v>
      </c>
      <c r="E5112">
        <v>124.213561601937</v>
      </c>
      <c r="F5112">
        <v>0.73706783040517698</v>
      </c>
      <c r="G5112">
        <v>0.80775742071404399</v>
      </c>
      <c r="H5112" t="str">
        <f t="shared" si="79"/>
        <v>Q4</v>
      </c>
    </row>
    <row r="5113" spans="1:8">
      <c r="A5113">
        <v>796010</v>
      </c>
      <c r="B5113" t="s">
        <v>1151</v>
      </c>
      <c r="C5113">
        <v>33</v>
      </c>
      <c r="D5113">
        <v>3.7632768183495098</v>
      </c>
      <c r="E5113">
        <v>124.18813500553399</v>
      </c>
      <c r="F5113">
        <v>0.77551634626236798</v>
      </c>
      <c r="G5113">
        <v>0.80771979985704101</v>
      </c>
      <c r="H5113" t="str">
        <f t="shared" si="79"/>
        <v>Q4</v>
      </c>
    </row>
    <row r="5114" spans="1:8">
      <c r="A5114">
        <v>634320</v>
      </c>
      <c r="B5114" t="s">
        <v>3633</v>
      </c>
      <c r="C5114">
        <v>53</v>
      </c>
      <c r="D5114">
        <v>2.34122159100085</v>
      </c>
      <c r="E5114">
        <v>124.084744323045</v>
      </c>
      <c r="F5114">
        <v>0.84218050487190099</v>
      </c>
      <c r="G5114">
        <v>0.80768217900003803</v>
      </c>
      <c r="H5114" t="str">
        <f t="shared" si="79"/>
        <v>Q4</v>
      </c>
    </row>
    <row r="5115" spans="1:8">
      <c r="A5115">
        <v>779281</v>
      </c>
      <c r="B5115" t="s">
        <v>2166</v>
      </c>
      <c r="C5115">
        <v>37</v>
      </c>
      <c r="D5115">
        <v>3.3535958997703901</v>
      </c>
      <c r="E5115">
        <v>124.083048291504</v>
      </c>
      <c r="F5115">
        <v>0.79304766562582296</v>
      </c>
      <c r="G5115">
        <v>0.80764455814303404</v>
      </c>
      <c r="H5115" t="str">
        <f t="shared" si="79"/>
        <v>Q4</v>
      </c>
    </row>
    <row r="5116" spans="1:8">
      <c r="A5116">
        <v>641914</v>
      </c>
      <c r="B5116" t="s">
        <v>4469</v>
      </c>
      <c r="C5116">
        <v>52</v>
      </c>
      <c r="D5116">
        <v>2.3859191596364702</v>
      </c>
      <c r="E5116">
        <v>124.067796301097</v>
      </c>
      <c r="F5116">
        <v>0.84003611602272299</v>
      </c>
      <c r="G5116">
        <v>0.80760693728603095</v>
      </c>
      <c r="H5116" t="str">
        <f t="shared" si="79"/>
        <v>Q4</v>
      </c>
    </row>
    <row r="5117" spans="1:8">
      <c r="A5117">
        <v>789729</v>
      </c>
      <c r="B5117" t="s">
        <v>2470</v>
      </c>
      <c r="C5117">
        <v>13</v>
      </c>
      <c r="D5117">
        <v>9.54198195384099</v>
      </c>
      <c r="E5117">
        <v>124.045765399933</v>
      </c>
      <c r="F5117">
        <v>0.60539483089424795</v>
      </c>
      <c r="G5117">
        <v>0.80756931642902796</v>
      </c>
      <c r="H5117" t="str">
        <f t="shared" si="79"/>
        <v>Q3</v>
      </c>
    </row>
    <row r="5118" spans="1:8">
      <c r="A5118">
        <v>710389</v>
      </c>
      <c r="B5118" t="e" cm="1">
        <f t="array" ref="B5118">+ Madeira Tankini</f>
        <v>#NAME?</v>
      </c>
      <c r="C5118">
        <v>34</v>
      </c>
      <c r="D5118">
        <v>3.64810572389294</v>
      </c>
      <c r="E5118">
        <v>124.03559461236</v>
      </c>
      <c r="F5118">
        <v>0.77969226138971404</v>
      </c>
      <c r="G5118">
        <v>0.80753169557202498</v>
      </c>
      <c r="H5118" t="str">
        <f t="shared" si="79"/>
        <v>Q4</v>
      </c>
    </row>
    <row r="5119" spans="1:8">
      <c r="A5119">
        <v>692115</v>
      </c>
      <c r="B5119" t="s">
        <v>5134</v>
      </c>
      <c r="C5119">
        <v>38</v>
      </c>
      <c r="D5119">
        <v>3.2605262865361402</v>
      </c>
      <c r="E5119">
        <v>123.89999888837301</v>
      </c>
      <c r="F5119">
        <v>0.79696023475414801</v>
      </c>
      <c r="G5119">
        <v>0.80749407471502199</v>
      </c>
      <c r="H5119" t="str">
        <f t="shared" si="79"/>
        <v>Q4</v>
      </c>
    </row>
    <row r="5120" spans="1:8">
      <c r="A5120">
        <v>706104</v>
      </c>
      <c r="B5120" t="s">
        <v>946</v>
      </c>
      <c r="C5120">
        <v>31</v>
      </c>
      <c r="D5120">
        <v>3.9963367905828302</v>
      </c>
      <c r="E5120">
        <v>123.88644050806801</v>
      </c>
      <c r="F5120">
        <v>0.766073511154584</v>
      </c>
      <c r="G5120">
        <v>0.80745645385801901</v>
      </c>
      <c r="H5120" t="str">
        <f t="shared" si="79"/>
        <v>Q4</v>
      </c>
    </row>
    <row r="5121" spans="1:8">
      <c r="A5121">
        <v>672320</v>
      </c>
      <c r="B5121" t="s">
        <v>1978</v>
      </c>
      <c r="C5121">
        <v>64</v>
      </c>
      <c r="D5121">
        <v>1.9356725890247599</v>
      </c>
      <c r="E5121">
        <v>123.883045697585</v>
      </c>
      <c r="F5121">
        <v>0.86633309506790601</v>
      </c>
      <c r="G5121">
        <v>0.80741883300101602</v>
      </c>
      <c r="H5121" t="str">
        <f t="shared" si="79"/>
        <v>Q4</v>
      </c>
    </row>
    <row r="5122" spans="1:8">
      <c r="A5122">
        <v>737432</v>
      </c>
      <c r="B5122" t="s">
        <v>2195</v>
      </c>
      <c r="C5122">
        <v>33</v>
      </c>
      <c r="D5122">
        <v>3.75254235766602</v>
      </c>
      <c r="E5122">
        <v>123.833897802979</v>
      </c>
      <c r="F5122">
        <v>0.77551634626236798</v>
      </c>
      <c r="G5122">
        <v>0.80738121214401304</v>
      </c>
      <c r="H5122" t="str">
        <f t="shared" si="79"/>
        <v>Q4</v>
      </c>
    </row>
    <row r="5123" spans="1:8">
      <c r="A5123">
        <v>746034</v>
      </c>
      <c r="B5123" t="s">
        <v>5202</v>
      </c>
      <c r="C5123">
        <v>13</v>
      </c>
      <c r="D5123">
        <v>9.5247721156248701</v>
      </c>
      <c r="E5123">
        <v>123.822037503123</v>
      </c>
      <c r="F5123">
        <v>0.60539483089424795</v>
      </c>
      <c r="G5123">
        <v>0.80734359128700905</v>
      </c>
      <c r="H5123" t="str">
        <f t="shared" ref="H5123:H5186" si="80">IF(C5123&gt;$J$2,
   IF(D5123&gt;$J$3,"Q1","Q2"),
   IF(D5123&gt;$J$3,"Q3","Q4"))</f>
        <v>Q3</v>
      </c>
    </row>
    <row r="5124" spans="1:8">
      <c r="A5124">
        <v>773170</v>
      </c>
      <c r="B5124" t="s">
        <v>2385</v>
      </c>
      <c r="C5124">
        <v>61</v>
      </c>
      <c r="D5124">
        <v>2.0294804106939801</v>
      </c>
      <c r="E5124">
        <v>123.79830505233301</v>
      </c>
      <c r="F5124">
        <v>0.86035137880440904</v>
      </c>
      <c r="G5124">
        <v>0.80730597043000596</v>
      </c>
      <c r="H5124" t="str">
        <f t="shared" si="80"/>
        <v>Q4</v>
      </c>
    </row>
    <row r="5125" spans="1:8">
      <c r="A5125">
        <v>785414</v>
      </c>
      <c r="B5125" t="s">
        <v>3367</v>
      </c>
      <c r="C5125">
        <v>74</v>
      </c>
      <c r="D5125">
        <v>1.67281257013815</v>
      </c>
      <c r="E5125">
        <v>123.788130190223</v>
      </c>
      <c r="F5125">
        <v>0.88307437643429498</v>
      </c>
      <c r="G5125">
        <v>0.80726834957300297</v>
      </c>
      <c r="H5125" t="str">
        <f t="shared" si="80"/>
        <v>Q4</v>
      </c>
    </row>
    <row r="5126" spans="1:8">
      <c r="A5126">
        <v>654615</v>
      </c>
      <c r="B5126" t="s">
        <v>2043</v>
      </c>
      <c r="C5126">
        <v>23</v>
      </c>
      <c r="D5126">
        <v>5.3776714950799898</v>
      </c>
      <c r="E5126">
        <v>123.68644438683999</v>
      </c>
      <c r="F5126">
        <v>0.71547345848538402</v>
      </c>
      <c r="G5126">
        <v>0.80723072871599999</v>
      </c>
      <c r="H5126" t="str">
        <f t="shared" si="80"/>
        <v>Q3</v>
      </c>
    </row>
    <row r="5127" spans="1:8">
      <c r="A5127">
        <v>685606</v>
      </c>
      <c r="B5127" t="s">
        <v>628</v>
      </c>
      <c r="C5127">
        <v>53</v>
      </c>
      <c r="D5127">
        <v>2.3334185610402298</v>
      </c>
      <c r="E5127">
        <v>123.671183735132</v>
      </c>
      <c r="F5127">
        <v>0.84218050487190099</v>
      </c>
      <c r="G5127">
        <v>0.80719310785899701</v>
      </c>
      <c r="H5127" t="str">
        <f t="shared" si="80"/>
        <v>Q4</v>
      </c>
    </row>
    <row r="5128" spans="1:8">
      <c r="A5128">
        <v>647756</v>
      </c>
      <c r="B5128" t="s">
        <v>2632</v>
      </c>
      <c r="C5128">
        <v>60</v>
      </c>
      <c r="D5128">
        <v>2.0602542332684002</v>
      </c>
      <c r="E5128">
        <v>123.615253996104</v>
      </c>
      <c r="F5128">
        <v>0.85805650652721899</v>
      </c>
      <c r="G5128">
        <v>0.80715548700199402</v>
      </c>
      <c r="H5128" t="str">
        <f t="shared" si="80"/>
        <v>Q4</v>
      </c>
    </row>
    <row r="5129" spans="1:8">
      <c r="A5129">
        <v>522346</v>
      </c>
      <c r="B5129" t="s">
        <v>1651</v>
      </c>
      <c r="C5129">
        <v>32</v>
      </c>
      <c r="D5129">
        <v>3.8612288248259601</v>
      </c>
      <c r="E5129">
        <v>123.55932239443101</v>
      </c>
      <c r="F5129">
        <v>0.77096422256498998</v>
      </c>
      <c r="G5129">
        <v>0.80711786614499104</v>
      </c>
      <c r="H5129" t="str">
        <f t="shared" si="80"/>
        <v>Q4</v>
      </c>
    </row>
    <row r="5130" spans="1:8">
      <c r="A5130">
        <v>809431</v>
      </c>
      <c r="B5130" t="s">
        <v>4934</v>
      </c>
      <c r="C5130">
        <v>22</v>
      </c>
      <c r="D5130">
        <v>5.6131742386655397</v>
      </c>
      <c r="E5130">
        <v>123.48983325064199</v>
      </c>
      <c r="F5130">
        <v>0.707723561942741</v>
      </c>
      <c r="G5130">
        <v>0.80708024528798805</v>
      </c>
      <c r="H5130" t="str">
        <f t="shared" si="80"/>
        <v>Q3</v>
      </c>
    </row>
    <row r="5131" spans="1:8">
      <c r="A5131">
        <v>733399</v>
      </c>
      <c r="B5131" t="s">
        <v>1813</v>
      </c>
      <c r="C5131">
        <v>76</v>
      </c>
      <c r="D5131">
        <v>1.62486611914478</v>
      </c>
      <c r="E5131">
        <v>123.489825055003</v>
      </c>
      <c r="F5131">
        <v>0.88612166585154795</v>
      </c>
      <c r="G5131">
        <v>0.80704262443098496</v>
      </c>
      <c r="H5131" t="str">
        <f t="shared" si="80"/>
        <v>Q4</v>
      </c>
    </row>
    <row r="5132" spans="1:8">
      <c r="A5132">
        <v>756242</v>
      </c>
      <c r="B5132" t="s">
        <v>2657</v>
      </c>
      <c r="C5132">
        <v>50</v>
      </c>
      <c r="D5132">
        <v>2.4694915302097802</v>
      </c>
      <c r="E5132">
        <v>123.474576510489</v>
      </c>
      <c r="F5132">
        <v>0.83559685489635405</v>
      </c>
      <c r="G5132">
        <v>0.80700500357398097</v>
      </c>
      <c r="H5132" t="str">
        <f t="shared" si="80"/>
        <v>Q4</v>
      </c>
    </row>
    <row r="5133" spans="1:8">
      <c r="A5133">
        <v>783934</v>
      </c>
      <c r="B5133" t="s">
        <v>2917</v>
      </c>
      <c r="C5133">
        <v>20</v>
      </c>
      <c r="D5133">
        <v>6.1730507854372298</v>
      </c>
      <c r="E5133">
        <v>123.46101570874499</v>
      </c>
      <c r="F5133">
        <v>0.69196042285843296</v>
      </c>
      <c r="G5133">
        <v>0.80696738271697799</v>
      </c>
      <c r="H5133" t="str">
        <f t="shared" si="80"/>
        <v>Q3</v>
      </c>
    </row>
    <row r="5134" spans="1:8">
      <c r="A5134">
        <v>477507</v>
      </c>
      <c r="B5134" t="s">
        <v>4953</v>
      </c>
      <c r="C5134">
        <v>74</v>
      </c>
      <c r="D5134">
        <v>1.6669949076163599</v>
      </c>
      <c r="E5134">
        <v>123.357623163611</v>
      </c>
      <c r="F5134">
        <v>0.88307437643429498</v>
      </c>
      <c r="G5134">
        <v>0.806929761859975</v>
      </c>
      <c r="H5134" t="str">
        <f t="shared" si="80"/>
        <v>Q4</v>
      </c>
    </row>
    <row r="5135" spans="1:8">
      <c r="A5135">
        <v>784785</v>
      </c>
      <c r="B5135" t="s">
        <v>4184</v>
      </c>
      <c r="C5135">
        <v>59</v>
      </c>
      <c r="D5135">
        <v>2.0902038835999299</v>
      </c>
      <c r="E5135">
        <v>123.322029132396</v>
      </c>
      <c r="F5135">
        <v>0.85617546367706299</v>
      </c>
      <c r="G5135">
        <v>0.80689214100297202</v>
      </c>
      <c r="H5135" t="str">
        <f t="shared" si="80"/>
        <v>Q4</v>
      </c>
    </row>
    <row r="5136" spans="1:8">
      <c r="A5136">
        <v>645970</v>
      </c>
      <c r="B5136" t="s">
        <v>2550</v>
      </c>
      <c r="C5136">
        <v>57</v>
      </c>
      <c r="D5136">
        <v>2.1631281332750101</v>
      </c>
      <c r="E5136">
        <v>123.298303596675</v>
      </c>
      <c r="F5136">
        <v>0.851849065121703</v>
      </c>
      <c r="G5136">
        <v>0.80685452014596903</v>
      </c>
      <c r="H5136" t="str">
        <f t="shared" si="80"/>
        <v>Q4</v>
      </c>
    </row>
    <row r="5137" spans="1:8">
      <c r="A5137">
        <v>811848</v>
      </c>
      <c r="B5137" t="s">
        <v>2209</v>
      </c>
      <c r="C5137">
        <v>16</v>
      </c>
      <c r="D5137">
        <v>7.7028602361679104</v>
      </c>
      <c r="E5137">
        <v>123.24576377868701</v>
      </c>
      <c r="F5137">
        <v>0.64756781159474797</v>
      </c>
      <c r="G5137">
        <v>0.80681689928896605</v>
      </c>
      <c r="H5137" t="str">
        <f t="shared" si="80"/>
        <v>Q3</v>
      </c>
    </row>
    <row r="5138" spans="1:8">
      <c r="A5138">
        <v>716671</v>
      </c>
      <c r="B5138" t="s">
        <v>1571</v>
      </c>
      <c r="C5138">
        <v>39</v>
      </c>
      <c r="D5138">
        <v>3.15636672939246</v>
      </c>
      <c r="E5138">
        <v>123.09830244630599</v>
      </c>
      <c r="F5138">
        <v>0.80087280388247195</v>
      </c>
      <c r="G5138">
        <v>0.80677927843196295</v>
      </c>
      <c r="H5138" t="str">
        <f t="shared" si="80"/>
        <v>Q4</v>
      </c>
    </row>
    <row r="5139" spans="1:8">
      <c r="A5139">
        <v>762694</v>
      </c>
      <c r="B5139" t="s">
        <v>4061</v>
      </c>
      <c r="C5139">
        <v>16</v>
      </c>
      <c r="D5139">
        <v>7.6872881967574402</v>
      </c>
      <c r="E5139">
        <v>122.996611148119</v>
      </c>
      <c r="F5139">
        <v>0.64756781159474797</v>
      </c>
      <c r="G5139">
        <v>0.80674165757495997</v>
      </c>
      <c r="H5139" t="str">
        <f t="shared" si="80"/>
        <v>Q3</v>
      </c>
    </row>
    <row r="5140" spans="1:8">
      <c r="A5140">
        <v>698899</v>
      </c>
      <c r="B5140" t="s">
        <v>2198</v>
      </c>
      <c r="C5140">
        <v>29</v>
      </c>
      <c r="D5140">
        <v>4.2408533587024104</v>
      </c>
      <c r="E5140">
        <v>122.98474740237</v>
      </c>
      <c r="F5140">
        <v>0.75501297919566601</v>
      </c>
      <c r="G5140">
        <v>0.80670403671795599</v>
      </c>
      <c r="H5140" t="str">
        <f t="shared" si="80"/>
        <v>Q4</v>
      </c>
    </row>
    <row r="5141" spans="1:8">
      <c r="A5141">
        <v>769070</v>
      </c>
      <c r="B5141" t="s">
        <v>2158</v>
      </c>
      <c r="C5141">
        <v>13</v>
      </c>
      <c r="D5141">
        <v>9.4569751276419698</v>
      </c>
      <c r="E5141">
        <v>122.940676659346</v>
      </c>
      <c r="F5141">
        <v>0.60539483089424795</v>
      </c>
      <c r="G5141">
        <v>0.806666415860953</v>
      </c>
      <c r="H5141" t="str">
        <f t="shared" si="80"/>
        <v>Q3</v>
      </c>
    </row>
    <row r="5142" spans="1:8">
      <c r="A5142">
        <v>786978</v>
      </c>
      <c r="B5142" t="s">
        <v>3906</v>
      </c>
      <c r="C5142">
        <v>9</v>
      </c>
      <c r="D5142">
        <v>13.6570622523626</v>
      </c>
      <c r="E5142">
        <v>122.91356027126299</v>
      </c>
      <c r="F5142">
        <v>0.52428426319551602</v>
      </c>
      <c r="G5142">
        <v>0.80662879500395002</v>
      </c>
      <c r="H5142" t="str">
        <f t="shared" si="80"/>
        <v>Q3</v>
      </c>
    </row>
    <row r="5143" spans="1:8">
      <c r="A5143">
        <v>760402</v>
      </c>
      <c r="B5143" t="s">
        <v>2830</v>
      </c>
      <c r="C5143">
        <v>23</v>
      </c>
      <c r="D5143">
        <v>5.34244665633077</v>
      </c>
      <c r="E5143">
        <v>122.876273095608</v>
      </c>
      <c r="F5143">
        <v>0.71547345848538402</v>
      </c>
      <c r="G5143">
        <v>0.80659117414694703</v>
      </c>
      <c r="H5143" t="str">
        <f t="shared" si="80"/>
        <v>Q3</v>
      </c>
    </row>
    <row r="5144" spans="1:8">
      <c r="A5144">
        <v>670707</v>
      </c>
      <c r="B5144" t="s">
        <v>4327</v>
      </c>
      <c r="C5144">
        <v>56</v>
      </c>
      <c r="D5144">
        <v>2.1942190692893102</v>
      </c>
      <c r="E5144">
        <v>122.876267880201</v>
      </c>
      <c r="F5144">
        <v>0.85004326398555397</v>
      </c>
      <c r="G5144">
        <v>0.80655355328994405</v>
      </c>
      <c r="H5144" t="str">
        <f t="shared" si="80"/>
        <v>Q4</v>
      </c>
    </row>
    <row r="5145" spans="1:8">
      <c r="A5145">
        <v>819141</v>
      </c>
      <c r="B5145" t="s">
        <v>2005</v>
      </c>
      <c r="C5145">
        <v>23</v>
      </c>
      <c r="D5145">
        <v>5.3396462422350197</v>
      </c>
      <c r="E5145">
        <v>122.811863571405</v>
      </c>
      <c r="F5145">
        <v>0.71547345848538402</v>
      </c>
      <c r="G5145">
        <v>0.80651593243294095</v>
      </c>
      <c r="H5145" t="str">
        <f t="shared" si="80"/>
        <v>Q3</v>
      </c>
    </row>
    <row r="5146" spans="1:8">
      <c r="A5146">
        <v>613942</v>
      </c>
      <c r="B5146" t="s">
        <v>1823</v>
      </c>
      <c r="C5146">
        <v>68</v>
      </c>
      <c r="D5146">
        <v>1.8060318293625199</v>
      </c>
      <c r="E5146">
        <v>122.810164396651</v>
      </c>
      <c r="F5146">
        <v>0.87223956961739602</v>
      </c>
      <c r="G5146">
        <v>0.80647831157593797</v>
      </c>
      <c r="H5146" t="str">
        <f t="shared" si="80"/>
        <v>Q4</v>
      </c>
    </row>
    <row r="5147" spans="1:8">
      <c r="A5147">
        <v>773264</v>
      </c>
      <c r="B5147" t="s">
        <v>1628</v>
      </c>
      <c r="C5147">
        <v>75</v>
      </c>
      <c r="D5147">
        <v>1.6366778959830599</v>
      </c>
      <c r="E5147">
        <v>122.75084219873</v>
      </c>
      <c r="F5147">
        <v>0.88420300214438896</v>
      </c>
      <c r="G5147">
        <v>0.80644069071893498</v>
      </c>
      <c r="H5147" t="str">
        <f t="shared" si="80"/>
        <v>Q4</v>
      </c>
    </row>
    <row r="5148" spans="1:8">
      <c r="A5148">
        <v>694124</v>
      </c>
      <c r="B5148" t="s">
        <v>3753</v>
      </c>
      <c r="C5148">
        <v>39</v>
      </c>
      <c r="D5148">
        <v>3.14624069306331</v>
      </c>
      <c r="E5148">
        <v>122.703387029469</v>
      </c>
      <c r="F5148">
        <v>0.80087280388247195</v>
      </c>
      <c r="G5148">
        <v>0.806403069861931</v>
      </c>
      <c r="H5148" t="str">
        <f t="shared" si="80"/>
        <v>Q4</v>
      </c>
    </row>
    <row r="5149" spans="1:8">
      <c r="A5149">
        <v>803137</v>
      </c>
      <c r="B5149" t="s">
        <v>1869</v>
      </c>
      <c r="C5149">
        <v>25</v>
      </c>
      <c r="D5149">
        <v>4.9051526188850403</v>
      </c>
      <c r="E5149">
        <v>122.62881547212601</v>
      </c>
      <c r="F5149">
        <v>0.72991986757458305</v>
      </c>
      <c r="G5149">
        <v>0.80636544900492801</v>
      </c>
      <c r="H5149" t="str">
        <f t="shared" si="80"/>
        <v>Q3</v>
      </c>
    </row>
    <row r="5150" spans="1:8">
      <c r="A5150">
        <v>743722</v>
      </c>
      <c r="B5150" t="s">
        <v>3110</v>
      </c>
      <c r="C5150">
        <v>90</v>
      </c>
      <c r="D5150">
        <v>1.36244819292592</v>
      </c>
      <c r="E5150">
        <v>122.62033736333299</v>
      </c>
      <c r="F5150">
        <v>0.90267484293292199</v>
      </c>
      <c r="G5150">
        <v>0.80632782814792503</v>
      </c>
      <c r="H5150" t="str">
        <f t="shared" si="80"/>
        <v>Q4</v>
      </c>
    </row>
    <row r="5151" spans="1:8">
      <c r="A5151">
        <v>708668</v>
      </c>
      <c r="B5151" t="s">
        <v>4836</v>
      </c>
      <c r="C5151">
        <v>14</v>
      </c>
      <c r="D5151">
        <v>8.7548427283763903</v>
      </c>
      <c r="E5151">
        <v>122.567798197269</v>
      </c>
      <c r="F5151">
        <v>0.62070651969451895</v>
      </c>
      <c r="G5151">
        <v>0.80629020729092205</v>
      </c>
      <c r="H5151" t="str">
        <f t="shared" si="80"/>
        <v>Q3</v>
      </c>
    </row>
    <row r="5152" spans="1:8">
      <c r="A5152">
        <v>783707</v>
      </c>
      <c r="B5152" t="s">
        <v>145</v>
      </c>
      <c r="C5152">
        <v>352</v>
      </c>
      <c r="D5152">
        <v>0.34795358167850099</v>
      </c>
      <c r="E5152">
        <v>122.479660750832</v>
      </c>
      <c r="F5152">
        <v>0.98058763778638902</v>
      </c>
      <c r="G5152">
        <v>0.80625258643391895</v>
      </c>
      <c r="H5152" t="str">
        <f t="shared" si="80"/>
        <v>Q2</v>
      </c>
    </row>
    <row r="5153" spans="1:8">
      <c r="A5153">
        <v>626810</v>
      </c>
      <c r="B5153" t="s">
        <v>2575</v>
      </c>
      <c r="C5153">
        <v>20</v>
      </c>
      <c r="D5153">
        <v>6.1224577669054296</v>
      </c>
      <c r="E5153">
        <v>122.44915533810899</v>
      </c>
      <c r="F5153">
        <v>0.69196042285843296</v>
      </c>
      <c r="G5153">
        <v>0.80621496557691597</v>
      </c>
      <c r="H5153" t="str">
        <f t="shared" si="80"/>
        <v>Q3</v>
      </c>
    </row>
    <row r="5154" spans="1:8">
      <c r="A5154">
        <v>501323</v>
      </c>
      <c r="B5154" t="s">
        <v>4864</v>
      </c>
      <c r="C5154">
        <v>37</v>
      </c>
      <c r="D5154">
        <v>3.3053137689224799</v>
      </c>
      <c r="E5154">
        <v>122.296609450132</v>
      </c>
      <c r="F5154">
        <v>0.79304766562582296</v>
      </c>
      <c r="G5154">
        <v>0.80617734471991298</v>
      </c>
      <c r="H5154" t="str">
        <f t="shared" si="80"/>
        <v>Q4</v>
      </c>
    </row>
    <row r="5155" spans="1:8">
      <c r="A5155">
        <v>828251</v>
      </c>
      <c r="B5155" t="s">
        <v>5095</v>
      </c>
      <c r="C5155">
        <v>26</v>
      </c>
      <c r="D5155">
        <v>4.7016950252537502</v>
      </c>
      <c r="E5155">
        <v>122.244070656598</v>
      </c>
      <c r="F5155">
        <v>0.73706783040517698</v>
      </c>
      <c r="G5155">
        <v>0.80613972386291</v>
      </c>
      <c r="H5155" t="str">
        <f t="shared" si="80"/>
        <v>Q4</v>
      </c>
    </row>
    <row r="5156" spans="1:8">
      <c r="A5156">
        <v>808271</v>
      </c>
      <c r="B5156" t="s">
        <v>826</v>
      </c>
      <c r="C5156">
        <v>38</v>
      </c>
      <c r="D5156">
        <v>3.2168153391562799</v>
      </c>
      <c r="E5156">
        <v>122.238982887939</v>
      </c>
      <c r="F5156">
        <v>0.79696023475414801</v>
      </c>
      <c r="G5156">
        <v>0.80610210300590601</v>
      </c>
      <c r="H5156" t="str">
        <f t="shared" si="80"/>
        <v>Q4</v>
      </c>
    </row>
    <row r="5157" spans="1:8">
      <c r="A5157">
        <v>715325</v>
      </c>
      <c r="B5157" t="s">
        <v>2666</v>
      </c>
      <c r="C5157">
        <v>48</v>
      </c>
      <c r="D5157">
        <v>2.5456567765407598</v>
      </c>
      <c r="E5157">
        <v>122.191525273956</v>
      </c>
      <c r="F5157">
        <v>0.82957751777585498</v>
      </c>
      <c r="G5157">
        <v>0.80606448214890303</v>
      </c>
      <c r="H5157" t="str">
        <f t="shared" si="80"/>
        <v>Q4</v>
      </c>
    </row>
    <row r="5158" spans="1:8">
      <c r="A5158">
        <v>736385</v>
      </c>
      <c r="B5158" t="s">
        <v>4103</v>
      </c>
      <c r="C5158">
        <v>30</v>
      </c>
      <c r="D5158">
        <v>4.0726553897062896</v>
      </c>
      <c r="E5158">
        <v>122.179661691189</v>
      </c>
      <c r="F5158">
        <v>0.760430382604116</v>
      </c>
      <c r="G5158">
        <v>0.80602686129190004</v>
      </c>
      <c r="H5158" t="str">
        <f t="shared" si="80"/>
        <v>Q4</v>
      </c>
    </row>
    <row r="5159" spans="1:8">
      <c r="A5159">
        <v>719103</v>
      </c>
      <c r="B5159" t="s">
        <v>1189</v>
      </c>
      <c r="C5159">
        <v>37</v>
      </c>
      <c r="D5159">
        <v>3.3007786835770299</v>
      </c>
      <c r="E5159">
        <v>122.12881129234999</v>
      </c>
      <c r="F5159">
        <v>0.79304766562582296</v>
      </c>
      <c r="G5159">
        <v>0.80598924043489695</v>
      </c>
      <c r="H5159" t="str">
        <f t="shared" si="80"/>
        <v>Q4</v>
      </c>
    </row>
    <row r="5160" spans="1:8">
      <c r="A5160">
        <v>189654</v>
      </c>
      <c r="B5160" t="s">
        <v>4006</v>
      </c>
      <c r="C5160">
        <v>155</v>
      </c>
      <c r="D5160">
        <v>0.78773100109350302</v>
      </c>
      <c r="E5160">
        <v>122.098305169493</v>
      </c>
      <c r="F5160">
        <v>0.94454685677739703</v>
      </c>
      <c r="G5160">
        <v>0.80595161957789396</v>
      </c>
      <c r="H5160" t="str">
        <f t="shared" si="80"/>
        <v>Q4</v>
      </c>
    </row>
    <row r="5161" spans="1:8">
      <c r="A5161">
        <v>818621</v>
      </c>
      <c r="B5161" t="s">
        <v>3918</v>
      </c>
      <c r="C5161">
        <v>8</v>
      </c>
      <c r="D5161">
        <v>15.2550848200917</v>
      </c>
      <c r="E5161">
        <v>122.04067856073399</v>
      </c>
      <c r="F5161">
        <v>0.49768631729430801</v>
      </c>
      <c r="G5161">
        <v>0.80591399872089098</v>
      </c>
      <c r="H5161" t="str">
        <f t="shared" si="80"/>
        <v>Q3</v>
      </c>
    </row>
    <row r="5162" spans="1:8">
      <c r="A5162">
        <v>746283</v>
      </c>
      <c r="B5162" t="s">
        <v>754</v>
      </c>
      <c r="C5162">
        <v>26</v>
      </c>
      <c r="D5162">
        <v>4.6937419101595896</v>
      </c>
      <c r="E5162">
        <v>122.037289664149</v>
      </c>
      <c r="F5162">
        <v>0.73706783040517698</v>
      </c>
      <c r="G5162">
        <v>0.80587637786388799</v>
      </c>
      <c r="H5162" t="str">
        <f t="shared" si="80"/>
        <v>Q4</v>
      </c>
    </row>
    <row r="5163" spans="1:8">
      <c r="A5163">
        <v>676632</v>
      </c>
      <c r="B5163" t="s">
        <v>2812</v>
      </c>
      <c r="C5163">
        <v>45</v>
      </c>
      <c r="D5163">
        <v>2.71145006227824</v>
      </c>
      <c r="E5163">
        <v>122.015252802521</v>
      </c>
      <c r="F5163">
        <v>0.82069899552311798</v>
      </c>
      <c r="G5163">
        <v>0.80583875700688501</v>
      </c>
      <c r="H5163" t="str">
        <f t="shared" si="80"/>
        <v>Q4</v>
      </c>
    </row>
    <row r="5164" spans="1:8">
      <c r="A5164">
        <v>717668</v>
      </c>
      <c r="B5164" t="s">
        <v>616</v>
      </c>
      <c r="C5164">
        <v>68</v>
      </c>
      <c r="D5164">
        <v>1.7942422062761201</v>
      </c>
      <c r="E5164">
        <v>122.008470026776</v>
      </c>
      <c r="F5164">
        <v>0.87223956961739602</v>
      </c>
      <c r="G5164">
        <v>0.80580113614988103</v>
      </c>
      <c r="H5164" t="str">
        <f t="shared" si="80"/>
        <v>Q4</v>
      </c>
    </row>
    <row r="5165" spans="1:8">
      <c r="A5165">
        <v>795273</v>
      </c>
      <c r="B5165" t="s">
        <v>4759</v>
      </c>
      <c r="C5165">
        <v>25</v>
      </c>
      <c r="D5165">
        <v>4.8796610981226003</v>
      </c>
      <c r="E5165">
        <v>121.991527453065</v>
      </c>
      <c r="F5165">
        <v>0.72991986757458305</v>
      </c>
      <c r="G5165">
        <v>0.80576351529287804</v>
      </c>
      <c r="H5165" t="str">
        <f t="shared" si="80"/>
        <v>Q4</v>
      </c>
    </row>
    <row r="5166" spans="1:8">
      <c r="A5166">
        <v>740211</v>
      </c>
      <c r="B5166" t="s">
        <v>5204</v>
      </c>
      <c r="C5166">
        <v>16</v>
      </c>
      <c r="D5166">
        <v>7.6192796695977396</v>
      </c>
      <c r="E5166">
        <v>121.908474713564</v>
      </c>
      <c r="F5166">
        <v>0.64756781159474797</v>
      </c>
      <c r="G5166">
        <v>0.80572589443587495</v>
      </c>
      <c r="H5166" t="str">
        <f t="shared" si="80"/>
        <v>Q3</v>
      </c>
    </row>
    <row r="5167" spans="1:8">
      <c r="A5167">
        <v>836265</v>
      </c>
      <c r="B5167" t="s">
        <v>2457</v>
      </c>
      <c r="C5167">
        <v>22</v>
      </c>
      <c r="D5167">
        <v>5.5411402982744304</v>
      </c>
      <c r="E5167">
        <v>121.905086562037</v>
      </c>
      <c r="F5167">
        <v>0.707723561942741</v>
      </c>
      <c r="G5167">
        <v>0.80568827357887196</v>
      </c>
      <c r="H5167" t="str">
        <f t="shared" si="80"/>
        <v>Q3</v>
      </c>
    </row>
    <row r="5168" spans="1:8">
      <c r="A5168">
        <v>678604</v>
      </c>
      <c r="B5168" t="s">
        <v>2993</v>
      </c>
      <c r="C5168">
        <v>17</v>
      </c>
      <c r="D5168">
        <v>7.1703888037625498</v>
      </c>
      <c r="E5168">
        <v>121.89660966396301</v>
      </c>
      <c r="F5168">
        <v>0.65926789812271902</v>
      </c>
      <c r="G5168">
        <v>0.80565065272186898</v>
      </c>
      <c r="H5168" t="str">
        <f t="shared" si="80"/>
        <v>Q3</v>
      </c>
    </row>
    <row r="5169" spans="1:8">
      <c r="A5169">
        <v>463970</v>
      </c>
      <c r="B5169" t="s">
        <v>1979</v>
      </c>
      <c r="C5169">
        <v>79</v>
      </c>
      <c r="D5169">
        <v>1.54273755306119</v>
      </c>
      <c r="E5169">
        <v>121.876266691834</v>
      </c>
      <c r="F5169">
        <v>0.89022233926488803</v>
      </c>
      <c r="G5169">
        <v>0.80561303186486599</v>
      </c>
      <c r="H5169" t="str">
        <f t="shared" si="80"/>
        <v>Q4</v>
      </c>
    </row>
    <row r="5170" spans="1:8">
      <c r="A5170">
        <v>753206</v>
      </c>
      <c r="B5170" t="s">
        <v>1403</v>
      </c>
      <c r="C5170">
        <v>42</v>
      </c>
      <c r="D5170">
        <v>2.9000000008160201</v>
      </c>
      <c r="E5170">
        <v>121.800000034273</v>
      </c>
      <c r="F5170">
        <v>0.81103043527331597</v>
      </c>
      <c r="G5170">
        <v>0.80557541100786301</v>
      </c>
      <c r="H5170" t="str">
        <f t="shared" si="80"/>
        <v>Q4</v>
      </c>
    </row>
    <row r="5171" spans="1:8">
      <c r="A5171">
        <v>763275</v>
      </c>
      <c r="B5171" t="s">
        <v>4173</v>
      </c>
      <c r="C5171">
        <v>151</v>
      </c>
      <c r="D5171">
        <v>0.80646536812581004</v>
      </c>
      <c r="E5171">
        <v>121.776270586997</v>
      </c>
      <c r="F5171">
        <v>0.94323012678228801</v>
      </c>
      <c r="G5171">
        <v>0.80553779015086002</v>
      </c>
      <c r="H5171" t="str">
        <f t="shared" si="80"/>
        <v>Q4</v>
      </c>
    </row>
    <row r="5172" spans="1:8">
      <c r="A5172">
        <v>733557</v>
      </c>
      <c r="B5172" t="s">
        <v>4289</v>
      </c>
      <c r="C5172">
        <v>8</v>
      </c>
      <c r="D5172">
        <v>15.217796713113801</v>
      </c>
      <c r="E5172">
        <v>121.74237370490999</v>
      </c>
      <c r="F5172">
        <v>0.49768631729430801</v>
      </c>
      <c r="G5172">
        <v>0.80550016929385604</v>
      </c>
      <c r="H5172" t="str">
        <f t="shared" si="80"/>
        <v>Q3</v>
      </c>
    </row>
    <row r="5173" spans="1:8">
      <c r="A5173">
        <v>807362</v>
      </c>
      <c r="B5173" t="s">
        <v>2315</v>
      </c>
      <c r="C5173">
        <v>15</v>
      </c>
      <c r="D5173">
        <v>8.1154803186654991</v>
      </c>
      <c r="E5173">
        <v>121.73220477998299</v>
      </c>
      <c r="F5173">
        <v>0.63496482449870195</v>
      </c>
      <c r="G5173">
        <v>0.80546254843685305</v>
      </c>
      <c r="H5173" t="str">
        <f t="shared" si="80"/>
        <v>Q3</v>
      </c>
    </row>
    <row r="5174" spans="1:8">
      <c r="A5174">
        <v>697920</v>
      </c>
      <c r="B5174" t="s">
        <v>3136</v>
      </c>
      <c r="C5174">
        <v>27</v>
      </c>
      <c r="D5174">
        <v>4.50853741279355</v>
      </c>
      <c r="E5174">
        <v>121.730510145426</v>
      </c>
      <c r="F5174">
        <v>0.74312478838267904</v>
      </c>
      <c r="G5174">
        <v>0.80542492757984996</v>
      </c>
      <c r="H5174" t="str">
        <f t="shared" si="80"/>
        <v>Q4</v>
      </c>
    </row>
    <row r="5175" spans="1:8">
      <c r="A5175">
        <v>742161</v>
      </c>
      <c r="B5175" t="s">
        <v>4132</v>
      </c>
      <c r="C5175">
        <v>26</v>
      </c>
      <c r="D5175">
        <v>4.6819426262607902</v>
      </c>
      <c r="E5175">
        <v>121.730508282781</v>
      </c>
      <c r="F5175">
        <v>0.73706783040517698</v>
      </c>
      <c r="G5175">
        <v>0.80538730672284697</v>
      </c>
      <c r="H5175" t="str">
        <f t="shared" si="80"/>
        <v>Q4</v>
      </c>
    </row>
    <row r="5176" spans="1:8">
      <c r="A5176">
        <v>715403</v>
      </c>
      <c r="B5176" t="s">
        <v>4588</v>
      </c>
      <c r="C5176">
        <v>11</v>
      </c>
      <c r="D5176">
        <v>11.064715006134699</v>
      </c>
      <c r="E5176">
        <v>121.71186506748199</v>
      </c>
      <c r="F5176">
        <v>0.56957977502727497</v>
      </c>
      <c r="G5176">
        <v>0.80534968586584399</v>
      </c>
      <c r="H5176" t="str">
        <f t="shared" si="80"/>
        <v>Q3</v>
      </c>
    </row>
    <row r="5177" spans="1:8">
      <c r="A5177">
        <v>744491</v>
      </c>
      <c r="B5177" t="s">
        <v>571</v>
      </c>
      <c r="C5177">
        <v>31</v>
      </c>
      <c r="D5177">
        <v>3.9235648398678098</v>
      </c>
      <c r="E5177">
        <v>121.63051003590201</v>
      </c>
      <c r="F5177">
        <v>0.766073511154584</v>
      </c>
      <c r="G5177">
        <v>0.805312065008841</v>
      </c>
      <c r="H5177" t="str">
        <f t="shared" si="80"/>
        <v>Q4</v>
      </c>
    </row>
    <row r="5178" spans="1:8">
      <c r="A5178">
        <v>740958</v>
      </c>
      <c r="B5178" t="s">
        <v>4249</v>
      </c>
      <c r="C5178">
        <v>85</v>
      </c>
      <c r="D5178">
        <v>1.4308274641413901</v>
      </c>
      <c r="E5178">
        <v>121.620334452018</v>
      </c>
      <c r="F5178">
        <v>0.89721981866746903</v>
      </c>
      <c r="G5178">
        <v>0.80527444415183802</v>
      </c>
      <c r="H5178" t="str">
        <f t="shared" si="80"/>
        <v>Q4</v>
      </c>
    </row>
    <row r="5179" spans="1:8">
      <c r="A5179">
        <v>616763</v>
      </c>
      <c r="B5179" t="s">
        <v>588</v>
      </c>
      <c r="C5179">
        <v>84</v>
      </c>
      <c r="D5179">
        <v>1.4475584540161299</v>
      </c>
      <c r="E5179">
        <v>121.594910137355</v>
      </c>
      <c r="F5179">
        <v>0.89639215981340103</v>
      </c>
      <c r="G5179">
        <v>0.80523682329483504</v>
      </c>
      <c r="H5179" t="str">
        <f t="shared" si="80"/>
        <v>Q4</v>
      </c>
    </row>
    <row r="5180" spans="1:8">
      <c r="A5180">
        <v>734346</v>
      </c>
      <c r="B5180" t="s">
        <v>602</v>
      </c>
      <c r="C5180">
        <v>38</v>
      </c>
      <c r="D5180">
        <v>3.1997323232261801</v>
      </c>
      <c r="E5180">
        <v>121.58982828259499</v>
      </c>
      <c r="F5180">
        <v>0.79696023475414801</v>
      </c>
      <c r="G5180">
        <v>0.80519920243783105</v>
      </c>
      <c r="H5180" t="str">
        <f t="shared" si="80"/>
        <v>Q4</v>
      </c>
    </row>
    <row r="5181" spans="1:8">
      <c r="A5181">
        <v>751910</v>
      </c>
      <c r="B5181" t="s">
        <v>2176</v>
      </c>
      <c r="C5181">
        <v>10</v>
      </c>
      <c r="D5181">
        <v>12.1588138490915</v>
      </c>
      <c r="E5181">
        <v>121.588138490915</v>
      </c>
      <c r="F5181">
        <v>0.54821112824950202</v>
      </c>
      <c r="G5181">
        <v>0.80516158158082796</v>
      </c>
      <c r="H5181" t="str">
        <f t="shared" si="80"/>
        <v>Q3</v>
      </c>
    </row>
    <row r="5182" spans="1:8">
      <c r="A5182">
        <v>768105</v>
      </c>
      <c r="B5182" t="s">
        <v>1095</v>
      </c>
      <c r="C5182">
        <v>35</v>
      </c>
      <c r="D5182">
        <v>3.4739467448421899</v>
      </c>
      <c r="E5182">
        <v>121.588136069477</v>
      </c>
      <c r="F5182">
        <v>0.78420676423008895</v>
      </c>
      <c r="G5182">
        <v>0.80512396072382497</v>
      </c>
      <c r="H5182" t="str">
        <f t="shared" si="80"/>
        <v>Q4</v>
      </c>
    </row>
    <row r="5183" spans="1:8">
      <c r="A5183">
        <v>757162</v>
      </c>
      <c r="B5183" t="s">
        <v>4617</v>
      </c>
      <c r="C5183">
        <v>60</v>
      </c>
      <c r="D5183">
        <v>2.0254519317919999</v>
      </c>
      <c r="E5183">
        <v>121.52711590752</v>
      </c>
      <c r="F5183">
        <v>0.85805650652721899</v>
      </c>
      <c r="G5183">
        <v>0.80508633986682199</v>
      </c>
      <c r="H5183" t="str">
        <f t="shared" si="80"/>
        <v>Q4</v>
      </c>
    </row>
    <row r="5184" spans="1:8">
      <c r="A5184">
        <v>794645</v>
      </c>
      <c r="B5184" t="s">
        <v>837</v>
      </c>
      <c r="C5184">
        <v>25</v>
      </c>
      <c r="D5184">
        <v>4.8588475435972196</v>
      </c>
      <c r="E5184">
        <v>121.471188589931</v>
      </c>
      <c r="F5184">
        <v>0.72991986757458305</v>
      </c>
      <c r="G5184">
        <v>0.805048719009819</v>
      </c>
      <c r="H5184" t="str">
        <f t="shared" si="80"/>
        <v>Q4</v>
      </c>
    </row>
    <row r="5185" spans="1:8">
      <c r="A5185">
        <v>604837</v>
      </c>
      <c r="B5185" t="s">
        <v>260</v>
      </c>
      <c r="C5185">
        <v>78</v>
      </c>
      <c r="D5185">
        <v>1.5567361395089701</v>
      </c>
      <c r="E5185">
        <v>121.425418881699</v>
      </c>
      <c r="F5185">
        <v>0.88867988412776</v>
      </c>
      <c r="G5185">
        <v>0.80501109815281602</v>
      </c>
      <c r="H5185" t="str">
        <f t="shared" si="80"/>
        <v>Q4</v>
      </c>
    </row>
    <row r="5186" spans="1:8">
      <c r="A5186">
        <v>525500</v>
      </c>
      <c r="B5186" t="s">
        <v>3210</v>
      </c>
      <c r="C5186">
        <v>34</v>
      </c>
      <c r="D5186">
        <v>3.5711365806705802</v>
      </c>
      <c r="E5186">
        <v>121.4186437428</v>
      </c>
      <c r="F5186">
        <v>0.77969226138971404</v>
      </c>
      <c r="G5186">
        <v>0.80497347729581303</v>
      </c>
      <c r="H5186" t="str">
        <f t="shared" si="80"/>
        <v>Q4</v>
      </c>
    </row>
    <row r="5187" spans="1:8">
      <c r="A5187">
        <v>782135</v>
      </c>
      <c r="B5187" t="s">
        <v>4206</v>
      </c>
      <c r="C5187">
        <v>11</v>
      </c>
      <c r="D5187">
        <v>11.0211092640053</v>
      </c>
      <c r="E5187">
        <v>121.232201904058</v>
      </c>
      <c r="F5187">
        <v>0.56957977502727497</v>
      </c>
      <c r="G5187">
        <v>0.80493585643881005</v>
      </c>
      <c r="H5187" t="str">
        <f t="shared" ref="H5187:H5250" si="81">IF(C5187&gt;$J$2,
   IF(D5187&gt;$J$3,"Q1","Q2"),
   IF(D5187&gt;$J$3,"Q3","Q4"))</f>
        <v>Q3</v>
      </c>
    </row>
    <row r="5188" spans="1:8">
      <c r="A5188">
        <v>752458</v>
      </c>
      <c r="B5188" t="s">
        <v>3851</v>
      </c>
      <c r="C5188">
        <v>15</v>
      </c>
      <c r="D5188">
        <v>8.07751417160034</v>
      </c>
      <c r="E5188">
        <v>121.162712574005</v>
      </c>
      <c r="F5188">
        <v>0.63496482449870195</v>
      </c>
      <c r="G5188">
        <v>0.80489823558180695</v>
      </c>
      <c r="H5188" t="str">
        <f t="shared" si="81"/>
        <v>Q3</v>
      </c>
    </row>
    <row r="5189" spans="1:8">
      <c r="A5189">
        <v>735840</v>
      </c>
      <c r="B5189" t="s">
        <v>717</v>
      </c>
      <c r="C5189">
        <v>45</v>
      </c>
      <c r="D5189">
        <v>2.69212802044219</v>
      </c>
      <c r="E5189">
        <v>121.145760919899</v>
      </c>
      <c r="F5189">
        <v>0.82069899552311798</v>
      </c>
      <c r="G5189">
        <v>0.80486061472480297</v>
      </c>
      <c r="H5189" t="str">
        <f t="shared" si="81"/>
        <v>Q4</v>
      </c>
    </row>
    <row r="5190" spans="1:8">
      <c r="A5190">
        <v>712231</v>
      </c>
      <c r="B5190" t="s">
        <v>3799</v>
      </c>
      <c r="C5190">
        <v>27</v>
      </c>
      <c r="D5190">
        <v>4.4819209828144997</v>
      </c>
      <c r="E5190">
        <v>121.011866535991</v>
      </c>
      <c r="F5190">
        <v>0.74312478838267904</v>
      </c>
      <c r="G5190">
        <v>0.80482299386779999</v>
      </c>
      <c r="H5190" t="str">
        <f t="shared" si="81"/>
        <v>Q4</v>
      </c>
    </row>
    <row r="5191" spans="1:8">
      <c r="A5191">
        <v>774254</v>
      </c>
      <c r="B5191" t="s">
        <v>3917</v>
      </c>
      <c r="C5191">
        <v>8</v>
      </c>
      <c r="D5191">
        <v>15.1188559830189</v>
      </c>
      <c r="E5191">
        <v>120.950847864151</v>
      </c>
      <c r="F5191">
        <v>0.49768631729430801</v>
      </c>
      <c r="G5191">
        <v>0.804785373010797</v>
      </c>
      <c r="H5191" t="str">
        <f t="shared" si="81"/>
        <v>Q3</v>
      </c>
    </row>
    <row r="5192" spans="1:8">
      <c r="A5192">
        <v>673309</v>
      </c>
      <c r="B5192" t="s">
        <v>2030</v>
      </c>
      <c r="C5192">
        <v>13</v>
      </c>
      <c r="D5192">
        <v>9.3019557113830906</v>
      </c>
      <c r="E5192">
        <v>120.92542424798</v>
      </c>
      <c r="F5192">
        <v>0.60539483089424795</v>
      </c>
      <c r="G5192">
        <v>0.80474775215379402</v>
      </c>
      <c r="H5192" t="str">
        <f t="shared" si="81"/>
        <v>Q3</v>
      </c>
    </row>
    <row r="5193" spans="1:8">
      <c r="A5193">
        <v>644306</v>
      </c>
      <c r="B5193" t="s">
        <v>2285</v>
      </c>
      <c r="C5193">
        <v>43</v>
      </c>
      <c r="D5193">
        <v>2.8121402855356101</v>
      </c>
      <c r="E5193">
        <v>120.922032278031</v>
      </c>
      <c r="F5193">
        <v>0.81437869154659304</v>
      </c>
      <c r="G5193">
        <v>0.80471013129679103</v>
      </c>
      <c r="H5193" t="str">
        <f t="shared" si="81"/>
        <v>Q4</v>
      </c>
    </row>
    <row r="5194" spans="1:8">
      <c r="A5194">
        <v>732805</v>
      </c>
      <c r="B5194" t="s">
        <v>2495</v>
      </c>
      <c r="C5194">
        <v>53</v>
      </c>
      <c r="D5194">
        <v>2.28087624078089</v>
      </c>
      <c r="E5194">
        <v>120.88644076138699</v>
      </c>
      <c r="F5194">
        <v>0.84218050487190099</v>
      </c>
      <c r="G5194">
        <v>0.80467251043978805</v>
      </c>
      <c r="H5194" t="str">
        <f t="shared" si="81"/>
        <v>Q4</v>
      </c>
    </row>
    <row r="5195" spans="1:8">
      <c r="A5195">
        <v>719295</v>
      </c>
      <c r="B5195" t="s">
        <v>2927</v>
      </c>
      <c r="C5195">
        <v>74</v>
      </c>
      <c r="D5195">
        <v>1.6333943704848</v>
      </c>
      <c r="E5195">
        <v>120.871183415875</v>
      </c>
      <c r="F5195">
        <v>0.88307437643429498</v>
      </c>
      <c r="G5195">
        <v>0.80463488958278495</v>
      </c>
      <c r="H5195" t="str">
        <f t="shared" si="81"/>
        <v>Q4</v>
      </c>
    </row>
    <row r="5196" spans="1:8">
      <c r="A5196">
        <v>636238</v>
      </c>
      <c r="B5196" t="s">
        <v>853</v>
      </c>
      <c r="C5196">
        <v>37</v>
      </c>
      <c r="D5196">
        <v>3.2666971705652599</v>
      </c>
      <c r="E5196">
        <v>120.867795310915</v>
      </c>
      <c r="F5196">
        <v>0.79304766562582296</v>
      </c>
      <c r="G5196">
        <v>0.80459726872578197</v>
      </c>
      <c r="H5196" t="str">
        <f t="shared" si="81"/>
        <v>Q4</v>
      </c>
    </row>
    <row r="5197" spans="1:8">
      <c r="A5197">
        <v>559649</v>
      </c>
      <c r="B5197" t="s">
        <v>4892</v>
      </c>
      <c r="C5197">
        <v>70</v>
      </c>
      <c r="D5197">
        <v>1.7261016887745699</v>
      </c>
      <c r="E5197">
        <v>120.82711821421999</v>
      </c>
      <c r="F5197">
        <v>0.87555020503367098</v>
      </c>
      <c r="G5197">
        <v>0.80455964786877798</v>
      </c>
      <c r="H5197" t="str">
        <f t="shared" si="81"/>
        <v>Q4</v>
      </c>
    </row>
    <row r="5198" spans="1:8">
      <c r="A5198">
        <v>806477</v>
      </c>
      <c r="B5198" t="s">
        <v>434</v>
      </c>
      <c r="C5198">
        <v>17</v>
      </c>
      <c r="D5198">
        <v>7.1066799628383999</v>
      </c>
      <c r="E5198">
        <v>120.813559368253</v>
      </c>
      <c r="F5198">
        <v>0.65926789812271902</v>
      </c>
      <c r="G5198">
        <v>0.804522027011775</v>
      </c>
      <c r="H5198" t="str">
        <f t="shared" si="81"/>
        <v>Q3</v>
      </c>
    </row>
    <row r="5199" spans="1:8">
      <c r="A5199">
        <v>804750</v>
      </c>
      <c r="B5199" t="s">
        <v>955</v>
      </c>
      <c r="C5199">
        <v>51</v>
      </c>
      <c r="D5199">
        <v>2.3677633856149298</v>
      </c>
      <c r="E5199">
        <v>120.75593266636101</v>
      </c>
      <c r="F5199">
        <v>0.83762838117452298</v>
      </c>
      <c r="G5199">
        <v>0.80448440615477201</v>
      </c>
      <c r="H5199" t="str">
        <f t="shared" si="81"/>
        <v>Q4</v>
      </c>
    </row>
    <row r="5200" spans="1:8">
      <c r="A5200">
        <v>610216</v>
      </c>
      <c r="B5200" t="s">
        <v>522</v>
      </c>
      <c r="C5200">
        <v>41</v>
      </c>
      <c r="D5200">
        <v>2.9448118833143502</v>
      </c>
      <c r="E5200">
        <v>120.737287215889</v>
      </c>
      <c r="F5200">
        <v>0.80787028328505295</v>
      </c>
      <c r="G5200">
        <v>0.80444678529776903</v>
      </c>
      <c r="H5200" t="str">
        <f t="shared" si="81"/>
        <v>Q4</v>
      </c>
    </row>
    <row r="5201" spans="1:8">
      <c r="A5201">
        <v>795428</v>
      </c>
      <c r="B5201" t="s">
        <v>1485</v>
      </c>
      <c r="C5201">
        <v>50</v>
      </c>
      <c r="D5201">
        <v>2.4146779812872401</v>
      </c>
      <c r="E5201">
        <v>120.73389906436201</v>
      </c>
      <c r="F5201">
        <v>0.83559685489635405</v>
      </c>
      <c r="G5201">
        <v>0.80440916444076604</v>
      </c>
      <c r="H5201" t="str">
        <f t="shared" si="81"/>
        <v>Q4</v>
      </c>
    </row>
    <row r="5202" spans="1:8">
      <c r="A5202">
        <v>732108</v>
      </c>
      <c r="B5202" t="s">
        <v>2835</v>
      </c>
      <c r="C5202">
        <v>66</v>
      </c>
      <c r="D5202">
        <v>1.8290959665495301</v>
      </c>
      <c r="E5202">
        <v>120.720333792269</v>
      </c>
      <c r="F5202">
        <v>0.86968135134118396</v>
      </c>
      <c r="G5202">
        <v>0.80437154358376295</v>
      </c>
      <c r="H5202" t="str">
        <f t="shared" si="81"/>
        <v>Q4</v>
      </c>
    </row>
    <row r="5203" spans="1:8">
      <c r="A5203">
        <v>726227</v>
      </c>
      <c r="B5203" t="s">
        <v>2824</v>
      </c>
      <c r="C5203">
        <v>34</v>
      </c>
      <c r="D5203">
        <v>3.5503489403602</v>
      </c>
      <c r="E5203">
        <v>120.711863972247</v>
      </c>
      <c r="F5203">
        <v>0.77969226138971404</v>
      </c>
      <c r="G5203">
        <v>0.80433392272675996</v>
      </c>
      <c r="H5203" t="str">
        <f t="shared" si="81"/>
        <v>Q4</v>
      </c>
    </row>
    <row r="5204" spans="1:8">
      <c r="A5204">
        <v>234432</v>
      </c>
      <c r="B5204" t="s">
        <v>3962</v>
      </c>
      <c r="C5204">
        <v>102</v>
      </c>
      <c r="D5204">
        <v>1.18310070806639</v>
      </c>
      <c r="E5204">
        <v>120.676272222772</v>
      </c>
      <c r="F5204">
        <v>0.91332154546480604</v>
      </c>
      <c r="G5204">
        <v>0.80429630186975698</v>
      </c>
      <c r="H5204" t="str">
        <f t="shared" si="81"/>
        <v>Q4</v>
      </c>
    </row>
    <row r="5205" spans="1:8">
      <c r="A5205">
        <v>452818</v>
      </c>
      <c r="B5205" t="s">
        <v>155</v>
      </c>
      <c r="C5205">
        <v>92</v>
      </c>
      <c r="D5205">
        <v>1.31055636220085</v>
      </c>
      <c r="E5205">
        <v>120.571185322478</v>
      </c>
      <c r="F5205">
        <v>0.90429253978405599</v>
      </c>
      <c r="G5205">
        <v>0.804258681012753</v>
      </c>
      <c r="H5205" t="str">
        <f t="shared" si="81"/>
        <v>Q4</v>
      </c>
    </row>
    <row r="5206" spans="1:8">
      <c r="A5206">
        <v>755566</v>
      </c>
      <c r="B5206" t="s">
        <v>3416</v>
      </c>
      <c r="C5206">
        <v>185</v>
      </c>
      <c r="D5206">
        <v>0.65169033267207999</v>
      </c>
      <c r="E5206">
        <v>120.562711544335</v>
      </c>
      <c r="F5206">
        <v>0.95515593845227797</v>
      </c>
      <c r="G5206">
        <v>0.80422106015575001</v>
      </c>
      <c r="H5206" t="str">
        <f t="shared" si="81"/>
        <v>Q2</v>
      </c>
    </row>
    <row r="5207" spans="1:8">
      <c r="A5207">
        <v>801979</v>
      </c>
      <c r="B5207" t="s">
        <v>1200</v>
      </c>
      <c r="C5207">
        <v>33</v>
      </c>
      <c r="D5207">
        <v>3.6532614295455499</v>
      </c>
      <c r="E5207">
        <v>120.55762717500301</v>
      </c>
      <c r="F5207">
        <v>0.77551634626236798</v>
      </c>
      <c r="G5207">
        <v>0.80418343929874703</v>
      </c>
      <c r="H5207" t="str">
        <f t="shared" si="81"/>
        <v>Q4</v>
      </c>
    </row>
    <row r="5208" spans="1:8">
      <c r="A5208">
        <v>737221</v>
      </c>
      <c r="B5208" t="s">
        <v>1434</v>
      </c>
      <c r="C5208">
        <v>84</v>
      </c>
      <c r="D5208">
        <v>1.43349470648294</v>
      </c>
      <c r="E5208">
        <v>120.413555344567</v>
      </c>
      <c r="F5208">
        <v>0.89639215981340103</v>
      </c>
      <c r="G5208">
        <v>0.80414581844174404</v>
      </c>
      <c r="H5208" t="str">
        <f t="shared" si="81"/>
        <v>Q4</v>
      </c>
    </row>
    <row r="5209" spans="1:8">
      <c r="A5209">
        <v>775026</v>
      </c>
      <c r="B5209" t="s">
        <v>3148</v>
      </c>
      <c r="C5209">
        <v>38</v>
      </c>
      <c r="D5209">
        <v>3.1682425877079399</v>
      </c>
      <c r="E5209">
        <v>120.39321833290199</v>
      </c>
      <c r="F5209">
        <v>0.79696023475414801</v>
      </c>
      <c r="G5209">
        <v>0.80410819758474095</v>
      </c>
      <c r="H5209" t="str">
        <f t="shared" si="81"/>
        <v>Q4</v>
      </c>
    </row>
    <row r="5210" spans="1:8">
      <c r="A5210">
        <v>730857</v>
      </c>
      <c r="B5210" t="s">
        <v>3728</v>
      </c>
      <c r="C5210">
        <v>9</v>
      </c>
      <c r="D5210">
        <v>13.3762711452113</v>
      </c>
      <c r="E5210">
        <v>120.386440306902</v>
      </c>
      <c r="F5210">
        <v>0.52428426319551602</v>
      </c>
      <c r="G5210">
        <v>0.80407057672773796</v>
      </c>
      <c r="H5210" t="str">
        <f t="shared" si="81"/>
        <v>Q3</v>
      </c>
    </row>
    <row r="5211" spans="1:8">
      <c r="A5211">
        <v>695899</v>
      </c>
      <c r="B5211" t="s">
        <v>1429</v>
      </c>
      <c r="C5211">
        <v>25</v>
      </c>
      <c r="D5211">
        <v>4.8153899610042599</v>
      </c>
      <c r="E5211">
        <v>120.384749025106</v>
      </c>
      <c r="F5211">
        <v>0.72991986757458305</v>
      </c>
      <c r="G5211">
        <v>0.80403295587073498</v>
      </c>
      <c r="H5211" t="str">
        <f t="shared" si="81"/>
        <v>Q4</v>
      </c>
    </row>
    <row r="5212" spans="1:8">
      <c r="A5212">
        <v>538358</v>
      </c>
      <c r="B5212" t="s">
        <v>2084</v>
      </c>
      <c r="C5212">
        <v>14</v>
      </c>
      <c r="D5212">
        <v>8.5981841598238304</v>
      </c>
      <c r="E5212">
        <v>120.374578237534</v>
      </c>
      <c r="F5212">
        <v>0.62070651969451895</v>
      </c>
      <c r="G5212">
        <v>0.80399533501373199</v>
      </c>
      <c r="H5212" t="str">
        <f t="shared" si="81"/>
        <v>Q3</v>
      </c>
    </row>
    <row r="5213" spans="1:8">
      <c r="A5213">
        <v>663176</v>
      </c>
      <c r="B5213" t="s">
        <v>768</v>
      </c>
      <c r="C5213">
        <v>39</v>
      </c>
      <c r="D5213">
        <v>3.0864406950198702</v>
      </c>
      <c r="E5213">
        <v>120.37118710577499</v>
      </c>
      <c r="F5213">
        <v>0.80087280388247195</v>
      </c>
      <c r="G5213">
        <v>0.80395771415672801</v>
      </c>
      <c r="H5213" t="str">
        <f t="shared" si="81"/>
        <v>Q4</v>
      </c>
    </row>
    <row r="5214" spans="1:8">
      <c r="A5214">
        <v>556560</v>
      </c>
      <c r="B5214" t="s">
        <v>4459</v>
      </c>
      <c r="C5214">
        <v>76</v>
      </c>
      <c r="D5214">
        <v>1.5830284903610199</v>
      </c>
      <c r="E5214">
        <v>120.31016526743799</v>
      </c>
      <c r="F5214">
        <v>0.88612166585154795</v>
      </c>
      <c r="G5214">
        <v>0.80392009329972502</v>
      </c>
      <c r="H5214" t="str">
        <f t="shared" si="81"/>
        <v>Q4</v>
      </c>
    </row>
    <row r="5215" spans="1:8">
      <c r="A5215">
        <v>821992</v>
      </c>
      <c r="B5215" t="s">
        <v>726</v>
      </c>
      <c r="C5215">
        <v>46</v>
      </c>
      <c r="D5215">
        <v>2.61488572451408</v>
      </c>
      <c r="E5215">
        <v>120.28474332764701</v>
      </c>
      <c r="F5215">
        <v>0.82378390579737404</v>
      </c>
      <c r="G5215">
        <v>0.80388247244272204</v>
      </c>
      <c r="H5215" t="str">
        <f t="shared" si="81"/>
        <v>Q4</v>
      </c>
    </row>
    <row r="5216" spans="1:8">
      <c r="A5216">
        <v>768635</v>
      </c>
      <c r="B5216" t="s">
        <v>3493</v>
      </c>
      <c r="C5216">
        <v>22</v>
      </c>
      <c r="D5216">
        <v>5.4661788554354196</v>
      </c>
      <c r="E5216">
        <v>120.255934819579</v>
      </c>
      <c r="F5216">
        <v>0.707723561942741</v>
      </c>
      <c r="G5216">
        <v>0.80384485158571894</v>
      </c>
      <c r="H5216" t="str">
        <f t="shared" si="81"/>
        <v>Q3</v>
      </c>
    </row>
    <row r="5217" spans="1:8">
      <c r="A5217">
        <v>703160</v>
      </c>
      <c r="B5217" t="s">
        <v>4053</v>
      </c>
      <c r="C5217">
        <v>50</v>
      </c>
      <c r="D5217">
        <v>2.4042711909860399</v>
      </c>
      <c r="E5217">
        <v>120.213559549302</v>
      </c>
      <c r="F5217">
        <v>0.83559685489635405</v>
      </c>
      <c r="G5217">
        <v>0.80380723072871596</v>
      </c>
      <c r="H5217" t="str">
        <f t="shared" si="81"/>
        <v>Q4</v>
      </c>
    </row>
    <row r="5218" spans="1:8">
      <c r="A5218">
        <v>717829</v>
      </c>
      <c r="B5218" t="s">
        <v>3130</v>
      </c>
      <c r="C5218">
        <v>48</v>
      </c>
      <c r="D5218">
        <v>2.5041313434485302</v>
      </c>
      <c r="E5218">
        <v>120.19830448553</v>
      </c>
      <c r="F5218">
        <v>0.82957751777585498</v>
      </c>
      <c r="G5218">
        <v>0.80376960987171298</v>
      </c>
      <c r="H5218" t="str">
        <f t="shared" si="81"/>
        <v>Q4</v>
      </c>
    </row>
    <row r="5219" spans="1:8">
      <c r="A5219">
        <v>701963</v>
      </c>
      <c r="B5219" t="s">
        <v>847</v>
      </c>
      <c r="C5219">
        <v>106</v>
      </c>
      <c r="D5219">
        <v>1.13319474215321</v>
      </c>
      <c r="E5219">
        <v>120.11864266824</v>
      </c>
      <c r="F5219">
        <v>0.91730935630713695</v>
      </c>
      <c r="G5219">
        <v>0.80373198901470999</v>
      </c>
      <c r="H5219" t="str">
        <f t="shared" si="81"/>
        <v>Q4</v>
      </c>
    </row>
    <row r="5220" spans="1:8">
      <c r="A5220">
        <v>661797</v>
      </c>
      <c r="B5220" t="s">
        <v>770</v>
      </c>
      <c r="C5220">
        <v>20</v>
      </c>
      <c r="D5220">
        <v>6.0050001554191104</v>
      </c>
      <c r="E5220">
        <v>120.100003108382</v>
      </c>
      <c r="F5220">
        <v>0.69196042285843296</v>
      </c>
      <c r="G5220">
        <v>0.80369436815770701</v>
      </c>
      <c r="H5220" t="str">
        <f t="shared" si="81"/>
        <v>Q3</v>
      </c>
    </row>
    <row r="5221" spans="1:8">
      <c r="A5221">
        <v>507706</v>
      </c>
      <c r="B5221" t="s">
        <v>3846</v>
      </c>
      <c r="C5221">
        <v>30</v>
      </c>
      <c r="D5221">
        <v>4.0029943734407398</v>
      </c>
      <c r="E5221">
        <v>120.089831203222</v>
      </c>
      <c r="F5221">
        <v>0.760430382604116</v>
      </c>
      <c r="G5221">
        <v>0.80365674730070302</v>
      </c>
      <c r="H5221" t="str">
        <f t="shared" si="81"/>
        <v>Q4</v>
      </c>
    </row>
    <row r="5222" spans="1:8">
      <c r="A5222">
        <v>777728</v>
      </c>
      <c r="B5222" t="s">
        <v>2013</v>
      </c>
      <c r="C5222">
        <v>30</v>
      </c>
      <c r="D5222">
        <v>4.0018644183874104</v>
      </c>
      <c r="E5222">
        <v>120.05593255162201</v>
      </c>
      <c r="F5222">
        <v>0.760430382604116</v>
      </c>
      <c r="G5222">
        <v>0.80361912644370004</v>
      </c>
      <c r="H5222" t="str">
        <f t="shared" si="81"/>
        <v>Q4</v>
      </c>
    </row>
    <row r="5223" spans="1:8">
      <c r="A5223">
        <v>746797</v>
      </c>
      <c r="B5223" t="s">
        <v>4201</v>
      </c>
      <c r="C5223">
        <v>24</v>
      </c>
      <c r="D5223">
        <v>5.0018362545718702</v>
      </c>
      <c r="E5223">
        <v>120.044070109725</v>
      </c>
      <c r="F5223">
        <v>0.72284714645799597</v>
      </c>
      <c r="G5223">
        <v>0.80358150558669705</v>
      </c>
      <c r="H5223" t="str">
        <f t="shared" si="81"/>
        <v>Q3</v>
      </c>
    </row>
    <row r="5224" spans="1:8">
      <c r="A5224">
        <v>751285</v>
      </c>
      <c r="B5224" t="s">
        <v>498</v>
      </c>
      <c r="C5224">
        <v>49</v>
      </c>
      <c r="D5224">
        <v>2.4480110680570402</v>
      </c>
      <c r="E5224">
        <v>119.952542334795</v>
      </c>
      <c r="F5224">
        <v>0.83258718633610496</v>
      </c>
      <c r="G5224">
        <v>0.80354388472969396</v>
      </c>
      <c r="H5224" t="str">
        <f t="shared" si="81"/>
        <v>Q4</v>
      </c>
    </row>
    <row r="5225" spans="1:8">
      <c r="A5225">
        <v>732093</v>
      </c>
      <c r="B5225" t="s">
        <v>2772</v>
      </c>
      <c r="C5225">
        <v>45</v>
      </c>
      <c r="D5225">
        <v>2.6644821051094301</v>
      </c>
      <c r="E5225">
        <v>119.901694729924</v>
      </c>
      <c r="F5225">
        <v>0.82069899552311798</v>
      </c>
      <c r="G5225">
        <v>0.80350626387269097</v>
      </c>
      <c r="H5225" t="str">
        <f t="shared" si="81"/>
        <v>Q4</v>
      </c>
    </row>
    <row r="5226" spans="1:8">
      <c r="A5226">
        <v>548659</v>
      </c>
      <c r="B5226" t="s">
        <v>2810</v>
      </c>
      <c r="C5226">
        <v>70</v>
      </c>
      <c r="D5226">
        <v>1.71249394837235</v>
      </c>
      <c r="E5226">
        <v>119.87457638606401</v>
      </c>
      <c r="F5226">
        <v>0.87555020503367098</v>
      </c>
      <c r="G5226">
        <v>0.80346864301568799</v>
      </c>
      <c r="H5226" t="str">
        <f t="shared" si="81"/>
        <v>Q4</v>
      </c>
    </row>
    <row r="5227" spans="1:8">
      <c r="A5227">
        <v>611378</v>
      </c>
      <c r="B5227" t="s">
        <v>618</v>
      </c>
      <c r="C5227">
        <v>46</v>
      </c>
      <c r="D5227">
        <v>2.6058585099551999</v>
      </c>
      <c r="E5227">
        <v>119.86949145793901</v>
      </c>
      <c r="F5227">
        <v>0.82378390579737404</v>
      </c>
      <c r="G5227">
        <v>0.803431022158685</v>
      </c>
      <c r="H5227" t="str">
        <f t="shared" si="81"/>
        <v>Q4</v>
      </c>
    </row>
    <row r="5228" spans="1:8">
      <c r="A5228">
        <v>754770</v>
      </c>
      <c r="B5228" t="s">
        <v>1422</v>
      </c>
      <c r="C5228">
        <v>27</v>
      </c>
      <c r="D5228">
        <v>4.4379787174639898</v>
      </c>
      <c r="E5228">
        <v>119.825425371528</v>
      </c>
      <c r="F5228">
        <v>0.74312478838267904</v>
      </c>
      <c r="G5228">
        <v>0.80339340130168202</v>
      </c>
      <c r="H5228" t="str">
        <f t="shared" si="81"/>
        <v>Q4</v>
      </c>
    </row>
    <row r="5229" spans="1:8">
      <c r="A5229">
        <v>488546</v>
      </c>
      <c r="B5229" t="s">
        <v>4406</v>
      </c>
      <c r="C5229">
        <v>22</v>
      </c>
      <c r="D5229">
        <v>5.4459168237041302</v>
      </c>
      <c r="E5229">
        <v>119.810170121491</v>
      </c>
      <c r="F5229">
        <v>0.707723561942741</v>
      </c>
      <c r="G5229">
        <v>0.80335578044467804</v>
      </c>
      <c r="H5229" t="str">
        <f t="shared" si="81"/>
        <v>Q3</v>
      </c>
    </row>
    <row r="5230" spans="1:8">
      <c r="A5230">
        <v>798645</v>
      </c>
      <c r="B5230" t="s">
        <v>1349</v>
      </c>
      <c r="C5230">
        <v>25</v>
      </c>
      <c r="D5230">
        <v>4.7902373149991</v>
      </c>
      <c r="E5230">
        <v>119.755932874978</v>
      </c>
      <c r="F5230">
        <v>0.72991986757458305</v>
      </c>
      <c r="G5230">
        <v>0.80331815958767505</v>
      </c>
      <c r="H5230" t="str">
        <f t="shared" si="81"/>
        <v>Q4</v>
      </c>
    </row>
    <row r="5231" spans="1:8">
      <c r="A5231">
        <v>800988</v>
      </c>
      <c r="B5231" t="s">
        <v>402</v>
      </c>
      <c r="C5231">
        <v>27</v>
      </c>
      <c r="D5231">
        <v>4.4332706472939902</v>
      </c>
      <c r="E5231">
        <v>119.698307476938</v>
      </c>
      <c r="F5231">
        <v>0.74312478838267904</v>
      </c>
      <c r="G5231">
        <v>0.80328053873067196</v>
      </c>
      <c r="H5231" t="str">
        <f t="shared" si="81"/>
        <v>Q4</v>
      </c>
    </row>
    <row r="5232" spans="1:8">
      <c r="A5232">
        <v>689096</v>
      </c>
      <c r="B5232" t="s">
        <v>469</v>
      </c>
      <c r="C5232">
        <v>85</v>
      </c>
      <c r="D5232">
        <v>1.40795611529885</v>
      </c>
      <c r="E5232">
        <v>119.676269800402</v>
      </c>
      <c r="F5232">
        <v>0.89721981866746903</v>
      </c>
      <c r="G5232">
        <v>0.80324291787366897</v>
      </c>
      <c r="H5232" t="str">
        <f t="shared" si="81"/>
        <v>Q4</v>
      </c>
    </row>
    <row r="5233" spans="1:8">
      <c r="A5233">
        <v>700012</v>
      </c>
      <c r="B5233" t="s">
        <v>4075</v>
      </c>
      <c r="C5233">
        <v>53</v>
      </c>
      <c r="D5233">
        <v>2.25788295040575</v>
      </c>
      <c r="E5233">
        <v>119.66779637150501</v>
      </c>
      <c r="F5233">
        <v>0.84218050487190099</v>
      </c>
      <c r="G5233">
        <v>0.80320529701666599</v>
      </c>
      <c r="H5233" t="str">
        <f t="shared" si="81"/>
        <v>Q4</v>
      </c>
    </row>
    <row r="5234" spans="1:8">
      <c r="A5234">
        <v>767918</v>
      </c>
      <c r="B5234" t="s">
        <v>1752</v>
      </c>
      <c r="C5234">
        <v>104</v>
      </c>
      <c r="D5234">
        <v>1.15021188259841</v>
      </c>
      <c r="E5234">
        <v>119.622035790235</v>
      </c>
      <c r="F5234">
        <v>0.91524020917196502</v>
      </c>
      <c r="G5234">
        <v>0.803167676159663</v>
      </c>
      <c r="H5234" t="str">
        <f t="shared" si="81"/>
        <v>Q4</v>
      </c>
    </row>
    <row r="5235" spans="1:8">
      <c r="A5235">
        <v>417427</v>
      </c>
      <c r="B5235" t="s">
        <v>1122</v>
      </c>
      <c r="C5235">
        <v>47</v>
      </c>
      <c r="D5235">
        <v>2.5434547440802802</v>
      </c>
      <c r="E5235">
        <v>119.54237297177301</v>
      </c>
      <c r="F5235">
        <v>0.82641736578759295</v>
      </c>
      <c r="G5235">
        <v>0.80313005530266002</v>
      </c>
      <c r="H5235" t="str">
        <f t="shared" si="81"/>
        <v>Q4</v>
      </c>
    </row>
    <row r="5236" spans="1:8">
      <c r="A5236">
        <v>694589</v>
      </c>
      <c r="B5236" t="s">
        <v>2709</v>
      </c>
      <c r="C5236">
        <v>104</v>
      </c>
      <c r="D5236">
        <v>1.1492829151953099</v>
      </c>
      <c r="E5236">
        <v>119.525423180312</v>
      </c>
      <c r="F5236">
        <v>0.91524020917196502</v>
      </c>
      <c r="G5236">
        <v>0.80309243444565703</v>
      </c>
      <c r="H5236" t="str">
        <f t="shared" si="81"/>
        <v>Q4</v>
      </c>
    </row>
    <row r="5237" spans="1:8">
      <c r="A5237">
        <v>779268</v>
      </c>
      <c r="B5237" t="s">
        <v>606</v>
      </c>
      <c r="C5237">
        <v>36</v>
      </c>
      <c r="D5237">
        <v>3.3185498478511999</v>
      </c>
      <c r="E5237">
        <v>119.467794522643</v>
      </c>
      <c r="F5237">
        <v>0.78890937135547901</v>
      </c>
      <c r="G5237">
        <v>0.80305481358865405</v>
      </c>
      <c r="H5237" t="str">
        <f t="shared" si="81"/>
        <v>Q4</v>
      </c>
    </row>
    <row r="5238" spans="1:8">
      <c r="A5238">
        <v>811364</v>
      </c>
      <c r="B5238" t="s">
        <v>3914</v>
      </c>
      <c r="C5238">
        <v>6</v>
      </c>
      <c r="D5238">
        <v>19.892937938372299</v>
      </c>
      <c r="E5238">
        <v>119.35762763023401</v>
      </c>
      <c r="F5238">
        <v>0.428463940408563</v>
      </c>
      <c r="G5238">
        <v>0.80301719273164995</v>
      </c>
      <c r="H5238" t="str">
        <f t="shared" si="81"/>
        <v>Q3</v>
      </c>
    </row>
    <row r="5239" spans="1:8">
      <c r="A5239">
        <v>713986</v>
      </c>
      <c r="B5239" t="s">
        <v>3016</v>
      </c>
      <c r="C5239">
        <v>14</v>
      </c>
      <c r="D5239">
        <v>8.5230024398437596</v>
      </c>
      <c r="E5239">
        <v>119.32203415781299</v>
      </c>
      <c r="F5239">
        <v>0.62070651969451895</v>
      </c>
      <c r="G5239">
        <v>0.80297957187464697</v>
      </c>
      <c r="H5239" t="str">
        <f t="shared" si="81"/>
        <v>Q3</v>
      </c>
    </row>
    <row r="5240" spans="1:8">
      <c r="A5240">
        <v>652746</v>
      </c>
      <c r="B5240" t="s">
        <v>2159</v>
      </c>
      <c r="C5240">
        <v>22</v>
      </c>
      <c r="D5240">
        <v>5.4228043691678502</v>
      </c>
      <c r="E5240">
        <v>119.301696121693</v>
      </c>
      <c r="F5240">
        <v>0.707723561942741</v>
      </c>
      <c r="G5240">
        <v>0.80294195101764398</v>
      </c>
      <c r="H5240" t="str">
        <f t="shared" si="81"/>
        <v>Q3</v>
      </c>
    </row>
    <row r="5241" spans="1:8">
      <c r="A5241">
        <v>665963</v>
      </c>
      <c r="B5241" t="s">
        <v>851</v>
      </c>
      <c r="C5241">
        <v>142</v>
      </c>
      <c r="D5241">
        <v>0.84011695514970897</v>
      </c>
      <c r="E5241">
        <v>119.29660763125899</v>
      </c>
      <c r="F5241">
        <v>0.93954328279598198</v>
      </c>
      <c r="G5241">
        <v>0.802904330160641</v>
      </c>
      <c r="H5241" t="str">
        <f t="shared" si="81"/>
        <v>Q4</v>
      </c>
    </row>
    <row r="5242" spans="1:8">
      <c r="A5242">
        <v>829135</v>
      </c>
      <c r="B5242" t="s">
        <v>1442</v>
      </c>
      <c r="C5242">
        <v>25</v>
      </c>
      <c r="D5242">
        <v>4.7705763429403296</v>
      </c>
      <c r="E5242">
        <v>119.26440857350801</v>
      </c>
      <c r="F5242">
        <v>0.72991986757458305</v>
      </c>
      <c r="G5242">
        <v>0.80286670930363802</v>
      </c>
      <c r="H5242" t="str">
        <f t="shared" si="81"/>
        <v>Q4</v>
      </c>
    </row>
    <row r="5243" spans="1:8">
      <c r="A5243">
        <v>734345</v>
      </c>
      <c r="B5243" t="s">
        <v>3183</v>
      </c>
      <c r="C5243">
        <v>37</v>
      </c>
      <c r="D5243">
        <v>3.2222171037181</v>
      </c>
      <c r="E5243">
        <v>119.22203283757</v>
      </c>
      <c r="F5243">
        <v>0.79304766562582296</v>
      </c>
      <c r="G5243">
        <v>0.80282908844663503</v>
      </c>
      <c r="H5243" t="str">
        <f t="shared" si="81"/>
        <v>Q4</v>
      </c>
    </row>
    <row r="5244" spans="1:8">
      <c r="A5244">
        <v>578816</v>
      </c>
      <c r="B5244" t="s">
        <v>4074</v>
      </c>
      <c r="C5244">
        <v>25</v>
      </c>
      <c r="D5244">
        <v>4.7687458395957902</v>
      </c>
      <c r="E5244">
        <v>119.21864598989499</v>
      </c>
      <c r="F5244">
        <v>0.72991986757458305</v>
      </c>
      <c r="G5244">
        <v>0.80279146758963205</v>
      </c>
      <c r="H5244" t="str">
        <f t="shared" si="81"/>
        <v>Q4</v>
      </c>
    </row>
    <row r="5245" spans="1:8">
      <c r="A5245">
        <v>755908</v>
      </c>
      <c r="B5245" t="s">
        <v>3662</v>
      </c>
      <c r="C5245">
        <v>30</v>
      </c>
      <c r="D5245">
        <v>3.97372883434097</v>
      </c>
      <c r="E5245">
        <v>119.21186503022901</v>
      </c>
      <c r="F5245">
        <v>0.760430382604116</v>
      </c>
      <c r="G5245">
        <v>0.80275384673262895</v>
      </c>
      <c r="H5245" t="str">
        <f t="shared" si="81"/>
        <v>Q4</v>
      </c>
    </row>
    <row r="5246" spans="1:8">
      <c r="A5246">
        <v>727039</v>
      </c>
      <c r="B5246" t="s">
        <v>2033</v>
      </c>
      <c r="C5246">
        <v>20</v>
      </c>
      <c r="D5246">
        <v>5.9602544014342103</v>
      </c>
      <c r="E5246">
        <v>119.205088028684</v>
      </c>
      <c r="F5246">
        <v>0.69196042285843296</v>
      </c>
      <c r="G5246">
        <v>0.80271622587562497</v>
      </c>
      <c r="H5246" t="str">
        <f t="shared" si="81"/>
        <v>Q3</v>
      </c>
    </row>
    <row r="5247" spans="1:8">
      <c r="A5247">
        <v>721060</v>
      </c>
      <c r="B5247" t="s">
        <v>2858</v>
      </c>
      <c r="C5247">
        <v>71</v>
      </c>
      <c r="D5247">
        <v>1.6775601950119901</v>
      </c>
      <c r="E5247">
        <v>119.106773845851</v>
      </c>
      <c r="F5247">
        <v>0.87799556073887397</v>
      </c>
      <c r="G5247">
        <v>0.80267860501862198</v>
      </c>
      <c r="H5247" t="str">
        <f t="shared" si="81"/>
        <v>Q4</v>
      </c>
    </row>
    <row r="5248" spans="1:8">
      <c r="A5248">
        <v>773855</v>
      </c>
      <c r="B5248" t="s">
        <v>2422</v>
      </c>
      <c r="C5248">
        <v>20</v>
      </c>
      <c r="D5248">
        <v>5.9533051773905798</v>
      </c>
      <c r="E5248">
        <v>119.06610354781201</v>
      </c>
      <c r="F5248">
        <v>0.69196042285843296</v>
      </c>
      <c r="G5248">
        <v>0.802640984161619</v>
      </c>
      <c r="H5248" t="str">
        <f t="shared" si="81"/>
        <v>Q3</v>
      </c>
    </row>
    <row r="5249" spans="1:8">
      <c r="A5249">
        <v>670655</v>
      </c>
      <c r="B5249" t="s">
        <v>3558</v>
      </c>
      <c r="C5249">
        <v>22</v>
      </c>
      <c r="D5249">
        <v>5.4118644446134603</v>
      </c>
      <c r="E5249">
        <v>119.06101778149601</v>
      </c>
      <c r="F5249">
        <v>0.707723561942741</v>
      </c>
      <c r="G5249">
        <v>0.80260336330461601</v>
      </c>
      <c r="H5249" t="str">
        <f t="shared" si="81"/>
        <v>Q3</v>
      </c>
    </row>
    <row r="5250" spans="1:8">
      <c r="A5250">
        <v>798520</v>
      </c>
      <c r="B5250" t="s">
        <v>4056</v>
      </c>
      <c r="C5250">
        <v>36</v>
      </c>
      <c r="D5250">
        <v>3.3071562544339201</v>
      </c>
      <c r="E5250">
        <v>119.057625159621</v>
      </c>
      <c r="F5250">
        <v>0.78890937135547901</v>
      </c>
      <c r="G5250">
        <v>0.80256574244761303</v>
      </c>
      <c r="H5250" t="str">
        <f t="shared" si="81"/>
        <v>Q4</v>
      </c>
    </row>
    <row r="5251" spans="1:8">
      <c r="A5251">
        <v>706757</v>
      </c>
      <c r="B5251" t="s">
        <v>687</v>
      </c>
      <c r="C5251">
        <v>31</v>
      </c>
      <c r="D5251">
        <v>3.8396391597005599</v>
      </c>
      <c r="E5251">
        <v>119.02881395071699</v>
      </c>
      <c r="F5251">
        <v>0.766073511154584</v>
      </c>
      <c r="G5251">
        <v>0.80252812159061004</v>
      </c>
      <c r="H5251" t="str">
        <f t="shared" ref="H5251:H5314" si="82">IF(C5251&gt;$J$2,
   IF(D5251&gt;$J$3,"Q1","Q2"),
   IF(D5251&gt;$J$3,"Q3","Q4"))</f>
        <v>Q4</v>
      </c>
    </row>
    <row r="5252" spans="1:8">
      <c r="A5252">
        <v>656868</v>
      </c>
      <c r="B5252" t="s">
        <v>3082</v>
      </c>
      <c r="C5252">
        <v>29</v>
      </c>
      <c r="D5252">
        <v>4.10298071801662</v>
      </c>
      <c r="E5252">
        <v>118.986440822482</v>
      </c>
      <c r="F5252">
        <v>0.75501297919566601</v>
      </c>
      <c r="G5252">
        <v>0.80249050073360695</v>
      </c>
      <c r="H5252" t="str">
        <f t="shared" si="82"/>
        <v>Q4</v>
      </c>
    </row>
    <row r="5253" spans="1:8">
      <c r="A5253">
        <v>724567</v>
      </c>
      <c r="B5253" t="s">
        <v>2502</v>
      </c>
      <c r="C5253">
        <v>49</v>
      </c>
      <c r="D5253">
        <v>2.4271878356836298</v>
      </c>
      <c r="E5253">
        <v>118.932203948498</v>
      </c>
      <c r="F5253">
        <v>0.83258718633610496</v>
      </c>
      <c r="G5253">
        <v>0.80245287987660396</v>
      </c>
      <c r="H5253" t="str">
        <f t="shared" si="82"/>
        <v>Q4</v>
      </c>
    </row>
    <row r="5254" spans="1:8">
      <c r="A5254">
        <v>802779</v>
      </c>
      <c r="B5254" t="s">
        <v>3325</v>
      </c>
      <c r="C5254">
        <v>40</v>
      </c>
      <c r="D5254">
        <v>2.97283895080909</v>
      </c>
      <c r="E5254">
        <v>118.91355803236399</v>
      </c>
      <c r="F5254">
        <v>0.804522027011775</v>
      </c>
      <c r="G5254">
        <v>0.80241525901959998</v>
      </c>
      <c r="H5254" t="str">
        <f t="shared" si="82"/>
        <v>Q4</v>
      </c>
    </row>
    <row r="5255" spans="1:8">
      <c r="A5255">
        <v>713708</v>
      </c>
      <c r="B5255" t="s">
        <v>3165</v>
      </c>
      <c r="C5255">
        <v>36</v>
      </c>
      <c r="D5255">
        <v>3.30310727262663</v>
      </c>
      <c r="E5255">
        <v>118.911861814559</v>
      </c>
      <c r="F5255">
        <v>0.78890937135547901</v>
      </c>
      <c r="G5255">
        <v>0.802377638162597</v>
      </c>
      <c r="H5255" t="str">
        <f t="shared" si="82"/>
        <v>Q4</v>
      </c>
    </row>
    <row r="5256" spans="1:8">
      <c r="A5256">
        <v>788844</v>
      </c>
      <c r="B5256" t="s">
        <v>494</v>
      </c>
      <c r="C5256">
        <v>34</v>
      </c>
      <c r="D5256">
        <v>3.4955134615302099</v>
      </c>
      <c r="E5256">
        <v>118.84745769202701</v>
      </c>
      <c r="F5256">
        <v>0.77969226138971404</v>
      </c>
      <c r="G5256">
        <v>0.80234001730559401</v>
      </c>
      <c r="H5256" t="str">
        <f t="shared" si="82"/>
        <v>Q4</v>
      </c>
    </row>
    <row r="5257" spans="1:8">
      <c r="A5257">
        <v>767813</v>
      </c>
      <c r="B5257" t="s">
        <v>1866</v>
      </c>
      <c r="C5257">
        <v>73</v>
      </c>
      <c r="D5257">
        <v>1.62772226007017</v>
      </c>
      <c r="E5257">
        <v>118.82372498512299</v>
      </c>
      <c r="F5257">
        <v>0.88111809187013301</v>
      </c>
      <c r="G5257">
        <v>0.80230239644859103</v>
      </c>
      <c r="H5257" t="str">
        <f t="shared" si="82"/>
        <v>Q4</v>
      </c>
    </row>
    <row r="5258" spans="1:8">
      <c r="A5258">
        <v>576692</v>
      </c>
      <c r="B5258" t="s">
        <v>2549</v>
      </c>
      <c r="C5258">
        <v>78</v>
      </c>
      <c r="D5258">
        <v>1.52325071633244</v>
      </c>
      <c r="E5258">
        <v>118.81355587393</v>
      </c>
      <c r="F5258">
        <v>0.88867988412776</v>
      </c>
      <c r="G5258">
        <v>0.80226477559158804</v>
      </c>
      <c r="H5258" t="str">
        <f t="shared" si="82"/>
        <v>Q4</v>
      </c>
    </row>
    <row r="5259" spans="1:8">
      <c r="A5259">
        <v>665506</v>
      </c>
      <c r="B5259" t="s">
        <v>2167</v>
      </c>
      <c r="C5259">
        <v>18</v>
      </c>
      <c r="D5259">
        <v>6.5886063915159996</v>
      </c>
      <c r="E5259">
        <v>118.594915047288</v>
      </c>
      <c r="F5259">
        <v>0.67044129265264696</v>
      </c>
      <c r="G5259">
        <v>0.80222715473458495</v>
      </c>
      <c r="H5259" t="str">
        <f t="shared" si="82"/>
        <v>Q3</v>
      </c>
    </row>
    <row r="5260" spans="1:8">
      <c r="A5260">
        <v>760240</v>
      </c>
      <c r="B5260" t="s">
        <v>1328</v>
      </c>
      <c r="C5260">
        <v>89</v>
      </c>
      <c r="D5260">
        <v>1.33235569143396</v>
      </c>
      <c r="E5260">
        <v>118.579656537622</v>
      </c>
      <c r="F5260">
        <v>0.90135811293781298</v>
      </c>
      <c r="G5260">
        <v>0.80218953387758196</v>
      </c>
      <c r="H5260" t="str">
        <f t="shared" si="82"/>
        <v>Q4</v>
      </c>
    </row>
    <row r="5261" spans="1:8">
      <c r="A5261">
        <v>526842</v>
      </c>
      <c r="B5261" t="s">
        <v>2428</v>
      </c>
      <c r="C5261">
        <v>46</v>
      </c>
      <c r="D5261">
        <v>2.57756080498676</v>
      </c>
      <c r="E5261">
        <v>118.567797029391</v>
      </c>
      <c r="F5261">
        <v>0.82378390579737404</v>
      </c>
      <c r="G5261">
        <v>0.80215191302057898</v>
      </c>
      <c r="H5261" t="str">
        <f t="shared" si="82"/>
        <v>Q4</v>
      </c>
    </row>
    <row r="5262" spans="1:8">
      <c r="A5262">
        <v>726181</v>
      </c>
      <c r="B5262" t="s">
        <v>2233</v>
      </c>
      <c r="C5262">
        <v>40</v>
      </c>
      <c r="D5262">
        <v>2.9636016907170402</v>
      </c>
      <c r="E5262">
        <v>118.544067628682</v>
      </c>
      <c r="F5262">
        <v>0.804522027011775</v>
      </c>
      <c r="G5262">
        <v>0.80211429216357499</v>
      </c>
      <c r="H5262" t="str">
        <f t="shared" si="82"/>
        <v>Q4</v>
      </c>
    </row>
    <row r="5263" spans="1:8">
      <c r="A5263">
        <v>657628</v>
      </c>
      <c r="B5263" t="s">
        <v>4756</v>
      </c>
      <c r="C5263">
        <v>24</v>
      </c>
      <c r="D5263">
        <v>4.9386300301800201</v>
      </c>
      <c r="E5263">
        <v>118.52712072432</v>
      </c>
      <c r="F5263">
        <v>0.72284714645799597</v>
      </c>
      <c r="G5263">
        <v>0.80207667130657201</v>
      </c>
      <c r="H5263" t="str">
        <f t="shared" si="82"/>
        <v>Q3</v>
      </c>
    </row>
    <row r="5264" spans="1:8">
      <c r="A5264">
        <v>708359</v>
      </c>
      <c r="B5264" t="s">
        <v>819</v>
      </c>
      <c r="C5264">
        <v>73</v>
      </c>
      <c r="D5264">
        <v>1.62291612080617</v>
      </c>
      <c r="E5264">
        <v>118.47287681885101</v>
      </c>
      <c r="F5264">
        <v>0.88111809187013301</v>
      </c>
      <c r="G5264">
        <v>0.80203905044956902</v>
      </c>
      <c r="H5264" t="str">
        <f t="shared" si="82"/>
        <v>Q4</v>
      </c>
    </row>
    <row r="5265" spans="1:8">
      <c r="A5265">
        <v>681569</v>
      </c>
      <c r="B5265" t="s">
        <v>3146</v>
      </c>
      <c r="C5265">
        <v>87</v>
      </c>
      <c r="D5265">
        <v>1.3617377546241201</v>
      </c>
      <c r="E5265">
        <v>118.471184652299</v>
      </c>
      <c r="F5265">
        <v>0.89955231180166295</v>
      </c>
      <c r="G5265">
        <v>0.80200142959256604</v>
      </c>
      <c r="H5265" t="str">
        <f t="shared" si="82"/>
        <v>Q4</v>
      </c>
    </row>
    <row r="5266" spans="1:8">
      <c r="A5266">
        <v>215303</v>
      </c>
      <c r="B5266" t="s">
        <v>1124</v>
      </c>
      <c r="C5266">
        <v>102</v>
      </c>
      <c r="D5266">
        <v>1.1612828145849099</v>
      </c>
      <c r="E5266">
        <v>118.450847087661</v>
      </c>
      <c r="F5266">
        <v>0.91332154546480604</v>
      </c>
      <c r="G5266">
        <v>0.80196380873556306</v>
      </c>
      <c r="H5266" t="str">
        <f t="shared" si="82"/>
        <v>Q4</v>
      </c>
    </row>
    <row r="5267" spans="1:8">
      <c r="A5267">
        <v>731108</v>
      </c>
      <c r="B5267" t="s">
        <v>3579</v>
      </c>
      <c r="C5267">
        <v>24</v>
      </c>
      <c r="D5267">
        <v>4.9315679042289702</v>
      </c>
      <c r="E5267">
        <v>118.357629701495</v>
      </c>
      <c r="F5267">
        <v>0.72284714645799597</v>
      </c>
      <c r="G5267">
        <v>0.80192618787855996</v>
      </c>
      <c r="H5267" t="str">
        <f t="shared" si="82"/>
        <v>Q3</v>
      </c>
    </row>
    <row r="5268" spans="1:8">
      <c r="A5268">
        <v>586955</v>
      </c>
      <c r="B5268" t="s">
        <v>2128</v>
      </c>
      <c r="C5268">
        <v>76</v>
      </c>
      <c r="D5268">
        <v>1.5566457834977101</v>
      </c>
      <c r="E5268">
        <v>118.305079545826</v>
      </c>
      <c r="F5268">
        <v>0.88612166585154795</v>
      </c>
      <c r="G5268">
        <v>0.80188856702155697</v>
      </c>
      <c r="H5268" t="str">
        <f t="shared" si="82"/>
        <v>Q4</v>
      </c>
    </row>
    <row r="5269" spans="1:8">
      <c r="A5269">
        <v>760747</v>
      </c>
      <c r="B5269" t="s">
        <v>2025</v>
      </c>
      <c r="C5269">
        <v>24</v>
      </c>
      <c r="D5269">
        <v>4.9271187434593804</v>
      </c>
      <c r="E5269">
        <v>118.25084984302499</v>
      </c>
      <c r="F5269">
        <v>0.72284714645799597</v>
      </c>
      <c r="G5269">
        <v>0.80185094616455399</v>
      </c>
      <c r="H5269" t="str">
        <f t="shared" si="82"/>
        <v>Q3</v>
      </c>
    </row>
    <row r="5270" spans="1:8">
      <c r="A5270">
        <v>569974</v>
      </c>
      <c r="B5270" t="s">
        <v>1377</v>
      </c>
      <c r="C5270">
        <v>42</v>
      </c>
      <c r="D5270">
        <v>2.8148909808979199</v>
      </c>
      <c r="E5270">
        <v>118.225421197712</v>
      </c>
      <c r="F5270">
        <v>0.81103043527331597</v>
      </c>
      <c r="G5270">
        <v>0.80181332530755001</v>
      </c>
      <c r="H5270" t="str">
        <f t="shared" si="82"/>
        <v>Q4</v>
      </c>
    </row>
    <row r="5271" spans="1:8">
      <c r="A5271">
        <v>735576</v>
      </c>
      <c r="B5271" t="s">
        <v>670</v>
      </c>
      <c r="C5271">
        <v>5</v>
      </c>
      <c r="D5271">
        <v>23.636609315872199</v>
      </c>
      <c r="E5271">
        <v>118.183046579361</v>
      </c>
      <c r="F5271">
        <v>0.385989992852037</v>
      </c>
      <c r="G5271">
        <v>0.80177570445054702</v>
      </c>
      <c r="H5271" t="str">
        <f t="shared" si="82"/>
        <v>Q3</v>
      </c>
    </row>
    <row r="5272" spans="1:8">
      <c r="A5272">
        <v>738399</v>
      </c>
      <c r="B5272" t="s">
        <v>3697</v>
      </c>
      <c r="C5272">
        <v>3</v>
      </c>
      <c r="D5272">
        <v>39.389830827712998</v>
      </c>
      <c r="E5272">
        <v>118.169492483139</v>
      </c>
      <c r="F5272">
        <v>0.26345886159286702</v>
      </c>
      <c r="G5272">
        <v>0.80173808359354404</v>
      </c>
      <c r="H5272" t="str">
        <f t="shared" si="82"/>
        <v>Q3</v>
      </c>
    </row>
    <row r="5273" spans="1:8">
      <c r="A5273">
        <v>709186</v>
      </c>
      <c r="B5273" t="s">
        <v>593</v>
      </c>
      <c r="C5273">
        <v>26</v>
      </c>
      <c r="D5273">
        <v>4.5430247671902197</v>
      </c>
      <c r="E5273">
        <v>118.11864394694599</v>
      </c>
      <c r="F5273">
        <v>0.73706783040517698</v>
      </c>
      <c r="G5273">
        <v>0.80170046273654105</v>
      </c>
      <c r="H5273" t="str">
        <f t="shared" si="82"/>
        <v>Q4</v>
      </c>
    </row>
    <row r="5274" spans="1:8">
      <c r="A5274">
        <v>690894</v>
      </c>
      <c r="B5274" t="s">
        <v>3911</v>
      </c>
      <c r="C5274">
        <v>17</v>
      </c>
      <c r="D5274">
        <v>6.9476571810596104</v>
      </c>
      <c r="E5274">
        <v>118.11017207801299</v>
      </c>
      <c r="F5274">
        <v>0.65926789812271902</v>
      </c>
      <c r="G5274">
        <v>0.80166284187953796</v>
      </c>
      <c r="H5274" t="str">
        <f t="shared" si="82"/>
        <v>Q3</v>
      </c>
    </row>
    <row r="5275" spans="1:8">
      <c r="A5275">
        <v>524529</v>
      </c>
      <c r="B5275" t="s">
        <v>3547</v>
      </c>
      <c r="C5275">
        <v>73</v>
      </c>
      <c r="D5275">
        <v>1.6177849359300001</v>
      </c>
      <c r="E5275">
        <v>118.09830032289</v>
      </c>
      <c r="F5275">
        <v>0.88111809187013301</v>
      </c>
      <c r="G5275">
        <v>0.80162522102253497</v>
      </c>
      <c r="H5275" t="str">
        <f t="shared" si="82"/>
        <v>Q4</v>
      </c>
    </row>
    <row r="5276" spans="1:8">
      <c r="A5276">
        <v>685904</v>
      </c>
      <c r="B5276" t="s">
        <v>4626</v>
      </c>
      <c r="C5276">
        <v>62</v>
      </c>
      <c r="D5276">
        <v>1.90434657532962</v>
      </c>
      <c r="E5276">
        <v>118.069487670437</v>
      </c>
      <c r="F5276">
        <v>0.86238290508257798</v>
      </c>
      <c r="G5276">
        <v>0.80158760016553199</v>
      </c>
      <c r="H5276" t="str">
        <f t="shared" si="82"/>
        <v>Q4</v>
      </c>
    </row>
    <row r="5277" spans="1:8">
      <c r="A5277">
        <v>732114</v>
      </c>
      <c r="B5277" t="s">
        <v>1125</v>
      </c>
      <c r="C5277">
        <v>58</v>
      </c>
      <c r="D5277">
        <v>2.0352133308890599</v>
      </c>
      <c r="E5277">
        <v>118.04237319156501</v>
      </c>
      <c r="F5277">
        <v>0.853993453970881</v>
      </c>
      <c r="G5277">
        <v>0.801549979308529</v>
      </c>
      <c r="H5277" t="str">
        <f t="shared" si="82"/>
        <v>Q4</v>
      </c>
    </row>
    <row r="5278" spans="1:8">
      <c r="A5278">
        <v>684992</v>
      </c>
      <c r="B5278" t="s">
        <v>201</v>
      </c>
      <c r="C5278">
        <v>9</v>
      </c>
      <c r="D5278">
        <v>13.115819129678901</v>
      </c>
      <c r="E5278">
        <v>118.04237216711</v>
      </c>
      <c r="F5278">
        <v>0.52428426319551602</v>
      </c>
      <c r="G5278">
        <v>0.80151235845152602</v>
      </c>
      <c r="H5278" t="str">
        <f t="shared" si="82"/>
        <v>Q3</v>
      </c>
    </row>
    <row r="5279" spans="1:8">
      <c r="A5279">
        <v>790269</v>
      </c>
      <c r="B5279" t="s">
        <v>4854</v>
      </c>
      <c r="C5279">
        <v>20</v>
      </c>
      <c r="D5279">
        <v>5.8985592797398603</v>
      </c>
      <c r="E5279">
        <v>117.97118559479701</v>
      </c>
      <c r="F5279">
        <v>0.69196042285843296</v>
      </c>
      <c r="G5279">
        <v>0.80147473759452204</v>
      </c>
      <c r="H5279" t="str">
        <f t="shared" si="82"/>
        <v>Q3</v>
      </c>
    </row>
    <row r="5280" spans="1:8">
      <c r="A5280">
        <v>703766</v>
      </c>
      <c r="B5280" t="s">
        <v>3643</v>
      </c>
      <c r="C5280">
        <v>38</v>
      </c>
      <c r="D5280">
        <v>3.10419263857368</v>
      </c>
      <c r="E5280">
        <v>117.9593202658</v>
      </c>
      <c r="F5280">
        <v>0.79696023475414801</v>
      </c>
      <c r="G5280">
        <v>0.80143711673751905</v>
      </c>
      <c r="H5280" t="str">
        <f t="shared" si="82"/>
        <v>Q4</v>
      </c>
    </row>
    <row r="5281" spans="1:8">
      <c r="A5281">
        <v>765364</v>
      </c>
      <c r="B5281" t="s">
        <v>365</v>
      </c>
      <c r="C5281">
        <v>27</v>
      </c>
      <c r="D5281">
        <v>4.3686127359116496</v>
      </c>
      <c r="E5281">
        <v>117.952543869615</v>
      </c>
      <c r="F5281">
        <v>0.74312478838267904</v>
      </c>
      <c r="G5281">
        <v>0.80139949588051596</v>
      </c>
      <c r="H5281" t="str">
        <f t="shared" si="82"/>
        <v>Q4</v>
      </c>
    </row>
    <row r="5282" spans="1:8">
      <c r="A5282">
        <v>736783</v>
      </c>
      <c r="B5282" t="s">
        <v>2540</v>
      </c>
      <c r="C5282">
        <v>48</v>
      </c>
      <c r="D5282">
        <v>2.4568149742359902</v>
      </c>
      <c r="E5282">
        <v>117.927118763328</v>
      </c>
      <c r="F5282">
        <v>0.82957751777585498</v>
      </c>
      <c r="G5282">
        <v>0.80136187502351297</v>
      </c>
      <c r="H5282" t="str">
        <f t="shared" si="82"/>
        <v>Q4</v>
      </c>
    </row>
    <row r="5283" spans="1:8">
      <c r="A5283">
        <v>694169</v>
      </c>
      <c r="B5283" t="s">
        <v>4170</v>
      </c>
      <c r="C5283">
        <v>61</v>
      </c>
      <c r="D5283">
        <v>1.9330647453421499</v>
      </c>
      <c r="E5283">
        <v>117.916949465871</v>
      </c>
      <c r="F5283">
        <v>0.86035137880440904</v>
      </c>
      <c r="G5283">
        <v>0.80132425416650999</v>
      </c>
      <c r="H5283" t="str">
        <f t="shared" si="82"/>
        <v>Q4</v>
      </c>
    </row>
    <row r="5284" spans="1:8">
      <c r="A5284">
        <v>794283</v>
      </c>
      <c r="B5284" t="s">
        <v>3738</v>
      </c>
      <c r="C5284">
        <v>26</v>
      </c>
      <c r="D5284">
        <v>4.5346154688069502</v>
      </c>
      <c r="E5284">
        <v>117.90000218898101</v>
      </c>
      <c r="F5284">
        <v>0.73706783040517698</v>
      </c>
      <c r="G5284">
        <v>0.801286633309507</v>
      </c>
      <c r="H5284" t="str">
        <f t="shared" si="82"/>
        <v>Q4</v>
      </c>
    </row>
    <row r="5285" spans="1:8">
      <c r="A5285">
        <v>756768</v>
      </c>
      <c r="B5285" t="s">
        <v>4606</v>
      </c>
      <c r="C5285">
        <v>38</v>
      </c>
      <c r="D5285">
        <v>3.1015164243351498</v>
      </c>
      <c r="E5285">
        <v>117.85762412473601</v>
      </c>
      <c r="F5285">
        <v>0.79696023475414801</v>
      </c>
      <c r="G5285">
        <v>0.80124901245250402</v>
      </c>
      <c r="H5285" t="str">
        <f t="shared" si="82"/>
        <v>Q4</v>
      </c>
    </row>
    <row r="5286" spans="1:8">
      <c r="A5286">
        <v>552471</v>
      </c>
      <c r="B5286" t="s">
        <v>2513</v>
      </c>
      <c r="C5286">
        <v>93</v>
      </c>
      <c r="D5286">
        <v>1.2669764499189999</v>
      </c>
      <c r="E5286">
        <v>117.828809842467</v>
      </c>
      <c r="F5286">
        <v>0.90587261577818701</v>
      </c>
      <c r="G5286">
        <v>0.80121139159550103</v>
      </c>
      <c r="H5286" t="str">
        <f t="shared" si="82"/>
        <v>Q4</v>
      </c>
    </row>
    <row r="5287" spans="1:8">
      <c r="A5287">
        <v>769867</v>
      </c>
      <c r="B5287" t="s">
        <v>5209</v>
      </c>
      <c r="C5287">
        <v>50</v>
      </c>
      <c r="D5287">
        <v>2.3563050925731699</v>
      </c>
      <c r="E5287">
        <v>117.815254628658</v>
      </c>
      <c r="F5287">
        <v>0.83559685489635405</v>
      </c>
      <c r="G5287">
        <v>0.80117377073849705</v>
      </c>
      <c r="H5287" t="str">
        <f t="shared" si="82"/>
        <v>Q4</v>
      </c>
    </row>
    <row r="5288" spans="1:8">
      <c r="A5288">
        <v>684087</v>
      </c>
      <c r="B5288" t="s">
        <v>2518</v>
      </c>
      <c r="C5288">
        <v>51</v>
      </c>
      <c r="D5288">
        <v>2.3098703912075802</v>
      </c>
      <c r="E5288">
        <v>117.80338995158699</v>
      </c>
      <c r="F5288">
        <v>0.83762838117452298</v>
      </c>
      <c r="G5288">
        <v>0.80113614988149395</v>
      </c>
      <c r="H5288" t="str">
        <f t="shared" si="82"/>
        <v>Q4</v>
      </c>
    </row>
    <row r="5289" spans="1:8">
      <c r="A5289">
        <v>633809</v>
      </c>
      <c r="B5289" t="s">
        <v>909</v>
      </c>
      <c r="C5289">
        <v>68</v>
      </c>
      <c r="D5289">
        <v>1.7323030282140699</v>
      </c>
      <c r="E5289">
        <v>117.796605918556</v>
      </c>
      <c r="F5289">
        <v>0.87223956961739602</v>
      </c>
      <c r="G5289">
        <v>0.80109852902449097</v>
      </c>
      <c r="H5289" t="str">
        <f t="shared" si="82"/>
        <v>Q4</v>
      </c>
    </row>
    <row r="5290" spans="1:8">
      <c r="A5290">
        <v>743633</v>
      </c>
      <c r="B5290" t="s">
        <v>4690</v>
      </c>
      <c r="C5290">
        <v>31</v>
      </c>
      <c r="D5290">
        <v>3.7986878425844299</v>
      </c>
      <c r="E5290">
        <v>117.759323120117</v>
      </c>
      <c r="F5290">
        <v>0.766073511154584</v>
      </c>
      <c r="G5290">
        <v>0.80106090816748798</v>
      </c>
      <c r="H5290" t="str">
        <f t="shared" si="82"/>
        <v>Q4</v>
      </c>
    </row>
    <row r="5291" spans="1:8">
      <c r="A5291">
        <v>413029</v>
      </c>
      <c r="B5291" t="s">
        <v>4454</v>
      </c>
      <c r="C5291">
        <v>40</v>
      </c>
      <c r="D5291">
        <v>2.9436016711406401</v>
      </c>
      <c r="E5291">
        <v>117.74406684562599</v>
      </c>
      <c r="F5291">
        <v>0.804522027011775</v>
      </c>
      <c r="G5291">
        <v>0.801023287310485</v>
      </c>
      <c r="H5291" t="str">
        <f t="shared" si="82"/>
        <v>Q4</v>
      </c>
    </row>
    <row r="5292" spans="1:8">
      <c r="A5292">
        <v>770855</v>
      </c>
      <c r="B5292" t="s">
        <v>5112</v>
      </c>
      <c r="C5292">
        <v>48</v>
      </c>
      <c r="D5292">
        <v>2.4526482622604799</v>
      </c>
      <c r="E5292">
        <v>117.72711658850299</v>
      </c>
      <c r="F5292">
        <v>0.82957751777585498</v>
      </c>
      <c r="G5292">
        <v>0.80098566645348201</v>
      </c>
      <c r="H5292" t="str">
        <f t="shared" si="82"/>
        <v>Q4</v>
      </c>
    </row>
    <row r="5293" spans="1:8">
      <c r="A5293">
        <v>811297</v>
      </c>
      <c r="B5293" t="s">
        <v>1985</v>
      </c>
      <c r="C5293">
        <v>24</v>
      </c>
      <c r="D5293">
        <v>4.9016242187159804</v>
      </c>
      <c r="E5293">
        <v>117.638981249183</v>
      </c>
      <c r="F5293">
        <v>0.72284714645799597</v>
      </c>
      <c r="G5293">
        <v>0.80094804559647903</v>
      </c>
      <c r="H5293" t="str">
        <f t="shared" si="82"/>
        <v>Q3</v>
      </c>
    </row>
    <row r="5294" spans="1:8">
      <c r="A5294">
        <v>684588</v>
      </c>
      <c r="B5294" t="s">
        <v>5235</v>
      </c>
      <c r="C5294">
        <v>96</v>
      </c>
      <c r="D5294">
        <v>1.2253707667696301</v>
      </c>
      <c r="E5294">
        <v>117.635593609884</v>
      </c>
      <c r="F5294">
        <v>0.90812986719837496</v>
      </c>
      <c r="G5294">
        <v>0.80091042473947605</v>
      </c>
      <c r="H5294" t="str">
        <f t="shared" si="82"/>
        <v>Q4</v>
      </c>
    </row>
    <row r="5295" spans="1:8">
      <c r="A5295">
        <v>807792</v>
      </c>
      <c r="B5295" t="s">
        <v>4245</v>
      </c>
      <c r="C5295">
        <v>18</v>
      </c>
      <c r="D5295">
        <v>6.5339923732810599</v>
      </c>
      <c r="E5295">
        <v>117.611862719059</v>
      </c>
      <c r="F5295">
        <v>0.67044129265264696</v>
      </c>
      <c r="G5295">
        <v>0.80087280388247195</v>
      </c>
      <c r="H5295" t="str">
        <f t="shared" si="82"/>
        <v>Q3</v>
      </c>
    </row>
    <row r="5296" spans="1:8">
      <c r="A5296">
        <v>699349</v>
      </c>
      <c r="B5296" t="s">
        <v>3909</v>
      </c>
      <c r="C5296">
        <v>18</v>
      </c>
      <c r="D5296">
        <v>6.5335216000676199</v>
      </c>
      <c r="E5296">
        <v>117.60338880121699</v>
      </c>
      <c r="F5296">
        <v>0.67044129265264696</v>
      </c>
      <c r="G5296">
        <v>0.80083518302546897</v>
      </c>
      <c r="H5296" t="str">
        <f t="shared" si="82"/>
        <v>Q3</v>
      </c>
    </row>
    <row r="5297" spans="1:8">
      <c r="A5297">
        <v>722912</v>
      </c>
      <c r="B5297" t="s">
        <v>2793</v>
      </c>
      <c r="C5297">
        <v>32</v>
      </c>
      <c r="D5297">
        <v>3.6746292258612798</v>
      </c>
      <c r="E5297">
        <v>117.588135227561</v>
      </c>
      <c r="F5297">
        <v>0.77096422256498998</v>
      </c>
      <c r="G5297">
        <v>0.80079756216846598</v>
      </c>
      <c r="H5297" t="str">
        <f t="shared" si="82"/>
        <v>Q4</v>
      </c>
    </row>
    <row r="5298" spans="1:8">
      <c r="A5298">
        <v>790904</v>
      </c>
      <c r="B5298" t="s">
        <v>590</v>
      </c>
      <c r="C5298">
        <v>24</v>
      </c>
      <c r="D5298">
        <v>4.8990113660693204</v>
      </c>
      <c r="E5298">
        <v>117.576272785664</v>
      </c>
      <c r="F5298">
        <v>0.72284714645799597</v>
      </c>
      <c r="G5298">
        <v>0.800759941311463</v>
      </c>
      <c r="H5298" t="str">
        <f t="shared" si="82"/>
        <v>Q3</v>
      </c>
    </row>
    <row r="5299" spans="1:8">
      <c r="A5299">
        <v>662630</v>
      </c>
      <c r="B5299" t="s">
        <v>3153</v>
      </c>
      <c r="C5299">
        <v>51</v>
      </c>
      <c r="D5299">
        <v>2.3046527094408602</v>
      </c>
      <c r="E5299">
        <v>117.537288181484</v>
      </c>
      <c r="F5299">
        <v>0.83762838117452298</v>
      </c>
      <c r="G5299">
        <v>0.80072232045446001</v>
      </c>
      <c r="H5299" t="str">
        <f t="shared" si="82"/>
        <v>Q4</v>
      </c>
    </row>
    <row r="5300" spans="1:8">
      <c r="A5300">
        <v>678715</v>
      </c>
      <c r="B5300" t="s">
        <v>232</v>
      </c>
      <c r="C5300">
        <v>46</v>
      </c>
      <c r="D5300">
        <v>2.5547162376587198</v>
      </c>
      <c r="E5300">
        <v>117.516946932301</v>
      </c>
      <c r="F5300">
        <v>0.82378390579737404</v>
      </c>
      <c r="G5300">
        <v>0.80068469959745703</v>
      </c>
      <c r="H5300" t="str">
        <f t="shared" si="82"/>
        <v>Q4</v>
      </c>
    </row>
    <row r="5301" spans="1:8">
      <c r="A5301">
        <v>701851</v>
      </c>
      <c r="B5301" t="s">
        <v>2191</v>
      </c>
      <c r="C5301">
        <v>50</v>
      </c>
      <c r="D5301">
        <v>2.3495932258665602</v>
      </c>
      <c r="E5301">
        <v>117.47966129332799</v>
      </c>
      <c r="F5301">
        <v>0.83559685489635405</v>
      </c>
      <c r="G5301">
        <v>0.80064707874045404</v>
      </c>
      <c r="H5301" t="str">
        <f t="shared" si="82"/>
        <v>Q4</v>
      </c>
    </row>
    <row r="5302" spans="1:8">
      <c r="A5302">
        <v>733753</v>
      </c>
      <c r="B5302" t="s">
        <v>1005</v>
      </c>
      <c r="C5302">
        <v>32</v>
      </c>
      <c r="D5302">
        <v>3.6680614808574301</v>
      </c>
      <c r="E5302">
        <v>117.37796738743801</v>
      </c>
      <c r="F5302">
        <v>0.77096422256498998</v>
      </c>
      <c r="G5302">
        <v>0.80060945788345095</v>
      </c>
      <c r="H5302" t="str">
        <f t="shared" si="82"/>
        <v>Q4</v>
      </c>
    </row>
    <row r="5303" spans="1:8">
      <c r="A5303">
        <v>736046</v>
      </c>
      <c r="B5303" t="s">
        <v>1120</v>
      </c>
      <c r="C5303">
        <v>73</v>
      </c>
      <c r="D5303">
        <v>1.60754579055595</v>
      </c>
      <c r="E5303">
        <v>117.350842710584</v>
      </c>
      <c r="F5303">
        <v>0.88111809187013301</v>
      </c>
      <c r="G5303">
        <v>0.80057183702644696</v>
      </c>
      <c r="H5303" t="str">
        <f t="shared" si="82"/>
        <v>Q4</v>
      </c>
    </row>
    <row r="5304" spans="1:8">
      <c r="A5304">
        <v>809200</v>
      </c>
      <c r="B5304" t="s">
        <v>1834</v>
      </c>
      <c r="C5304">
        <v>23</v>
      </c>
      <c r="D5304">
        <v>5.1013263752279103</v>
      </c>
      <c r="E5304">
        <v>117.330506630242</v>
      </c>
      <c r="F5304">
        <v>0.71547345848538402</v>
      </c>
      <c r="G5304">
        <v>0.80053421616944398</v>
      </c>
      <c r="H5304" t="str">
        <f t="shared" si="82"/>
        <v>Q3</v>
      </c>
    </row>
    <row r="5305" spans="1:8">
      <c r="A5305">
        <v>798248</v>
      </c>
      <c r="B5305" t="s">
        <v>2553</v>
      </c>
      <c r="C5305">
        <v>16</v>
      </c>
      <c r="D5305">
        <v>7.3319915216416103</v>
      </c>
      <c r="E5305">
        <v>117.31186434626601</v>
      </c>
      <c r="F5305">
        <v>0.64756781159474797</v>
      </c>
      <c r="G5305">
        <v>0.80049659531244099</v>
      </c>
      <c r="H5305" t="str">
        <f t="shared" si="82"/>
        <v>Q3</v>
      </c>
    </row>
    <row r="5306" spans="1:8">
      <c r="A5306">
        <v>576773</v>
      </c>
      <c r="B5306" t="s">
        <v>1733</v>
      </c>
      <c r="C5306">
        <v>72</v>
      </c>
      <c r="D5306">
        <v>1.6290489196156499</v>
      </c>
      <c r="E5306">
        <v>117.291522212327</v>
      </c>
      <c r="F5306">
        <v>0.87957563673300498</v>
      </c>
      <c r="G5306">
        <v>0.80045897445543801</v>
      </c>
      <c r="H5306" t="str">
        <f t="shared" si="82"/>
        <v>Q4</v>
      </c>
    </row>
    <row r="5307" spans="1:8">
      <c r="A5307">
        <v>634669</v>
      </c>
      <c r="B5307" t="s">
        <v>876</v>
      </c>
      <c r="C5307">
        <v>74</v>
      </c>
      <c r="D5307">
        <v>1.5842647109231001</v>
      </c>
      <c r="E5307">
        <v>117.23558860831</v>
      </c>
      <c r="F5307">
        <v>0.88307437643429498</v>
      </c>
      <c r="G5307">
        <v>0.80042135359843503</v>
      </c>
      <c r="H5307" t="str">
        <f t="shared" si="82"/>
        <v>Q4</v>
      </c>
    </row>
    <row r="5308" spans="1:8">
      <c r="A5308">
        <v>739618</v>
      </c>
      <c r="B5308" t="s">
        <v>4917</v>
      </c>
      <c r="C5308">
        <v>42</v>
      </c>
      <c r="D5308">
        <v>2.7911218504111002</v>
      </c>
      <c r="E5308">
        <v>117.227117717266</v>
      </c>
      <c r="F5308">
        <v>0.81103043527331597</v>
      </c>
      <c r="G5308">
        <v>0.80038373274143204</v>
      </c>
      <c r="H5308" t="str">
        <f t="shared" si="82"/>
        <v>Q4</v>
      </c>
    </row>
    <row r="5309" spans="1:8">
      <c r="A5309">
        <v>372008</v>
      </c>
      <c r="B5309" t="s">
        <v>2018</v>
      </c>
      <c r="C5309">
        <v>160</v>
      </c>
      <c r="D5309">
        <v>0.73239406832726694</v>
      </c>
      <c r="E5309">
        <v>117.183050932363</v>
      </c>
      <c r="F5309">
        <v>0.94646552048455701</v>
      </c>
      <c r="G5309">
        <v>0.80034611188442895</v>
      </c>
      <c r="H5309" t="str">
        <f t="shared" si="82"/>
        <v>Q4</v>
      </c>
    </row>
    <row r="5310" spans="1:8">
      <c r="A5310">
        <v>796128</v>
      </c>
      <c r="B5310" t="s">
        <v>600</v>
      </c>
      <c r="C5310">
        <v>24</v>
      </c>
      <c r="D5310">
        <v>4.8812853948523598</v>
      </c>
      <c r="E5310">
        <v>117.150849476457</v>
      </c>
      <c r="F5310">
        <v>0.72284714645799597</v>
      </c>
      <c r="G5310">
        <v>0.80030849102742596</v>
      </c>
      <c r="H5310" t="str">
        <f t="shared" si="82"/>
        <v>Q4</v>
      </c>
    </row>
    <row r="5311" spans="1:8">
      <c r="A5311">
        <v>736601</v>
      </c>
      <c r="B5311" t="s">
        <v>1790</v>
      </c>
      <c r="C5311">
        <v>24</v>
      </c>
      <c r="D5311">
        <v>4.8810735344886798</v>
      </c>
      <c r="E5311">
        <v>117.145764827728</v>
      </c>
      <c r="F5311">
        <v>0.72284714645799597</v>
      </c>
      <c r="G5311">
        <v>0.80027087017042298</v>
      </c>
      <c r="H5311" t="str">
        <f t="shared" si="82"/>
        <v>Q4</v>
      </c>
    </row>
    <row r="5312" spans="1:8">
      <c r="A5312">
        <v>677347</v>
      </c>
      <c r="B5312" t="s">
        <v>644</v>
      </c>
      <c r="C5312">
        <v>16</v>
      </c>
      <c r="D5312">
        <v>7.32055068947375</v>
      </c>
      <c r="E5312">
        <v>117.12881103158</v>
      </c>
      <c r="F5312">
        <v>0.64756781159474797</v>
      </c>
      <c r="G5312">
        <v>0.80023324931341899</v>
      </c>
      <c r="H5312" t="str">
        <f t="shared" si="82"/>
        <v>Q3</v>
      </c>
    </row>
    <row r="5313" spans="1:8">
      <c r="A5313">
        <v>735540</v>
      </c>
      <c r="B5313" t="s">
        <v>1538</v>
      </c>
      <c r="C5313">
        <v>36</v>
      </c>
      <c r="D5313">
        <v>3.2524952251050201</v>
      </c>
      <c r="E5313">
        <v>117.089828103781</v>
      </c>
      <c r="F5313">
        <v>0.78890937135547901</v>
      </c>
      <c r="G5313">
        <v>0.80019562845641601</v>
      </c>
      <c r="H5313" t="str">
        <f t="shared" si="82"/>
        <v>Q4</v>
      </c>
    </row>
    <row r="5314" spans="1:8">
      <c r="A5314">
        <v>764405</v>
      </c>
      <c r="B5314" t="s">
        <v>2807</v>
      </c>
      <c r="C5314">
        <v>93</v>
      </c>
      <c r="D5314">
        <v>1.2588845981505301</v>
      </c>
      <c r="E5314">
        <v>117.076267627999</v>
      </c>
      <c r="F5314">
        <v>0.90587261577818701</v>
      </c>
      <c r="G5314">
        <v>0.80015800759941302</v>
      </c>
      <c r="H5314" t="str">
        <f t="shared" si="82"/>
        <v>Q4</v>
      </c>
    </row>
    <row r="5315" spans="1:8">
      <c r="A5315">
        <v>759944</v>
      </c>
      <c r="B5315" t="s">
        <v>4929</v>
      </c>
      <c r="C5315">
        <v>31</v>
      </c>
      <c r="D5315">
        <v>3.77643526561799</v>
      </c>
      <c r="E5315">
        <v>117.069493234158</v>
      </c>
      <c r="F5315">
        <v>0.766073511154584</v>
      </c>
      <c r="G5315">
        <v>0.80012038674241004</v>
      </c>
      <c r="H5315" t="str">
        <f>IF(C5315&gt;$J$2,
   IF(D5315&gt;$J$3,"Q1","Q2"),
   IF(D5315&gt;$J$3,"Q3","Q4"))</f>
        <v>Q4</v>
      </c>
    </row>
    <row r="5316" spans="1:8">
      <c r="A5316">
        <v>787053</v>
      </c>
      <c r="B5316" t="s">
        <v>2614</v>
      </c>
      <c r="C5316">
        <v>16</v>
      </c>
      <c r="D5316">
        <v>7.3156780796125496</v>
      </c>
      <c r="E5316">
        <v>117.05084927380101</v>
      </c>
      <c r="F5316">
        <v>0.64756781159474797</v>
      </c>
      <c r="G5316">
        <v>0.80008276588540705</v>
      </c>
      <c r="H5316" t="str">
        <f>IF(C5316&gt;$J$2,
   IF(D5316&gt;$J$3,"Q1","Q2"),
   IF(D5316&gt;$J$3,"Q3","Q4"))</f>
        <v>Q3</v>
      </c>
    </row>
    <row r="5317" spans="1:8">
      <c r="A5317">
        <v>784205</v>
      </c>
      <c r="B5317" t="s">
        <v>710</v>
      </c>
      <c r="C5317">
        <v>89</v>
      </c>
      <c r="D5317">
        <v>1.3151209157881101</v>
      </c>
      <c r="E5317">
        <v>117.045761505142</v>
      </c>
      <c r="F5317">
        <v>0.90135811293781298</v>
      </c>
      <c r="G5317">
        <v>0.80004514502840396</v>
      </c>
      <c r="H5317" t="str">
        <f>IF(C5317&gt;$J$2,
   IF(D5317&gt;$J$3,"Q1","Q2"),
   IF(D5317&gt;$J$3,"Q3","Q4"))</f>
        <v>Q4</v>
      </c>
    </row>
    <row r="5318" spans="1:8">
      <c r="A5318">
        <v>781423</v>
      </c>
      <c r="B5318" t="s">
        <v>441</v>
      </c>
      <c r="C5318">
        <v>24</v>
      </c>
      <c r="D5318">
        <v>4.8747176149239104</v>
      </c>
      <c r="E5318">
        <v>116.993222758174</v>
      </c>
      <c r="F5318">
        <v>0.72284714645799597</v>
      </c>
      <c r="G5318">
        <v>0.80000752417140097</v>
      </c>
      <c r="H5318" t="str">
        <f>IF(C5318&gt;$J$2,
   IF(D5318&gt;$J$3,"Q1","Q2"),
   IF(D5318&gt;$J$3,"Q3","Q4"))</f>
        <v>Q4</v>
      </c>
    </row>
  </sheetData>
  <autoFilter ref="A1:H5318" xr:uid="{EC0E52A3-00D2-43D4-ADA4-CDD822F917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trans_dist_cust</vt:lpstr>
      <vt:lpstr>subscription</vt:lpstr>
      <vt:lpstr>ranking</vt:lpstr>
      <vt:lpstr>heatmap</vt:lpstr>
      <vt:lpstr>3bestsellers</vt:lpstr>
      <vt:lpstr>3bestrevenue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Chan</dc:creator>
  <cp:lastModifiedBy>Lynn Chan</cp:lastModifiedBy>
  <cp:lastPrinted>2026-10-19T07:38:11Z</cp:lastPrinted>
  <dcterms:created xsi:type="dcterms:W3CDTF">2026-10-09T05:42:55Z</dcterms:created>
  <dcterms:modified xsi:type="dcterms:W3CDTF">2026-10-23T12:04:43Z</dcterms:modified>
</cp:coreProperties>
</file>